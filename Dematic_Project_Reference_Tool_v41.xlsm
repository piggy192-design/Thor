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0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84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39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R504" headerRowCount="1">
  <autoFilter ref="A5:AR504"/>
  <tableColumns count="44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  <tableColumn id="44" name="MH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  <col width="15" customWidth="1" style="74" min="44" max="44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  <c r="AR5" s="23" t="inlineStr">
        <is>
          <t>MH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  <c r="AR7" s="38" t="inlineStr">
        <is>
          <t>Unverified</t>
        </is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32" t="inlineStr">
        <is>
          <t>Unverified</t>
        </is>
      </c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38" t="inlineStr">
        <is>
          <t>Unverified</t>
        </is>
      </c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32" t="inlineStr">
        <is>
          <t>Unverified</t>
        </is>
      </c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38" t="inlineStr">
        <is>
          <t>Unverified</t>
        </is>
      </c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32" t="inlineStr">
        <is>
          <t>Unverified</t>
        </is>
      </c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38" t="inlineStr">
        <is>
          <t>Unverified</t>
        </is>
      </c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32" t="inlineStr">
        <is>
          <t>Unverified</t>
        </is>
      </c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38" t="inlineStr">
        <is>
          <t>Unverified</t>
        </is>
      </c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38" t="inlineStr">
        <is>
          <t>Unverified</t>
        </is>
      </c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32" t="inlineStr">
        <is>
          <t>Unverified</t>
        </is>
      </c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38" t="inlineStr">
        <is>
          <t>Unverified</t>
        </is>
      </c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  <c r="AR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32" t="inlineStr">
        <is>
          <t>Unverified</t>
        </is>
      </c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  <c r="AR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  <c r="AR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  <c r="AR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  <c r="AR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32" t="inlineStr">
        <is>
          <t>Unverified</t>
        </is>
      </c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38" t="inlineStr">
        <is>
          <t>Unverified</t>
        </is>
      </c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38" t="n"/>
    </row>
  </sheetData>
  <mergeCells count="14">
    <mergeCell ref="O3:P3"/>
    <mergeCell ref="AB2:AC2"/>
    <mergeCell ref="X3:Z3"/>
    <mergeCell ref="M3:N3"/>
    <mergeCell ref="A3:F3"/>
    <mergeCell ref="Q3:V3"/>
    <mergeCell ref="AD1:AR3"/>
    <mergeCell ref="Q4:T4"/>
    <mergeCell ref="I3:J3"/>
    <mergeCell ref="A2:AA2"/>
    <mergeCell ref="AA3:AC3"/>
    <mergeCell ref="G3:H3"/>
    <mergeCell ref="K3:L3"/>
    <mergeCell ref="U4:V4"/>
  </mergeCells>
  <conditionalFormatting sqref="AR6:AR504">
    <cfRule type="expression" priority="1" dxfId="3">
      <formula>$AR6="Unverified"</formula>
    </cfRule>
    <cfRule type="expression" priority="2" dxfId="4">
      <formula>$AR6="No data"</formula>
    </cfRule>
  </conditionalFormatting>
  <conditionalFormatting sqref="A6:AR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D36:AQ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9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R6:AR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0" t="inlineStr">
        <is>
          <t>All</t>
        </is>
      </c>
      <c r="M5" s="161" t="n"/>
      <c r="N5" s="161" t="n"/>
      <c r="O5" s="161" t="n"/>
      <c r="P5" s="161" t="n"/>
      <c r="Q5" s="162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0" t="n"/>
      <c r="M6" s="161" t="n"/>
      <c r="N6" s="161" t="n"/>
      <c r="O6" s="161" t="n"/>
      <c r="P6" s="161" t="n"/>
      <c r="Q6" s="162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3" t="n"/>
      <c r="M7" s="161" t="n"/>
      <c r="N7" s="161" t="n"/>
      <c r="O7" s="161" t="n"/>
      <c r="P7" s="161" t="n"/>
      <c r="Q7" s="162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0" t="inlineStr">
        <is>
          <t>All</t>
        </is>
      </c>
      <c r="M8" s="161" t="n"/>
      <c r="N8" s="161" t="n"/>
      <c r="O8" s="161" t="n"/>
      <c r="P8" s="161" t="n"/>
      <c r="Q8" s="162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4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5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6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7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7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68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  <c r="O35" s="107">
        <f>IFERROR(IF(INDEX(_Helper!A2:A501,MATCH(LARGE(_Helper!BH2:BH501,1),_Helper!BH2:BH501,0))="","","Data: "&amp;IF(INDEX(_Helper!CE2:CE501,MATCH(LARGE(_Helper!BH2:BH501,1),_Helper!BH2:BH501,0))="","not set",INDEX(_Helper!CE2:CE501,MATCH(LARGE(_Helper!BH2:BH501,1),_Helper!BH2:BH501,0)))),"")</f>
        <v/>
      </c>
      <c r="P35" s="88" t="n"/>
      <c r="Q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data",N(INDEX(_Helper!BX2:BX501,MATCH(LARGE(_Helper!BH2:BH501,1),_Helper!BH2:BH501,0)))=0),"—",INDEX(_Helper!BJ2:BJ501,MATCH(LARGE(_Helper!BH2:BH501,1),_Helper!BH2:BH501,0)))),"-")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data",N(INDEX(_Helper!BX2:BX501,MATCH(LARGE(_Helper!BH2:BH501,1),_Helper!BH2:BH501,0)))=0),"—",INDEX(_Helper!BK2:BK501,MATCH(LARGE(_Helper!BH2:BH501,1),_Helper!BH2:BH501,0)))),"-")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data",N(INDEX(_Helper!BX2:BX501,MATCH(LARGE(_Helper!BH2:BH501,1),_Helper!BH2:BH501,0)))=0),"—",INDEX(_Helper!BL2:BL501,MATCH(LARGE(_Helper!BH2:BH501,1),_Helper!BH2:BH501,0)))),"-")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data",N(INDEX(_Helper!BX2:BX501,MATCH(LARGE(_Helper!BH2:BH501,1),_Helper!BH2:BH501,0)))=0),"—",INDEX(_Helper!BM2:BM501,MATCH(LARGE(_Helper!BH2:BH501,1),_Helper!BH2:BH501,0)))),"-")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data",N(INDEX(_Helper!BX2:BX501,MATCH(LARGE(_Helper!BH2:BH501,1),_Helper!BH2:BH501,0)))=0),"—",INDEX(_Helper!BN2:BN501,MATCH(LARGE(_Helper!BH2:BH501,1),_Helper!BH2:BH501,0)))),"-")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data",N(INDEX(_Helper!BX2:BX501,MATCH(LARGE(_Helper!BH2:BH501,1),_Helper!BH2:BH501,0)))=0),"—",INDEX(_Helper!BO2:BO501,MATCH(LARGE(_Helper!BH2:BH501,1),_Helper!BH2:BH501,0)))),"-")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data",N(INDEX(_Helper!BX2:BX501,MATCH(LARGE(_Helper!BH2:BH501,1),_Helper!BH2:BH501,0)))=0),"—",INDEX(_Helper!BP2:BP501,MATCH(LARGE(_Helper!BH2:BH501,1),_Helper!BH2:BH501,0)))),"-")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data",N(INDEX(_Helper!BX2:BX501,MATCH(LARGE(_Helper!BH2:BH501,1),_Helper!BH2:BH501,0)))=0),"—",INDEX(_Helper!BQ2:BQ501,MATCH(LARGE(_Helper!BH2:BH501,1),_Helper!BH2:BH501,0)))),"-")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data",N(INDEX(_Helper!BX2:BX501,MATCH(LARGE(_Helper!BH2:BH501,1),_Helper!BH2:BH501,0)))=0),"—",INDEX(_Helper!BR2:BR501,MATCH(LARGE(_Helper!BH2:BH501,1),_Helper!BH2:BH501,0)))),"-")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data",N(INDEX(_Helper!BX2:BX501,MATCH(LARGE(_Helper!BH2:BH501,1),_Helper!BH2:BH501,0)))=0),"—",INDEX(_Helper!BS2:BS501,MATCH(LARGE(_Helper!BH2:BH501,1),_Helper!BH2:BH501,0)))),"-")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data",N(INDEX(_Helper!BX2:BX501,MATCH(LARGE(_Helper!BH2:BH501,1),_Helper!BH2:BH501,0)))=0),"—",INDEX(_Helper!BT2:BT501,MATCH(LARGE(_Helper!BH2:BH501,1),_Helper!BH2:BH501,0)))),"-")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data",N(INDEX(_Helper!BX2:BX501,MATCH(LARGE(_Helper!BH2:BH501,1),_Helper!BH2:BH501,0)))=0),"—",INDEX(_Helper!BU2:BU501,MATCH(LARGE(_Helper!BH2:BH501,1),_Helper!BH2:BH501,0)))),"-")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data",N(INDEX(_Helper!BX2:BX501,MATCH(LARGE(_Helper!BH2:BH501,1),_Helper!BH2:BH501,0)))=0),"—",INDEX(_Helper!BV2:BV501,MATCH(LARGE(_Helper!BH2:BH501,1),_Helper!BH2:BH501,0)))),"-")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data",N(INDEX(_Helper!BX2:BX501,MATCH(LARGE(_Helper!BH2:BH501,1),_Helper!BH2:BH501,0)))=0),"—",INDEX(_Helper!BW2:BW501,MATCH(LARGE(_Helper!BH2:BH501,1),_Helper!BH2:BH501,0)))),"-")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data",N(INDEX(_Helper!BX2:BX501,MATCH(LARGE(_Helper!BH2:BH501,1),_Helper!BH2:BH501,0)))=0),"No manhour data",INDEX(_Helper!BX2:BX501,MATCH(LARGE(_Helper!BH2:BH501,1),_Helper!BH2:BH501,0)))),"-")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7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9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10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O35:Q35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MH Data Status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INDEX(Projects[MH Data Status],1)&amp;""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INDEX(Projects[MH Data Status],2)&amp;""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INDEX(Projects[MH Data Status],3)&amp;""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INDEX(Projects[MH Data Status],4)&amp;""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INDEX(Projects[MH Data Status],5)&amp;""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INDEX(Projects[MH Data Status],6)&amp;""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INDEX(Projects[MH Data Status],7)&amp;""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INDEX(Projects[MH Data Status],8)&amp;""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INDEX(Projects[MH Data Status],9)&amp;""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INDEX(Projects[MH Data Status],10)&amp;""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INDEX(Projects[MH Data Status],11)&amp;""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INDEX(Projects[MH Data Status],12)&amp;""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INDEX(Projects[MH Data Status],13)&amp;""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INDEX(Projects[MH Data Status],14)&amp;""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INDEX(Projects[MH Data Status],15)&amp;""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INDEX(Projects[MH Data Status],16)&amp;""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INDEX(Projects[MH Data Status],17)&amp;""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INDEX(Projects[MH Data Status],18)&amp;""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INDEX(Projects[MH Data Status],19)&amp;""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INDEX(Projects[MH Data Status],20)&amp;""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INDEX(Projects[MH Data Status],21)&amp;""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INDEX(Projects[MH Data Status],22)&amp;""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INDEX(Projects[MH Data Status],23)&amp;""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INDEX(Projects[MH Data Status],24)&amp;""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INDEX(Projects[MH Data Status],25)&amp;""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INDEX(Projects[MH Data Status],26)&amp;""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INDEX(Projects[MH Data Status],27)&amp;""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INDEX(Projects[MH Data Status],28)&amp;""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INDEX(Projects[MH Data Status],29)&amp;""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INDEX(Projects[MH Data Status],30)&amp;""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INDEX(Projects[MH Data Status],31)&amp;""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INDEX(Projects[MH Data Status],32)&amp;""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INDEX(Projects[MH Data Status],33)&amp;""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INDEX(Projects[MH Data Status],34)&amp;""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INDEX(Projects[MH Data Status],35)&amp;""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INDEX(Projects[MH Data Status],36)&amp;""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INDEX(Projects[MH Data Status],37)&amp;""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INDEX(Projects[MH Data Status],38)&amp;""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INDEX(Projects[MH Data Status],39)&amp;""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INDEX(Projects[MH Data Status],40)&amp;""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INDEX(Projects[MH Data Status],41)&amp;""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INDEX(Projects[MH Data Status],42)&amp;""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INDEX(Projects[MH Data Status],43)&amp;""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INDEX(Projects[MH Data Status],44)&amp;""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INDEX(Projects[MH Data Status],45)&amp;""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INDEX(Projects[MH Data Status],46)&amp;""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INDEX(Projects[MH Data Status],47)&amp;""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INDEX(Projects[MH Data Status],48)&amp;""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INDEX(Projects[MH Data Status],49)&amp;""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INDEX(Projects[MH Data Status],50)&amp;""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INDEX(Projects[MH Data Status],51)&amp;""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INDEX(Projects[MH Data Status],52)&amp;""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INDEX(Projects[MH Data Status],53)&amp;""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INDEX(Projects[MH Data Status],54)&amp;""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INDEX(Projects[MH Data Status],55)&amp;""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INDEX(Projects[MH Data Status],56)&amp;""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INDEX(Projects[MH Data Status],57)&amp;""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INDEX(Projects[MH Data Status],58)&amp;""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INDEX(Projects[MH Data Status],59)&amp;""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INDEX(Projects[MH Data Status],60)&amp;""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INDEX(Projects[MH Data Status],61)&amp;""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INDEX(Projects[MH Data Status],62)&amp;""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INDEX(Projects[MH Data Status],63)&amp;""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INDEX(Projects[MH Data Status],64)&amp;""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INDEX(Projects[MH Data Status],65)&amp;""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INDEX(Projects[MH Data Status],66)&amp;""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INDEX(Projects[MH Data Status],67)&amp;""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INDEX(Projects[MH Data Status],68)&amp;""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INDEX(Projects[MH Data Status],69)&amp;""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INDEX(Projects[MH Data Status],70)&amp;""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INDEX(Projects[MH Data Status],71)&amp;""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INDEX(Projects[MH Data Status],72)&amp;""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INDEX(Projects[MH Data Status],73)&amp;""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INDEX(Projects[MH Data Status],74)&amp;""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INDEX(Projects[MH Data Status],75)&amp;""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INDEX(Projects[MH Data Status],76)&amp;""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INDEX(Projects[MH Data Status],77)&amp;""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INDEX(Projects[MH Data Status],78)&amp;""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INDEX(Projects[MH Data Status],79)&amp;""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INDEX(Projects[MH Data Status],80)&amp;""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INDEX(Projects[MH Data Status],81)&amp;""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INDEX(Projects[MH Data Status],82)&amp;""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INDEX(Projects[MH Data Status],83)&amp;""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INDEX(Projects[MH Data Status],84)&amp;""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INDEX(Projects[MH Data Status],85)&amp;""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INDEX(Projects[MH Data Status],86)&amp;""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INDEX(Projects[MH Data Status],87)&amp;""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INDEX(Projects[MH Data Status],88)&amp;""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INDEX(Projects[MH Data Status],89)&amp;""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INDEX(Projects[MH Data Status],90)&amp;""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INDEX(Projects[MH Data Status],91)&amp;""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INDEX(Projects[MH Data Status],92)&amp;""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INDEX(Projects[MH Data Status],93)&amp;""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INDEX(Projects[MH Data Status],94)&amp;""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INDEX(Projects[MH Data Status],95)&amp;""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INDEX(Projects[MH Data Status],96)&amp;""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INDEX(Projects[MH Data Status],97)&amp;""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INDEX(Projects[MH Data Status],98)&amp;""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INDEX(Projects[MH Data Status],99)&amp;""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INDEX(Projects[MH Data Status],100)&amp;""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INDEX(Projects[MH Data Status],101)&amp;""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INDEX(Projects[MH Data Status],102)&amp;""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INDEX(Projects[MH Data Status],103)&amp;""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INDEX(Projects[MH Data Status],104)&amp;""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INDEX(Projects[MH Data Status],105)&amp;""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INDEX(Projects[MH Data Status],106)&amp;""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INDEX(Projects[MH Data Status],107)&amp;""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INDEX(Projects[MH Data Status],108)&amp;""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INDEX(Projects[MH Data Status],109)&amp;""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INDEX(Projects[MH Data Status],110)&amp;""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INDEX(Projects[MH Data Status],111)&amp;""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INDEX(Projects[MH Data Status],112)&amp;""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INDEX(Projects[MH Data Status],113)&amp;""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INDEX(Projects[MH Data Status],114)&amp;""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INDEX(Projects[MH Data Status],115)&amp;""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INDEX(Projects[MH Data Status],116)&amp;""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INDEX(Projects[MH Data Status],117)&amp;""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INDEX(Projects[MH Data Status],118)&amp;""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INDEX(Projects[MH Data Status],119)&amp;""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INDEX(Projects[MH Data Status],120)&amp;""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INDEX(Projects[MH Data Status],121)&amp;""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INDEX(Projects[MH Data Status],122)&amp;""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INDEX(Projects[MH Data Status],123)&amp;""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INDEX(Projects[MH Data Status],124)&amp;""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INDEX(Projects[MH Data Status],125)&amp;""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INDEX(Projects[MH Data Status],126)&amp;""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INDEX(Projects[MH Data Status],127)&amp;""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INDEX(Projects[MH Data Status],128)&amp;""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INDEX(Projects[MH Data Status],129)&amp;""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INDEX(Projects[MH Data Status],130)&amp;""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INDEX(Projects[MH Data Status],131)&amp;""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INDEX(Projects[MH Data Status],132)&amp;""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INDEX(Projects[MH Data Status],133)&amp;""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INDEX(Projects[MH Data Status],134)&amp;""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INDEX(Projects[MH Data Status],135)&amp;""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INDEX(Projects[MH Data Status],136)&amp;""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INDEX(Projects[MH Data Status],137)&amp;""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INDEX(Projects[MH Data Status],138)&amp;""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INDEX(Projects[MH Data Status],139)&amp;""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INDEX(Projects[MH Data Status],140)&amp;""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INDEX(Projects[MH Data Status],141)&amp;""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INDEX(Projects[MH Data Status],142)&amp;""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INDEX(Projects[MH Data Status],143)&amp;""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INDEX(Projects[MH Data Status],144)&amp;""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INDEX(Projects[MH Data Status],145)&amp;""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INDEX(Projects[MH Data Status],146)&amp;""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INDEX(Projects[MH Data Status],147)&amp;""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INDEX(Projects[MH Data Status],148)&amp;""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INDEX(Projects[MH Data Status],149)&amp;""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INDEX(Projects[MH Data Status],150)&amp;""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INDEX(Projects[MH Data Status],151)&amp;""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INDEX(Projects[MH Data Status],152)&amp;""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INDEX(Projects[MH Data Status],153)&amp;""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INDEX(Projects[MH Data Status],154)&amp;""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INDEX(Projects[MH Data Status],155)&amp;""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INDEX(Projects[MH Data Status],156)&amp;""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INDEX(Projects[MH Data Status],157)&amp;""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INDEX(Projects[MH Data Status],158)&amp;""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INDEX(Projects[MH Data Status],159)&amp;""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INDEX(Projects[MH Data Status],160)&amp;""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INDEX(Projects[MH Data Status],161)&amp;""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INDEX(Projects[MH Data Status],162)&amp;""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INDEX(Projects[MH Data Status],163)&amp;""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INDEX(Projects[MH Data Status],164)&amp;""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INDEX(Projects[MH Data Status],165)&amp;""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INDEX(Projects[MH Data Status],166)&amp;""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INDEX(Projects[MH Data Status],167)&amp;""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INDEX(Projects[MH Data Status],168)&amp;""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INDEX(Projects[MH Data Status],169)&amp;""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INDEX(Projects[MH Data Status],170)&amp;""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INDEX(Projects[MH Data Status],171)&amp;""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INDEX(Projects[MH Data Status],172)&amp;""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INDEX(Projects[MH Data Status],173)&amp;""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INDEX(Projects[MH Data Status],174)&amp;""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INDEX(Projects[MH Data Status],175)&amp;""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INDEX(Projects[MH Data Status],176)&amp;""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INDEX(Projects[MH Data Status],177)&amp;""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INDEX(Projects[MH Data Status],178)&amp;""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INDEX(Projects[MH Data Status],179)&amp;""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INDEX(Projects[MH Data Status],180)&amp;""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INDEX(Projects[MH Data Status],181)&amp;""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INDEX(Projects[MH Data Status],182)&amp;""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INDEX(Projects[MH Data Status],183)&amp;""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INDEX(Projects[MH Data Status],184)&amp;""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INDEX(Projects[MH Data Status],185)&amp;""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INDEX(Projects[MH Data Status],186)&amp;""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INDEX(Projects[MH Data Status],187)&amp;""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INDEX(Projects[MH Data Status],188)&amp;""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INDEX(Projects[MH Data Status],189)&amp;""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INDEX(Projects[MH Data Status],190)&amp;""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INDEX(Projects[MH Data Status],191)&amp;""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INDEX(Projects[MH Data Status],192)&amp;""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INDEX(Projects[MH Data Status],193)&amp;""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INDEX(Projects[MH Data Status],194)&amp;""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INDEX(Projects[MH Data Status],195)&amp;""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INDEX(Projects[MH Data Status],196)&amp;""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INDEX(Projects[MH Data Status],197)&amp;""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INDEX(Projects[MH Data Status],198)&amp;""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INDEX(Projects[MH Data Status],199)&amp;""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INDEX(Projects[MH Data Status],200)&amp;""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INDEX(Projects[MH Data Status],201)&amp;""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INDEX(Projects[MH Data Status],202)&amp;""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INDEX(Projects[MH Data Status],203)&amp;""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INDEX(Projects[MH Data Status],204)&amp;""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INDEX(Projects[MH Data Status],205)&amp;""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INDEX(Projects[MH Data Status],206)&amp;""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INDEX(Projects[MH Data Status],207)&amp;""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INDEX(Projects[MH Data Status],208)&amp;""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INDEX(Projects[MH Data Status],209)&amp;""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INDEX(Projects[MH Data Status],210)&amp;""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INDEX(Projects[MH Data Status],211)&amp;""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INDEX(Projects[MH Data Status],212)&amp;""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INDEX(Projects[MH Data Status],213)&amp;""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INDEX(Projects[MH Data Status],214)&amp;""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INDEX(Projects[MH Data Status],215)&amp;""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INDEX(Projects[MH Data Status],216)&amp;""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INDEX(Projects[MH Data Status],217)&amp;""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INDEX(Projects[MH Data Status],218)&amp;""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INDEX(Projects[MH Data Status],219)&amp;""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INDEX(Projects[MH Data Status],220)&amp;""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INDEX(Projects[MH Data Status],221)&amp;""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INDEX(Projects[MH Data Status],222)&amp;""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INDEX(Projects[MH Data Status],223)&amp;""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INDEX(Projects[MH Data Status],224)&amp;""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INDEX(Projects[MH Data Status],225)&amp;""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INDEX(Projects[MH Data Status],226)&amp;""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INDEX(Projects[MH Data Status],227)&amp;""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INDEX(Projects[MH Data Status],228)&amp;""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INDEX(Projects[MH Data Status],229)&amp;""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INDEX(Projects[MH Data Status],230)&amp;""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INDEX(Projects[MH Data Status],231)&amp;""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INDEX(Projects[MH Data Status],232)&amp;""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INDEX(Projects[MH Data Status],233)&amp;""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INDEX(Projects[MH Data Status],234)&amp;""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INDEX(Projects[MH Data Status],235)&amp;""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INDEX(Projects[MH Data Status],236)&amp;""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INDEX(Projects[MH Data Status],237)&amp;""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INDEX(Projects[MH Data Status],238)&amp;""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INDEX(Projects[MH Data Status],239)&amp;""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INDEX(Projects[MH Data Status],240)&amp;""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INDEX(Projects[MH Data Status],241)&amp;""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INDEX(Projects[MH Data Status],242)&amp;""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INDEX(Projects[MH Data Status],243)&amp;""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INDEX(Projects[MH Data Status],244)&amp;""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INDEX(Projects[MH Data Status],245)&amp;""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INDEX(Projects[MH Data Status],246)&amp;""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INDEX(Projects[MH Data Status],247)&amp;""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INDEX(Projects[MH Data Status],248)&amp;""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INDEX(Projects[MH Data Status],249)&amp;""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INDEX(Projects[MH Data Status],250)&amp;""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INDEX(Projects[MH Data Status],251)&amp;""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INDEX(Projects[MH Data Status],252)&amp;""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INDEX(Projects[MH Data Status],253)&amp;""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INDEX(Projects[MH Data Status],254)&amp;""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INDEX(Projects[MH Data Status],255)&amp;""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INDEX(Projects[MH Data Status],256)&amp;""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INDEX(Projects[MH Data Status],257)&amp;""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INDEX(Projects[MH Data Status],258)&amp;""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INDEX(Projects[MH Data Status],259)&amp;""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INDEX(Projects[MH Data Status],260)&amp;""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INDEX(Projects[MH Data Status],261)&amp;""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INDEX(Projects[MH Data Status],262)&amp;""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INDEX(Projects[MH Data Status],263)&amp;""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INDEX(Projects[MH Data Status],264)&amp;""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INDEX(Projects[MH Data Status],265)&amp;""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INDEX(Projects[MH Data Status],266)&amp;""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INDEX(Projects[MH Data Status],267)&amp;""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INDEX(Projects[MH Data Status],268)&amp;""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INDEX(Projects[MH Data Status],269)&amp;""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INDEX(Projects[MH Data Status],270)&amp;""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INDEX(Projects[MH Data Status],271)&amp;""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INDEX(Projects[MH Data Status],272)&amp;""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INDEX(Projects[MH Data Status],273)&amp;""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INDEX(Projects[MH Data Status],274)&amp;""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INDEX(Projects[MH Data Status],275)&amp;""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INDEX(Projects[MH Data Status],276)&amp;""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INDEX(Projects[MH Data Status],277)&amp;""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INDEX(Projects[MH Data Status],278)&amp;""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INDEX(Projects[MH Data Status],279)&amp;""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INDEX(Projects[MH Data Status],280)&amp;""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INDEX(Projects[MH Data Status],281)&amp;""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INDEX(Projects[MH Data Status],282)&amp;""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INDEX(Projects[MH Data Status],283)&amp;""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INDEX(Projects[MH Data Status],284)&amp;""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INDEX(Projects[MH Data Status],285)&amp;""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INDEX(Projects[MH Data Status],286)&amp;""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INDEX(Projects[MH Data Status],287)&amp;""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INDEX(Projects[MH Data Status],288)&amp;""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INDEX(Projects[MH Data Status],289)&amp;""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INDEX(Projects[MH Data Status],290)&amp;""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INDEX(Projects[MH Data Status],291)&amp;""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INDEX(Projects[MH Data Status],292)&amp;""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INDEX(Projects[MH Data Status],293)&amp;""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INDEX(Projects[MH Data Status],294)&amp;""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INDEX(Projects[MH Data Status],295)&amp;""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INDEX(Projects[MH Data Status],296)&amp;""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INDEX(Projects[MH Data Status],297)&amp;""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INDEX(Projects[MH Data Status],298)&amp;""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INDEX(Projects[MH Data Status],299)&amp;""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INDEX(Projects[MH Data Status],300)&amp;""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INDEX(Projects[MH Data Status],301)&amp;""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INDEX(Projects[MH Data Status],302)&amp;""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INDEX(Projects[MH Data Status],303)&amp;""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INDEX(Projects[MH Data Status],304)&amp;""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INDEX(Projects[MH Data Status],305)&amp;""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INDEX(Projects[MH Data Status],306)&amp;""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INDEX(Projects[MH Data Status],307)&amp;""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INDEX(Projects[MH Data Status],308)&amp;""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INDEX(Projects[MH Data Status],309)&amp;""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INDEX(Projects[MH Data Status],310)&amp;""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INDEX(Projects[MH Data Status],311)&amp;""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INDEX(Projects[MH Data Status],312)&amp;""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INDEX(Projects[MH Data Status],313)&amp;""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INDEX(Projects[MH Data Status],314)&amp;""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INDEX(Projects[MH Data Status],315)&amp;""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INDEX(Projects[MH Data Status],316)&amp;""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INDEX(Projects[MH Data Status],317)&amp;""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INDEX(Projects[MH Data Status],318)&amp;""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INDEX(Projects[MH Data Status],319)&amp;""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INDEX(Projects[MH Data Status],320)&amp;""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INDEX(Projects[MH Data Status],321)&amp;""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INDEX(Projects[MH Data Status],322)&amp;""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INDEX(Projects[MH Data Status],323)&amp;""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INDEX(Projects[MH Data Status],324)&amp;""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INDEX(Projects[MH Data Status],325)&amp;""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INDEX(Projects[MH Data Status],326)&amp;""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INDEX(Projects[MH Data Status],327)&amp;""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INDEX(Projects[MH Data Status],328)&amp;""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INDEX(Projects[MH Data Status],329)&amp;""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INDEX(Projects[MH Data Status],330)&amp;""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INDEX(Projects[MH Data Status],331)&amp;""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INDEX(Projects[MH Data Status],332)&amp;""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INDEX(Projects[MH Data Status],333)&amp;""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INDEX(Projects[MH Data Status],334)&amp;""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INDEX(Projects[MH Data Status],335)&amp;""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INDEX(Projects[MH Data Status],336)&amp;""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INDEX(Projects[MH Data Status],337)&amp;""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INDEX(Projects[MH Data Status],338)&amp;""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INDEX(Projects[MH Data Status],339)&amp;""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INDEX(Projects[MH Data Status],340)&amp;""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INDEX(Projects[MH Data Status],341)&amp;""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INDEX(Projects[MH Data Status],342)&amp;""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INDEX(Projects[MH Data Status],343)&amp;""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INDEX(Projects[MH Data Status],344)&amp;""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INDEX(Projects[MH Data Status],345)&amp;""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INDEX(Projects[MH Data Status],346)&amp;""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INDEX(Projects[MH Data Status],347)&amp;""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INDEX(Projects[MH Data Status],348)&amp;""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INDEX(Projects[MH Data Status],349)&amp;""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INDEX(Projects[MH Data Status],350)&amp;""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INDEX(Projects[MH Data Status],351)&amp;""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INDEX(Projects[MH Data Status],352)&amp;""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INDEX(Projects[MH Data Status],353)&amp;""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INDEX(Projects[MH Data Status],354)&amp;""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INDEX(Projects[MH Data Status],355)&amp;""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INDEX(Projects[MH Data Status],356)&amp;""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INDEX(Projects[MH Data Status],357)&amp;""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INDEX(Projects[MH Data Status],358)&amp;""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INDEX(Projects[MH Data Status],359)&amp;""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INDEX(Projects[MH Data Status],360)&amp;""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INDEX(Projects[MH Data Status],361)&amp;""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INDEX(Projects[MH Data Status],362)&amp;""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INDEX(Projects[MH Data Status],363)&amp;""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INDEX(Projects[MH Data Status],364)&amp;""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INDEX(Projects[MH Data Status],365)&amp;""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INDEX(Projects[MH Data Status],366)&amp;""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INDEX(Projects[MH Data Status],367)&amp;""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INDEX(Projects[MH Data Status],368)&amp;""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INDEX(Projects[MH Data Status],369)&amp;""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INDEX(Projects[MH Data Status],370)&amp;""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INDEX(Projects[MH Data Status],371)&amp;""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INDEX(Projects[MH Data Status],372)&amp;""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INDEX(Projects[MH Data Status],373)&amp;""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INDEX(Projects[MH Data Status],374)&amp;""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INDEX(Projects[MH Data Status],375)&amp;""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INDEX(Projects[MH Data Status],376)&amp;""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INDEX(Projects[MH Data Status],377)&amp;""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INDEX(Projects[MH Data Status],378)&amp;""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INDEX(Projects[MH Data Status],379)&amp;""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INDEX(Projects[MH Data Status],380)&amp;""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INDEX(Projects[MH Data Status],381)&amp;""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INDEX(Projects[MH Data Status],382)&amp;""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INDEX(Projects[MH Data Status],383)&amp;""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INDEX(Projects[MH Data Status],384)&amp;""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INDEX(Projects[MH Data Status],385)&amp;""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INDEX(Projects[MH Data Status],386)&amp;""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INDEX(Projects[MH Data Status],387)&amp;""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INDEX(Projects[MH Data Status],388)&amp;""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INDEX(Projects[MH Data Status],389)&amp;""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INDEX(Projects[MH Data Status],390)&amp;""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INDEX(Projects[MH Data Status],391)&amp;""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INDEX(Projects[MH Data Status],392)&amp;""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INDEX(Projects[MH Data Status],393)&amp;""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INDEX(Projects[MH Data Status],394)&amp;""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INDEX(Projects[MH Data Status],395)&amp;""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INDEX(Projects[MH Data Status],396)&amp;""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INDEX(Projects[MH Data Status],397)&amp;""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INDEX(Projects[MH Data Status],398)&amp;""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INDEX(Projects[MH Data Status],399)&amp;""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INDEX(Projects[MH Data Status],400)&amp;""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INDEX(Projects[MH Data Status],401)&amp;""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INDEX(Projects[MH Data Status],402)&amp;""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INDEX(Projects[MH Data Status],403)&amp;""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INDEX(Projects[MH Data Status],404)&amp;""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INDEX(Projects[MH Data Status],405)&amp;""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INDEX(Projects[MH Data Status],406)&amp;""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INDEX(Projects[MH Data Status],407)&amp;""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INDEX(Projects[MH Data Status],408)&amp;""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INDEX(Projects[MH Data Status],409)&amp;""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INDEX(Projects[MH Data Status],410)&amp;""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INDEX(Projects[MH Data Status],411)&amp;""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INDEX(Projects[MH Data Status],412)&amp;""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INDEX(Projects[MH Data Status],413)&amp;""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INDEX(Projects[MH Data Status],414)&amp;""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INDEX(Projects[MH Data Status],415)&amp;""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INDEX(Projects[MH Data Status],416)&amp;""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INDEX(Projects[MH Data Status],417)&amp;""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INDEX(Projects[MH Data Status],418)&amp;""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INDEX(Projects[MH Data Status],419)&amp;""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INDEX(Projects[MH Data Status],420)&amp;""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INDEX(Projects[MH Data Status],421)&amp;""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INDEX(Projects[MH Data Status],422)&amp;""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INDEX(Projects[MH Data Status],423)&amp;""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INDEX(Projects[MH Data Status],424)&amp;""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INDEX(Projects[MH Data Status],425)&amp;""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INDEX(Projects[MH Data Status],426)&amp;""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INDEX(Projects[MH Data Status],427)&amp;""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INDEX(Projects[MH Data Status],428)&amp;""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INDEX(Projects[MH Data Status],429)&amp;""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INDEX(Projects[MH Data Status],430)&amp;""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INDEX(Projects[MH Data Status],431)&amp;""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INDEX(Projects[MH Data Status],432)&amp;""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INDEX(Projects[MH Data Status],433)&amp;""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INDEX(Projects[MH Data Status],434)&amp;""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INDEX(Projects[MH Data Status],435)&amp;""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INDEX(Projects[MH Data Status],436)&amp;""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INDEX(Projects[MH Data Status],437)&amp;""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INDEX(Projects[MH Data Status],438)&amp;""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INDEX(Projects[MH Data Status],439)&amp;""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INDEX(Projects[MH Data Status],440)&amp;""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INDEX(Projects[MH Data Status],441)&amp;""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INDEX(Projects[MH Data Status],442)&amp;""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INDEX(Projects[MH Data Status],443)&amp;""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INDEX(Projects[MH Data Status],444)&amp;""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INDEX(Projects[MH Data Status],445)&amp;""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INDEX(Projects[MH Data Status],446)&amp;""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INDEX(Projects[MH Data Status],447)&amp;""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INDEX(Projects[MH Data Status],448)&amp;""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INDEX(Projects[MH Data Status],449)&amp;""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INDEX(Projects[MH Data Status],450)&amp;""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INDEX(Projects[MH Data Status],451)&amp;""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INDEX(Projects[MH Data Status],452)&amp;""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INDEX(Projects[MH Data Status],453)&amp;""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INDEX(Projects[MH Data Status],454)&amp;""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INDEX(Projects[MH Data Status],455)&amp;""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INDEX(Projects[MH Data Status],456)&amp;""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INDEX(Projects[MH Data Status],457)&amp;""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INDEX(Projects[MH Data Status],458)&amp;""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INDEX(Projects[MH Data Status],459)&amp;""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INDEX(Projects[MH Data Status],460)&amp;""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INDEX(Projects[MH Data Status],461)&amp;""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INDEX(Projects[MH Data Status],462)&amp;""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INDEX(Projects[MH Data Status],463)&amp;""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INDEX(Projects[MH Data Status],464)&amp;""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INDEX(Projects[MH Data Status],465)&amp;""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INDEX(Projects[MH Data Status],466)&amp;""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INDEX(Projects[MH Data Status],467)&amp;""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INDEX(Projects[MH Data Status],468)&amp;""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INDEX(Projects[MH Data Status],469)&amp;""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INDEX(Projects[MH Data Status],470)&amp;""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INDEX(Projects[MH Data Status],471)&amp;""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INDEX(Projects[MH Data Status],472)&amp;""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INDEX(Projects[MH Data Status],473)&amp;""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INDEX(Projects[MH Data Status],474)&amp;""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INDEX(Projects[MH Data Status],475)&amp;""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INDEX(Projects[MH Data Status],476)&amp;""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INDEX(Projects[MH Data Status],477)&amp;""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INDEX(Projects[MH Data Status],478)&amp;""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INDEX(Projects[MH Data Status],479)&amp;""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INDEX(Projects[MH Data Status],480)&amp;""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INDEX(Projects[MH Data Status],481)&amp;""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INDEX(Projects[MH Data Status],482)&amp;""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INDEX(Projects[MH Data Status],483)&amp;""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INDEX(Projects[MH Data Status],484)&amp;""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INDEX(Projects[MH Data Status],485)&amp;""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INDEX(Projects[MH Data Status],486)&amp;""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INDEX(Projects[MH Data Status],487)&amp;""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INDEX(Projects[MH Data Status],488)&amp;""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INDEX(Projects[MH Data Status],489)&amp;""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INDEX(Projects[MH Data Status],490)&amp;""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INDEX(Projects[MH Data Status],491)&amp;""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INDEX(Projects[MH Data Status],492)&amp;""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INDEX(Projects[MH Data Status],493)&amp;""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INDEX(Projects[MH Data Status],494)&amp;""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INDEX(Projects[MH Data Status],495)&amp;""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INDEX(Projects[MH Data Status],496)&amp;""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INDEX(Projects[MH Data Status],497)&amp;""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INDEX(Projects[MH Data Status],498)&amp;""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INDEX(Projects[MH Data Status],499)&amp;""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4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0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1" t="n"/>
      <c r="C3" s="172" t="inlineStr">
        <is>
          <t xml:space="preserve">  RANK 1  —  Best Match</t>
        </is>
      </c>
      <c r="I3" s="153" t="n"/>
      <c r="J3" s="173" t="inlineStr">
        <is>
          <t xml:space="preserve">  RANK 2  —  2nd Match</t>
        </is>
      </c>
      <c r="P3" s="153" t="n"/>
      <c r="Q3" s="174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5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IFERROR(INDEX(_Helper!CB2:CB501,MATCH(LARGE(_Helper!BH2:BH501,1),_Helper!BH2:BH501,0)),"-")</f>
        <v/>
      </c>
      <c r="D9" s="91" t="n"/>
      <c r="E9" s="91" t="n"/>
      <c r="F9" s="91" t="n"/>
      <c r="G9" s="91" t="n"/>
      <c r="H9" s="91" t="n"/>
      <c r="I9" s="8" t="n"/>
      <c r="J9" s="136">
        <f>IFERROR(INDEX(_Helper!CB2:CB501,MATCH(LARGE(_Helper!BH2:BH501,2),_Helper!BH2:BH501,0)),"-")</f>
        <v/>
      </c>
      <c r="K9" s="91" t="n"/>
      <c r="L9" s="91" t="n"/>
      <c r="M9" s="91" t="n"/>
      <c r="N9" s="91" t="n"/>
      <c r="O9" s="91" t="n"/>
      <c r="P9" s="8" t="n"/>
      <c r="Q9" s="138">
        <f>IFERROR(INDEX(_Helper!CB2:CB501,MATCH(LARGE(_Helper!BH2:BH501,3),_Helper!BH2:BH501,0)),"-")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Value (USD equiv.)</t>
        </is>
      </c>
      <c r="B11" s="91" t="n"/>
      <c r="C11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1" s="91" t="n"/>
      <c r="E11" s="91" t="n"/>
      <c r="F11" s="91" t="n"/>
      <c r="G11" s="91" t="n"/>
      <c r="H11" s="91" t="n"/>
      <c r="I11" s="8" t="n"/>
      <c r="J11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1" s="91" t="n"/>
      <c r="L11" s="91" t="n"/>
      <c r="M11" s="91" t="n"/>
      <c r="N11" s="91" t="n"/>
      <c r="O11" s="91" t="n"/>
      <c r="P11" s="8" t="n"/>
      <c r="Q11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1" s="91" t="n"/>
      <c r="S11" s="91" t="n"/>
      <c r="T11" s="91" t="n"/>
      <c r="U11" s="91" t="n"/>
      <c r="V11" s="91" t="n"/>
    </row>
    <row r="12" ht="19.5" customHeight="1" s="74">
      <c r="A12" s="175" t="inlineStr">
        <is>
          <t xml:space="preserve">  SYSTEM SPECIFICATIONS</t>
        </is>
      </c>
    </row>
    <row r="13" ht="19.5" customHeight="1" s="74">
      <c r="A13" s="140" t="inlineStr">
        <is>
          <t>MS Shuttles</t>
        </is>
      </c>
      <c r="B13" s="91" t="n"/>
      <c r="C13" s="135">
        <f>IFERROR(INDEX(_Helper!C2:C501,MATCH(LARGE(_Helper!BH2:BH501,1),_Helper!BH2:BH501,0)),"-")</f>
        <v/>
      </c>
      <c r="D13" s="91" t="n"/>
      <c r="E13" s="91" t="n"/>
      <c r="F13" s="91" t="n"/>
      <c r="G13" s="91" t="n"/>
      <c r="H13" s="91" t="n"/>
      <c r="I13" s="7" t="n"/>
      <c r="J13" s="136">
        <f>IFERROR(INDEX(_Helper!C2:C501,MATCH(LARGE(_Helper!BH2:BH501,2),_Helper!BH2:BH501,0)),"-")</f>
        <v/>
      </c>
      <c r="K13" s="91" t="n"/>
      <c r="L13" s="91" t="n"/>
      <c r="M13" s="91" t="n"/>
      <c r="N13" s="91" t="n"/>
      <c r="O13" s="91" t="n"/>
      <c r="P13" s="7" t="n"/>
      <c r="Q13" s="138">
        <f>IFERROR(INDEX(_Helper!C2:C501,MATCH(LARGE(_Helper!BH2:BH501,3),_Helper!BH2:BH501,0)),"-")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37" t="inlineStr">
        <is>
          <t>MS Tote Locations</t>
        </is>
      </c>
      <c r="B14" s="91" t="n"/>
      <c r="C14" s="135">
        <f>IFERROR(INDEX(_Helper!D2:D501,MATCH(LARGE(_Helper!BH2:BH501,1),_Helper!BH2:BH501,0)),"-")</f>
        <v/>
      </c>
      <c r="D14" s="91" t="n"/>
      <c r="E14" s="91" t="n"/>
      <c r="F14" s="91" t="n"/>
      <c r="G14" s="91" t="n"/>
      <c r="H14" s="91" t="n"/>
      <c r="I14" s="8" t="n"/>
      <c r="J14" s="136">
        <f>IFERROR(INDEX(_Helper!D2:D501,MATCH(LARGE(_Helper!BH2:BH501,2),_Helper!BH2:BH501,0)),"-")</f>
        <v/>
      </c>
      <c r="K14" s="91" t="n"/>
      <c r="L14" s="91" t="n"/>
      <c r="M14" s="91" t="n"/>
      <c r="N14" s="91" t="n"/>
      <c r="O14" s="91" t="n"/>
      <c r="P14" s="8" t="n"/>
      <c r="Q14" s="138">
        <f>IFERROR(INDEX(_Helper!D2:D501,MATCH(LARGE(_Helper!BH2:BH501,3),_Helper!BH2:BH501,0)),"-")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40" t="inlineStr">
        <is>
          <t>AS Robots</t>
        </is>
      </c>
      <c r="B15" s="91" t="n"/>
      <c r="C15" s="135">
        <f>IFERROR(INDEX(_Helper!E2:E501,MATCH(LARGE(_Helper!BH2:BH501,1),_Helper!BH2:BH501,0)),"-")</f>
        <v/>
      </c>
      <c r="D15" s="91" t="n"/>
      <c r="E15" s="91" t="n"/>
      <c r="F15" s="91" t="n"/>
      <c r="G15" s="91" t="n"/>
      <c r="H15" s="91" t="n"/>
      <c r="I15" s="7" t="n"/>
      <c r="J15" s="136">
        <f>IFERROR(INDEX(_Helper!E2:E501,MATCH(LARGE(_Helper!BH2:BH501,2),_Helper!BH2:BH501,0)),"-")</f>
        <v/>
      </c>
      <c r="K15" s="91" t="n"/>
      <c r="L15" s="91" t="n"/>
      <c r="M15" s="91" t="n"/>
      <c r="N15" s="91" t="n"/>
      <c r="O15" s="91" t="n"/>
      <c r="P15" s="7" t="n"/>
      <c r="Q15" s="138">
        <f>IFERROR(INDEX(_Helper!E2:E501,MATCH(LARGE(_Helper!BH2:BH501,3),_Helper!BH2:BH501,0)),"-")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37" t="inlineStr">
        <is>
          <t>AS Tote Locations</t>
        </is>
      </c>
      <c r="B16" s="91" t="n"/>
      <c r="C16" s="135">
        <f>IFERROR(INDEX(_Helper!F2:F501,MATCH(LARGE(_Helper!BH2:BH501,1),_Helper!BH2:BH501,0)),"-")</f>
        <v/>
      </c>
      <c r="D16" s="91" t="n"/>
      <c r="E16" s="91" t="n"/>
      <c r="F16" s="91" t="n"/>
      <c r="G16" s="91" t="n"/>
      <c r="H16" s="91" t="n"/>
      <c r="I16" s="8" t="n"/>
      <c r="J16" s="136">
        <f>IFERROR(INDEX(_Helper!F2:F501,MATCH(LARGE(_Helper!BH2:BH501,2),_Helper!BH2:BH501,0)),"-")</f>
        <v/>
      </c>
      <c r="K16" s="91" t="n"/>
      <c r="L16" s="91" t="n"/>
      <c r="M16" s="91" t="n"/>
      <c r="N16" s="91" t="n"/>
      <c r="O16" s="91" t="n"/>
      <c r="P16" s="8" t="n"/>
      <c r="Q16" s="138">
        <f>IFERROR(INDEX(_Helper!F2:F501,MATCH(LARGE(_Helper!BH2:BH501,3),_Helper!BH2:BH501,0)),"-")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40" t="inlineStr">
        <is>
          <t>PS Shuttles</t>
        </is>
      </c>
      <c r="B17" s="91" t="n"/>
      <c r="C17" s="135">
        <f>IFERROR(INDEX(_Helper!G2:G501,MATCH(LARGE(_Helper!BH2:BH501,1),_Helper!BH2:BH501,0)),"-")</f>
        <v/>
      </c>
      <c r="D17" s="91" t="n"/>
      <c r="E17" s="91" t="n"/>
      <c r="F17" s="91" t="n"/>
      <c r="G17" s="91" t="n"/>
      <c r="H17" s="91" t="n"/>
      <c r="I17" s="7" t="n"/>
      <c r="J17" s="136">
        <f>IFERROR(INDEX(_Helper!G2:G501,MATCH(LARGE(_Helper!BH2:BH501,2),_Helper!BH2:BH501,0)),"-")</f>
        <v/>
      </c>
      <c r="K17" s="91" t="n"/>
      <c r="L17" s="91" t="n"/>
      <c r="M17" s="91" t="n"/>
      <c r="N17" s="91" t="n"/>
      <c r="O17" s="91" t="n"/>
      <c r="P17" s="7" t="n"/>
      <c r="Q17" s="138">
        <f>IFERROR(INDEX(_Helper!G2:G501,MATCH(LARGE(_Helper!BH2:BH501,3),_Helper!BH2:BH501,0)),"-")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37" t="inlineStr">
        <is>
          <t>PS Pallet Locations</t>
        </is>
      </c>
      <c r="B18" s="91" t="n"/>
      <c r="C18" s="135">
        <f>IFERROR(INDEX(_Helper!H2:H501,MATCH(LARGE(_Helper!BH2:BH501,1),_Helper!BH2:BH501,0)),"-")</f>
        <v/>
      </c>
      <c r="D18" s="91" t="n"/>
      <c r="E18" s="91" t="n"/>
      <c r="F18" s="91" t="n"/>
      <c r="G18" s="91" t="n"/>
      <c r="H18" s="91" t="n"/>
      <c r="I18" s="8" t="n"/>
      <c r="J18" s="136">
        <f>IFERROR(INDEX(_Helper!H2:H501,MATCH(LARGE(_Helper!BH2:BH501,2),_Helper!BH2:BH501,0)),"-")</f>
        <v/>
      </c>
      <c r="K18" s="91" t="n"/>
      <c r="L18" s="91" t="n"/>
      <c r="M18" s="91" t="n"/>
      <c r="N18" s="91" t="n"/>
      <c r="O18" s="91" t="n"/>
      <c r="P18" s="8" t="n"/>
      <c r="Q18" s="138">
        <f>IFERROR(INDEX(_Helper!H2:H501,MATCH(LARGE(_Helper!BH2:BH501,3),_Helper!BH2:BH501,0)),"-")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40" t="inlineStr">
        <is>
          <t>SRM Cranes</t>
        </is>
      </c>
      <c r="B19" s="91" t="n"/>
      <c r="C19" s="135">
        <f>IFERROR(INDEX(_Helper!I2:I501,MATCH(LARGE(_Helper!BH2:BH501,1),_Helper!BH2:BH501,0)),"-")</f>
        <v/>
      </c>
      <c r="D19" s="91" t="n"/>
      <c r="E19" s="91" t="n"/>
      <c r="F19" s="91" t="n"/>
      <c r="G19" s="91" t="n"/>
      <c r="H19" s="91" t="n"/>
      <c r="I19" s="7" t="n"/>
      <c r="J19" s="136">
        <f>IFERROR(INDEX(_Helper!I2:I501,MATCH(LARGE(_Helper!BH2:BH501,2),_Helper!BH2:BH501,0)),"-")</f>
        <v/>
      </c>
      <c r="K19" s="91" t="n"/>
      <c r="L19" s="91" t="n"/>
      <c r="M19" s="91" t="n"/>
      <c r="N19" s="91" t="n"/>
      <c r="O19" s="91" t="n"/>
      <c r="P19" s="7" t="n"/>
      <c r="Q19" s="138">
        <f>IFERROR(INDEX(_Helper!I2:I501,MATCH(LARGE(_Helper!BH2:BH501,3),_Helper!BH2:BH501,0)),"-")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37" t="inlineStr">
        <is>
          <t>SRM Pallet Locations</t>
        </is>
      </c>
      <c r="B20" s="91" t="n"/>
      <c r="C20" s="135">
        <f>IFERROR(INDEX(_Helper!J2:J501,MATCH(LARGE(_Helper!BH2:BH501,1),_Helper!BH2:BH501,0)),"-")</f>
        <v/>
      </c>
      <c r="D20" s="91" t="n"/>
      <c r="E20" s="91" t="n"/>
      <c r="F20" s="91" t="n"/>
      <c r="G20" s="91" t="n"/>
      <c r="H20" s="91" t="n"/>
      <c r="I20" s="8" t="n"/>
      <c r="J20" s="136">
        <f>IFERROR(INDEX(_Helper!J2:J501,MATCH(LARGE(_Helper!BH2:BH501,2),_Helper!BH2:BH501,0)),"-")</f>
        <v/>
      </c>
      <c r="K20" s="91" t="n"/>
      <c r="L20" s="91" t="n"/>
      <c r="M20" s="91" t="n"/>
      <c r="N20" s="91" t="n"/>
      <c r="O20" s="91" t="n"/>
      <c r="P20" s="8" t="n"/>
      <c r="Q20" s="138">
        <f>IFERROR(INDEX(_Helper!J2:J501,MATCH(LARGE(_Helper!BH2:BH501,3),_Helper!BH2:BH501,0)),"-")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40" t="inlineStr">
        <is>
          <t>Case Conveyor (m)</t>
        </is>
      </c>
      <c r="B21" s="91" t="n"/>
      <c r="C21" s="135">
        <f>IFERROR(INDEX(_Helper!K2:K501,MATCH(LARGE(_Helper!BH2:BH501,1),_Helper!BH2:BH501,0)),"-")</f>
        <v/>
      </c>
      <c r="D21" s="91" t="n"/>
      <c r="E21" s="91" t="n"/>
      <c r="F21" s="91" t="n"/>
      <c r="G21" s="91" t="n"/>
      <c r="H21" s="91" t="n"/>
      <c r="I21" s="7" t="n"/>
      <c r="J21" s="136">
        <f>IFERROR(INDEX(_Helper!K2:K501,MATCH(LARGE(_Helper!BH2:BH501,2),_Helper!BH2:BH501,0)),"-")</f>
        <v/>
      </c>
      <c r="K21" s="91" t="n"/>
      <c r="L21" s="91" t="n"/>
      <c r="M21" s="91" t="n"/>
      <c r="N21" s="91" t="n"/>
      <c r="O21" s="91" t="n"/>
      <c r="P21" s="7" t="n"/>
      <c r="Q21" s="138">
        <f>IFERROR(INDEX(_Helper!K2:K501,MATCH(LARGE(_Helper!BH2:BH501,3),_Helper!BH2:BH501,0)),"-")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37" t="inlineStr">
        <is>
          <t>Pallet Conveyor (m)</t>
        </is>
      </c>
      <c r="B22" s="91" t="n"/>
      <c r="C22" s="135">
        <f>IFERROR(INDEX(_Helper!L2:L501,MATCH(LARGE(_Helper!BH2:BH501,1),_Helper!BH2:BH501,0)),"-")</f>
        <v/>
      </c>
      <c r="D22" s="91" t="n"/>
      <c r="E22" s="91" t="n"/>
      <c r="F22" s="91" t="n"/>
      <c r="G22" s="91" t="n"/>
      <c r="H22" s="91" t="n"/>
      <c r="I22" s="8" t="n"/>
      <c r="J22" s="136">
        <f>IFERROR(INDEX(_Helper!L2:L501,MATCH(LARGE(_Helper!BH2:BH501,2),_Helper!BH2:BH501,0)),"-")</f>
        <v/>
      </c>
      <c r="K22" s="91" t="n"/>
      <c r="L22" s="91" t="n"/>
      <c r="M22" s="91" t="n"/>
      <c r="N22" s="91" t="n"/>
      <c r="O22" s="91" t="n"/>
      <c r="P22" s="8" t="n"/>
      <c r="Q22" s="138">
        <f>IFERROR(INDEX(_Helper!L2:L501,MATCH(LARGE(_Helper!BH2:BH501,3),_Helper!BH2:BH501,0)),"-")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75" t="inlineStr">
        <is>
          <t xml:space="preserve">  SCHEDULE  (weeks)</t>
        </is>
      </c>
    </row>
    <row r="24" ht="19.5" customHeight="1" s="74">
      <c r="A24" s="140" t="inlineStr">
        <is>
          <t>Mechanical Engineering</t>
        </is>
      </c>
      <c r="B24" s="91" t="n"/>
      <c r="C24" s="135">
        <f>IFERROR(INDEX(_Helper!M2:M501,MATCH(LARGE(_Helper!BH2:BH501,1),_Helper!BH2:BH501,0)),"-")</f>
        <v/>
      </c>
      <c r="D24" s="91" t="n"/>
      <c r="E24" s="91" t="n"/>
      <c r="F24" s="91" t="n"/>
      <c r="G24" s="91" t="n"/>
      <c r="H24" s="91" t="n"/>
      <c r="I24" s="7" t="n"/>
      <c r="J24" s="136">
        <f>IFERROR(INDEX(_Helper!M2:M501,MATCH(LARGE(_Helper!BH2:BH501,2),_Helper!BH2:BH501,0)),"-")</f>
        <v/>
      </c>
      <c r="K24" s="91" t="n"/>
      <c r="L24" s="91" t="n"/>
      <c r="M24" s="91" t="n"/>
      <c r="N24" s="91" t="n"/>
      <c r="O24" s="91" t="n"/>
      <c r="P24" s="7" t="n"/>
      <c r="Q24" s="138">
        <f>IFERROR(INDEX(_Helper!M2:M501,MATCH(LARGE(_Helper!BH2:BH501,3),_Helper!BH2:BH501,0)),"-")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37" t="inlineStr">
        <is>
          <t>Controls Engineering</t>
        </is>
      </c>
      <c r="B25" s="91" t="n"/>
      <c r="C25" s="135">
        <f>IFERROR(INDEX(_Helper!N2:N501,MATCH(LARGE(_Helper!BH2:BH501,1),_Helper!BH2:BH501,0)),"-")</f>
        <v/>
      </c>
      <c r="D25" s="91" t="n"/>
      <c r="E25" s="91" t="n"/>
      <c r="F25" s="91" t="n"/>
      <c r="G25" s="91" t="n"/>
      <c r="H25" s="91" t="n"/>
      <c r="I25" s="8" t="n"/>
      <c r="J25" s="136">
        <f>IFERROR(INDEX(_Helper!N2:N501,MATCH(LARGE(_Helper!BH2:BH501,2),_Helper!BH2:BH501,0)),"-")</f>
        <v/>
      </c>
      <c r="K25" s="91" t="n"/>
      <c r="L25" s="91" t="n"/>
      <c r="M25" s="91" t="n"/>
      <c r="N25" s="91" t="n"/>
      <c r="O25" s="91" t="n"/>
      <c r="P25" s="8" t="n"/>
      <c r="Q25" s="138">
        <f>IFERROR(INDEX(_Helper!N2:N501,MATCH(LARGE(_Helper!BH2:BH501,3),_Helper!BH2:BH501,0)),"-")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40" t="inlineStr">
        <is>
          <t>Systems Engineering</t>
        </is>
      </c>
      <c r="B26" s="91" t="n"/>
      <c r="C26" s="135">
        <f>IFERROR(INDEX(_Helper!O2:O501,MATCH(LARGE(_Helper!BH2:BH501,1),_Helper!BH2:BH501,0)),"-")</f>
        <v/>
      </c>
      <c r="D26" s="91" t="n"/>
      <c r="E26" s="91" t="n"/>
      <c r="F26" s="91" t="n"/>
      <c r="G26" s="91" t="n"/>
      <c r="H26" s="91" t="n"/>
      <c r="I26" s="7" t="n"/>
      <c r="J26" s="136">
        <f>IFERROR(INDEX(_Helper!O2:O501,MATCH(LARGE(_Helper!BH2:BH501,2),_Helper!BH2:BH501,0)),"-")</f>
        <v/>
      </c>
      <c r="K26" s="91" t="n"/>
      <c r="L26" s="91" t="n"/>
      <c r="M26" s="91" t="n"/>
      <c r="N26" s="91" t="n"/>
      <c r="O26" s="91" t="n"/>
      <c r="P26" s="7" t="n"/>
      <c r="Q26" s="138">
        <f>IFERROR(INDEX(_Helper!O2:O501,MATCH(LARGE(_Helper!BH2:BH501,3),_Helper!BH2:BH501,0)),"-")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37" t="inlineStr">
        <is>
          <t>Software Engineering</t>
        </is>
      </c>
      <c r="B27" s="91" t="n"/>
      <c r="C27" s="135">
        <f>IFERROR(INDEX(_Helper!P2:P501,MATCH(LARGE(_Helper!BH2:BH501,1),_Helper!BH2:BH501,0)),"-")</f>
        <v/>
      </c>
      <c r="D27" s="91" t="n"/>
      <c r="E27" s="91" t="n"/>
      <c r="F27" s="91" t="n"/>
      <c r="G27" s="91" t="n"/>
      <c r="H27" s="91" t="n"/>
      <c r="I27" s="8" t="n"/>
      <c r="J27" s="136">
        <f>IFERROR(INDEX(_Helper!P2:P501,MATCH(LARGE(_Helper!BH2:BH501,2),_Helper!BH2:BH501,0)),"-")</f>
        <v/>
      </c>
      <c r="K27" s="91" t="n"/>
      <c r="L27" s="91" t="n"/>
      <c r="M27" s="91" t="n"/>
      <c r="N27" s="91" t="n"/>
      <c r="O27" s="91" t="n"/>
      <c r="P27" s="8" t="n"/>
      <c r="Q27" s="138">
        <f>IFERROR(INDEX(_Helper!P2:P501,MATCH(LARGE(_Helper!BH2:BH501,3),_Helper!BH2:BH501,0)),"-")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40" t="inlineStr">
        <is>
          <t>M&amp;E Installation</t>
        </is>
      </c>
      <c r="B28" s="91" t="n"/>
      <c r="C28" s="135">
        <f>IFERROR(INDEX(_Helper!Q2:Q501,MATCH(LARGE(_Helper!BH2:BH501,1),_Helper!BH2:BH501,0)),"-")</f>
        <v/>
      </c>
      <c r="D28" s="91" t="n"/>
      <c r="E28" s="91" t="n"/>
      <c r="F28" s="91" t="n"/>
      <c r="G28" s="91" t="n"/>
      <c r="H28" s="91" t="n"/>
      <c r="I28" s="7" t="n"/>
      <c r="J28" s="136">
        <f>IFERROR(INDEX(_Helper!Q2:Q501,MATCH(LARGE(_Helper!BH2:BH501,2),_Helper!BH2:BH501,0)),"-")</f>
        <v/>
      </c>
      <c r="K28" s="91" t="n"/>
      <c r="L28" s="91" t="n"/>
      <c r="M28" s="91" t="n"/>
      <c r="N28" s="91" t="n"/>
      <c r="O28" s="91" t="n"/>
      <c r="P28" s="7" t="n"/>
      <c r="Q28" s="138">
        <f>IFERROR(INDEX(_Helper!Q2:Q501,MATCH(LARGE(_Helper!BH2:BH501,3),_Helper!BH2:BH501,0)),"-")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7" t="inlineStr">
        <is>
          <t>Commissioning</t>
        </is>
      </c>
      <c r="B29" s="91" t="n"/>
      <c r="C29" s="135">
        <f>IFERROR(INDEX(_Helper!R2:R501,MATCH(LARGE(_Helper!BH2:BH501,1),_Helper!BH2:BH501,0)),"-")</f>
        <v/>
      </c>
      <c r="D29" s="91" t="n"/>
      <c r="E29" s="91" t="n"/>
      <c r="F29" s="91" t="n"/>
      <c r="G29" s="91" t="n"/>
      <c r="H29" s="91" t="n"/>
      <c r="I29" s="8" t="n"/>
      <c r="J29" s="136">
        <f>IFERROR(INDEX(_Helper!R2:R501,MATCH(LARGE(_Helper!BH2:BH501,2),_Helper!BH2:BH501,0)),"-")</f>
        <v/>
      </c>
      <c r="K29" s="91" t="n"/>
      <c r="L29" s="91" t="n"/>
      <c r="M29" s="91" t="n"/>
      <c r="N29" s="91" t="n"/>
      <c r="O29" s="91" t="n"/>
      <c r="P29" s="8" t="n"/>
      <c r="Q29" s="138">
        <f>IFERROR(INDEX(_Helper!R2:R501,MATCH(LARGE(_Helper!BH2:BH501,3),_Helper!BH2:BH501,0)),"-")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4" t="inlineStr">
        <is>
          <t>TOTAL PROJECT TIMELINE</t>
        </is>
      </c>
      <c r="B30" s="91" t="n"/>
      <c r="C30" s="150">
        <f>IFERROR(INDEX(_Helper!S2:S501,MATCH(LARGE(_Helper!BH2:BH501,1),_Helper!BH2:BH501,0)),"-")</f>
        <v/>
      </c>
      <c r="D30" s="91" t="n"/>
      <c r="E30" s="91" t="n"/>
      <c r="F30" s="91" t="n"/>
      <c r="G30" s="91" t="n"/>
      <c r="H30" s="91" t="n"/>
      <c r="I30" s="9" t="n"/>
      <c r="J30" s="146">
        <f>IFERROR(INDEX(_Helper!S2:S501,MATCH(LARGE(_Helper!BH2:BH501,2),_Helper!BH2:BH501,0)),"-")</f>
        <v/>
      </c>
      <c r="K30" s="91" t="n"/>
      <c r="L30" s="91" t="n"/>
      <c r="M30" s="91" t="n"/>
      <c r="N30" s="91" t="n"/>
      <c r="O30" s="91" t="n"/>
      <c r="P30" s="9" t="n"/>
      <c r="Q30" s="151">
        <f>IFERROR(INDEX(_Helper!S2:S501,MATCH(LARGE(_Helper!BH2:BH501,3),_Helper!BH2:BH501,0)),"-")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75" t="inlineStr">
        <is>
          <t xml:space="preserve">  AUTOMATION EQUIPMENT &amp; NOTES</t>
        </is>
      </c>
    </row>
    <row r="32" ht="39.75" customHeight="1" s="74">
      <c r="A32" s="140" t="inlineStr">
        <is>
          <t>Automation Equipment</t>
        </is>
      </c>
      <c r="B32" s="91" t="n"/>
      <c r="C32" s="135">
        <f>IFERROR(INDEX(_Helper!AZ2:AZ501,MATCH(LARGE(_Helper!BH2:BH501,1),_Helper!BH2:BH501,0)),"-")</f>
        <v/>
      </c>
      <c r="D32" s="91" t="n"/>
      <c r="E32" s="91" t="n"/>
      <c r="F32" s="91" t="n"/>
      <c r="G32" s="91" t="n"/>
      <c r="H32" s="91" t="n"/>
      <c r="I32" s="7" t="n"/>
      <c r="J32" s="136">
        <f>IFERROR(INDEX(_Helper!AZ2:AZ501,MATCH(LARGE(_Helper!BH2:BH501,2),_Helper!BH2:BH501,0)),"-")</f>
        <v/>
      </c>
      <c r="K32" s="91" t="n"/>
      <c r="L32" s="91" t="n"/>
      <c r="M32" s="91" t="n"/>
      <c r="N32" s="91" t="n"/>
      <c r="O32" s="91" t="n"/>
      <c r="P32" s="7" t="n"/>
      <c r="Q32" s="138">
        <f>IFERROR(INDEX(_Helper!AZ2:AZ501,MATCH(LARGE(_Helper!BH2:BH501,3),_Helper!BH2:BH501,0)),"-")</f>
        <v/>
      </c>
      <c r="R32" s="91" t="n"/>
      <c r="S32" s="91" t="n"/>
      <c r="T32" s="91" t="n"/>
      <c r="U32" s="91" t="n"/>
      <c r="V32" s="91" t="n"/>
    </row>
    <row r="33" ht="49.5" customHeight="1" s="74">
      <c r="A33" s="137" t="inlineStr">
        <is>
          <t>Notes / Lessons Learned</t>
        </is>
      </c>
      <c r="B33" s="91" t="n"/>
      <c r="C33" s="135">
        <f>IFERROR(INDEX(Projects[Notes / Lessons Learned],MATCH(LARGE(_Helper!BH2:BH501,1),_Helper!BH2:BH501,0))&amp;"","-")</f>
        <v/>
      </c>
      <c r="D33" s="91" t="n"/>
      <c r="E33" s="91" t="n"/>
      <c r="F33" s="91" t="n"/>
      <c r="G33" s="91" t="n"/>
      <c r="H33" s="91" t="n"/>
      <c r="I33" s="8" t="n"/>
      <c r="J33" s="136">
        <f>IFERROR(INDEX(Projects[Notes / Lessons Learned],MATCH(LARGE(_Helper!BH2:BH501,2),_Helper!BH2:BH501,0))&amp;"","-")</f>
        <v/>
      </c>
      <c r="K33" s="91" t="n"/>
      <c r="L33" s="91" t="n"/>
      <c r="M33" s="91" t="n"/>
      <c r="N33" s="91" t="n"/>
      <c r="O33" s="91" t="n"/>
      <c r="P33" s="8" t="n"/>
      <c r="Q33" s="138">
        <f>IFERROR(INDEX(Projects[Notes / Lessons Learned],MATCH(LARGE(_Helper!BH2:BH501,3),_Helper!BH2:BH501,0))&amp;"","-")</f>
        <v/>
      </c>
      <c r="R33" s="91" t="n"/>
      <c r="S33" s="91" t="n"/>
      <c r="T33" s="91" t="n"/>
      <c r="U33" s="91" t="n"/>
      <c r="V33" s="91" t="n"/>
    </row>
    <row r="34" ht="18" customHeight="1" s="74">
      <c r="A34" s="176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5">
    <mergeCell ref="C25:H25"/>
    <mergeCell ref="J15:O15"/>
    <mergeCell ref="A15:B15"/>
    <mergeCell ref="Q10:V10"/>
    <mergeCell ref="Q19:V19"/>
    <mergeCell ref="A5:V5"/>
    <mergeCell ref="C9:H9"/>
    <mergeCell ref="C11:H11"/>
    <mergeCell ref="J7:O7"/>
    <mergeCell ref="A7:B7"/>
    <mergeCell ref="Q22:V22"/>
    <mergeCell ref="A31:V31"/>
    <mergeCell ref="A27:B27"/>
    <mergeCell ref="C32:H32"/>
    <mergeCell ref="J33:O33"/>
    <mergeCell ref="C13:H13"/>
    <mergeCell ref="A33:B33"/>
    <mergeCell ref="J17:O17"/>
    <mergeCell ref="A17:B17"/>
    <mergeCell ref="Q13:V13"/>
    <mergeCell ref="Q7:V7"/>
    <mergeCell ref="Q21:V21"/>
    <mergeCell ref="A22:B22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J30:O30"/>
    <mergeCell ref="A30:B30"/>
    <mergeCell ref="C10:H10"/>
    <mergeCell ref="C16:H16"/>
    <mergeCell ref="A11:B11"/>
    <mergeCell ref="J4:O4"/>
    <mergeCell ref="J32:O32"/>
    <mergeCell ref="Q9:V9"/>
    <mergeCell ref="Q27:V27"/>
    <mergeCell ref="Q30:V30"/>
    <mergeCell ref="Q17:V17"/>
    <mergeCell ref="Q11:V11"/>
    <mergeCell ref="A26:B26"/>
    <mergeCell ref="C19:H19"/>
    <mergeCell ref="C28:H28"/>
    <mergeCell ref="J18:O18"/>
    <mergeCell ref="J8:O8"/>
    <mergeCell ref="A8:B8"/>
    <mergeCell ref="Q3:V3"/>
    <mergeCell ref="C30:H30"/>
    <mergeCell ref="C6:H6"/>
    <mergeCell ref="C14:H14"/>
    <mergeCell ref="J6:O6"/>
    <mergeCell ref="J10:O10"/>
    <mergeCell ref="A10:B10"/>
    <mergeCell ref="C4:H4"/>
    <mergeCell ref="J27:O27"/>
    <mergeCell ref="Q26:V26"/>
    <mergeCell ref="J11:O11"/>
    <mergeCell ref="J20:O20"/>
    <mergeCell ref="C27:H27"/>
    <mergeCell ref="J22:O22"/>
    <mergeCell ref="C8:H8"/>
    <mergeCell ref="C17:H17"/>
    <mergeCell ref="A3:B3"/>
    <mergeCell ref="J21:O21"/>
    <mergeCell ref="A21:B21"/>
    <mergeCell ref="A1:V1"/>
    <mergeCell ref="A32:B32"/>
    <mergeCell ref="A14:B14"/>
    <mergeCell ref="C3:H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C22:H22"/>
    <mergeCell ref="A23:V23"/>
    <mergeCell ref="Q4:V4"/>
    <mergeCell ref="J26:O26"/>
    <mergeCell ref="C21:H21"/>
    <mergeCell ref="A6:B6"/>
    <mergeCell ref="J16:O16"/>
    <mergeCell ref="A16:B16"/>
    <mergeCell ref="Q6:V6"/>
    <mergeCell ref="J25:O25"/>
    <mergeCell ref="Q15:V15"/>
    <mergeCell ref="A25:B25"/>
    <mergeCell ref="A18:B18"/>
    <mergeCell ref="A34:V34"/>
    <mergeCell ref="C7:H7"/>
    <mergeCell ref="J3:O3"/>
    <mergeCell ref="Q32:V32"/>
    <mergeCell ref="C18:H18"/>
    <mergeCell ref="Q16:V16"/>
    <mergeCell ref="Q25:V25"/>
    <mergeCell ref="C33:H33"/>
    <mergeCell ref="A20:B20"/>
    <mergeCell ref="J14:O14"/>
    <mergeCell ref="J29:O29"/>
    <mergeCell ref="A29:B29"/>
    <mergeCell ref="Q24:V24"/>
    <mergeCell ref="Q18:V18"/>
    <mergeCell ref="Q33:V33"/>
    <mergeCell ref="J13:O13"/>
    <mergeCell ref="A13:B13"/>
    <mergeCell ref="A12:V12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0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77" t="inlineStr">
        <is>
          <t>USD</t>
        </is>
      </c>
      <c r="B5" s="178" t="n">
        <v>1</v>
      </c>
      <c r="C5" s="179">
        <f>IF(B5&gt;0,1/B5,"")</f>
        <v/>
      </c>
      <c r="D5" s="180" t="n">
        <v>46290</v>
      </c>
    </row>
    <row r="6">
      <c r="A6" s="177" t="inlineStr">
        <is>
          <t>EUR</t>
        </is>
      </c>
      <c r="B6" s="178" t="n">
        <v>1.136965</v>
      </c>
      <c r="C6" s="179">
        <f>IF(B6&gt;0,1/B6,"")</f>
        <v/>
      </c>
      <c r="D6" s="180" t="n">
        <v>46290</v>
      </c>
    </row>
    <row r="7">
      <c r="A7" s="177" t="inlineStr">
        <is>
          <t>SGD</t>
        </is>
      </c>
      <c r="B7" s="178" t="n">
        <v>0.781627</v>
      </c>
      <c r="C7" s="179">
        <f>IF(B7&gt;0,1/B7,"")</f>
        <v/>
      </c>
      <c r="D7" s="180" t="n">
        <v>46290</v>
      </c>
    </row>
    <row r="8">
      <c r="A8" s="177" t="inlineStr">
        <is>
          <t>AUD</t>
        </is>
      </c>
      <c r="B8" s="178" t="n">
        <v>0.701303</v>
      </c>
      <c r="C8" s="179">
        <f>IF(B8&gt;0,1/B8,"")</f>
        <v/>
      </c>
      <c r="D8" s="180" t="n">
        <v>46290</v>
      </c>
    </row>
    <row r="9">
      <c r="A9" s="177" t="inlineStr">
        <is>
          <t>GBP</t>
        </is>
      </c>
      <c r="B9" s="178" t="n">
        <v>1.32115</v>
      </c>
      <c r="C9" s="179">
        <f>IF(B9&gt;0,1/B9,"")</f>
        <v/>
      </c>
      <c r="D9" s="180" t="n">
        <v>46290</v>
      </c>
    </row>
    <row r="10">
      <c r="A10" s="177" t="inlineStr">
        <is>
          <t>JPY</t>
        </is>
      </c>
      <c r="B10" s="178" t="n">
        <v>0.006314</v>
      </c>
      <c r="C10" s="179">
        <f>IF(B10&gt;0,1/B10,"")</f>
        <v/>
      </c>
      <c r="D10" s="180" t="n">
        <v>46290</v>
      </c>
    </row>
    <row r="11">
      <c r="A11" s="177" t="inlineStr">
        <is>
          <t>CNY</t>
        </is>
      </c>
      <c r="B11" s="178" t="n">
        <v>0.148965</v>
      </c>
      <c r="C11" s="179">
        <f>IF(B11&gt;0,1/B11,"")</f>
        <v/>
      </c>
      <c r="D11" s="180" t="n">
        <v>46290</v>
      </c>
    </row>
    <row r="12">
      <c r="A12" s="177" t="inlineStr">
        <is>
          <t>INR</t>
        </is>
      </c>
      <c r="B12" s="178" t="n">
        <v>0.010424</v>
      </c>
      <c r="C12" s="179">
        <f>IF(B12&gt;0,1/B12,"")</f>
        <v/>
      </c>
      <c r="D12" s="180" t="n">
        <v>46290</v>
      </c>
    </row>
    <row r="13">
      <c r="A13" s="177" t="inlineStr">
        <is>
          <t>MYR</t>
        </is>
      </c>
      <c r="B13" s="178" t="n">
        <v>0.245222</v>
      </c>
      <c r="C13" s="179">
        <f>IF(B13&gt;0,1/B13,"")</f>
        <v/>
      </c>
      <c r="D13" s="180" t="n">
        <v>46290</v>
      </c>
    </row>
    <row r="14">
      <c r="A14" s="177" t="inlineStr">
        <is>
          <t>THB</t>
        </is>
      </c>
      <c r="B14" s="178" t="n">
        <v>0.029894</v>
      </c>
      <c r="C14" s="179">
        <f>IF(B14&gt;0,1/B14,"")</f>
        <v/>
      </c>
      <c r="D14" s="180" t="n">
        <v>46290</v>
      </c>
    </row>
    <row r="16" ht="30" customHeight="1" s="74">
      <c r="A16" s="181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1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0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0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7" t="inlineStr">
        <is>
          <t xml:space="preserve">  HOW THE SMART SEARCH WORKS</t>
        </is>
      </c>
    </row>
    <row r="4" ht="15.75" customHeight="1" s="74">
      <c r="A4" s="182" t="inlineStr">
        <is>
          <t xml:space="preserve">   Step 1:  Set Include? to YES for every system in your project, NO for the rest.</t>
        </is>
      </c>
    </row>
    <row r="5" ht="15.75" customHeight="1" s="74">
      <c r="A5" s="182" t="inlineStr">
        <is>
          <t xml:space="preserve">   Step 2:  Enter your quantities for the included systems.</t>
        </is>
      </c>
    </row>
    <row r="6" ht="15.75" customHeight="1" s="74">
      <c r="A6" s="182" t="inlineStr">
        <is>
          <t xml:space="preserve">   The tool automatically distributes equal weight across all active parameters and ranks the database.</t>
        </is>
      </c>
    </row>
    <row r="7" ht="15.75" customHeight="1" s="74">
      <c r="A7" s="182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7" t="inlineStr">
        <is>
          <t xml:space="preserve">  MATCH SCORE EXPLAINED</t>
        </is>
      </c>
    </row>
    <row r="10" ht="15.75" customHeight="1" s="74">
      <c r="A10" s="182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82" t="inlineStr">
        <is>
          <t xml:space="preserve">   All active parameters receive equal weight.  Final score = average of all active parameter scores.</t>
        </is>
      </c>
    </row>
    <row r="12" ht="15.75" customHeight="1" s="74">
      <c r="A12" s="182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82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82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7" t="inlineStr">
        <is>
          <t xml:space="preserve">  SYSTEMS SUPPORTED</t>
        </is>
      </c>
    </row>
    <row r="16" ht="15.75" customHeight="1" s="74">
      <c r="A16" s="182" t="inlineStr">
        <is>
          <t xml:space="preserve">   Multishuttle    — Shuttles + Tote Locations</t>
        </is>
      </c>
    </row>
    <row r="17" ht="15.75" customHeight="1" s="74">
      <c r="A17" s="182" t="inlineStr">
        <is>
          <t xml:space="preserve">   AutoStore       — Robots + Tote Locations</t>
        </is>
      </c>
    </row>
    <row r="18" ht="15.75" customHeight="1" s="74">
      <c r="A18" s="182" t="inlineStr">
        <is>
          <t xml:space="preserve">   Pallet Shuttle  — Shuttles + Pallet Locations</t>
        </is>
      </c>
    </row>
    <row r="19" ht="15.75" customHeight="1" s="74">
      <c r="A19" s="182" t="inlineStr">
        <is>
          <t xml:space="preserve">   SRM Crane       — Cranes + Pallet Locations</t>
        </is>
      </c>
    </row>
    <row r="20" ht="15.75" customHeight="1" s="74">
      <c r="A20" s="182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7" t="inlineStr">
        <is>
          <t xml:space="preserve">  ADDING A PROJECT TO THE DATABASE</t>
        </is>
      </c>
    </row>
    <row r="23" ht="15.75" customHeight="1" s="74">
      <c r="A23" s="182" t="inlineStr">
        <is>
          <t xml:space="preserve">   1.  Go to 'Project Database' and fill in the next empty row.</t>
        </is>
      </c>
    </row>
    <row r="24" ht="15.75" customHeight="1" s="74">
      <c r="A24" s="182" t="inlineStr">
        <is>
          <t xml:space="preserve">   2.  Enter data only for systems used — leave other system columns blank.</t>
        </is>
      </c>
    </row>
    <row r="25" ht="15.75" customHeight="1" s="74">
      <c r="A25" s="182" t="inlineStr">
        <is>
          <t xml:space="preserve">   3.  All schedule phases are in WEEKS.</t>
        </is>
      </c>
    </row>
    <row r="26" ht="15.75" customHeight="1" s="74">
      <c r="A26" s="182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82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82" t="inlineStr">
        <is>
          <t xml:space="preserve">   6.  Select the Solution Type from the dropdown in column D.</t>
        </is>
      </c>
    </row>
    <row r="29" ht="21.75" customHeight="1" s="74">
      <c r="A29" s="183" t="n"/>
    </row>
    <row r="30" ht="15.75" customHeight="1" s="74">
      <c r="A30" s="167" t="inlineStr">
        <is>
          <t xml:space="preserve">  MANHOUR COST (% OF PROJECT COST)</t>
        </is>
      </c>
    </row>
    <row r="31" ht="15.75" customHeight="1" s="74">
      <c r="A31" s="182" t="inlineStr">
        <is>
          <t xml:space="preserve">   Database columns AD–AQ hold fourteen manhour cost categories, each as a % of project cost:</t>
        </is>
      </c>
    </row>
    <row r="32" ht="15.75" customHeight="1" s="74">
      <c r="A32" s="182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82" t="inlineStr">
        <is>
          <t xml:space="preserve">   Enter these as percentages (type 5% or 0.05 — not 5). Values must be between 0% and 100%.</t>
        </is>
      </c>
    </row>
    <row r="34" ht="15.75" customHeight="1" s="74">
      <c r="A34" s="182" t="inlineStr">
        <is>
          <t xml:space="preserve">   Smart Search shows all fourteen categories individually in the Estimated Schedule section,</t>
        </is>
      </c>
    </row>
    <row r="35" ht="15.75" customHeight="1" s="74">
      <c r="A35" s="182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marked No data, or with every manhour cell blank or 0, shows “No manhour data” instead of percentages.</t>
        </is>
      </c>
    </row>
    <row r="38" ht="26.1" customHeight="1" s="74">
      <c r="A38" s="183" t="inlineStr">
        <is>
          <t>OPTIONAL SEARCH FILTERS</t>
        </is>
      </c>
    </row>
    <row r="39" ht="26.1" customHeight="1" s="74">
      <c r="A39" s="183" t="inlineStr">
        <is>
          <t>Use the four optional filters beside the Smart Search inputs. Blank or All includes all projects.</t>
        </is>
      </c>
    </row>
    <row r="40" ht="26.1" customHeight="1" s="74">
      <c r="A40" s="183" t="inlineStr">
        <is>
          <t>Solution Type and Won status: select a dropdown value. Year: enter an exact year (2000-2099), or clear it.</t>
        </is>
      </c>
    </row>
    <row r="41" ht="26.1" customHeight="1" s="74">
      <c r="A41" s="183" t="inlineStr">
        <is>
          <t>Region: enter text found in Client / Region, e.g. ME matches Turkey ME and KSA ME. Matching ignores letter case.</t>
        </is>
      </c>
    </row>
    <row r="42" ht="26.1" customHeight="1" s="74">
      <c r="A42" s="183" t="inlineStr">
        <is>
          <t>All selected filters must match. Projects with missing data are excluded only when that field is filtered.</t>
        </is>
      </c>
    </row>
    <row r="43" ht="26.1" customHeight="1" s="74">
      <c r="A43" s="183" t="inlineStr">
        <is>
          <t>The top five, closest-match estimate and top-three comparison all use the filtered results.</t>
        </is>
      </c>
    </row>
    <row r="44" ht="26.1" customHeight="1" s="74">
      <c r="A44" s="183" t="inlineStr">
        <is>
          <t>If no projects match, broaden or clear filters. Populate Solution Type in the database before filtering by it.</t>
        </is>
      </c>
    </row>
    <row r="46" ht="15.75" customHeight="1" s="74">
      <c r="A46" s="167" t="inlineStr">
        <is>
          <t xml:space="preserve">  PROJECT DATABASE TABLE</t>
        </is>
      </c>
    </row>
    <row r="47" ht="15.75" customHeight="1" s="74">
      <c r="A47" s="182" t="inlineStr">
        <is>
          <t xml:space="preserve">   The Project Database is an Excel Table named Projects. Use the header buttons to sort or filter.</t>
        </is>
      </c>
    </row>
    <row r="48" ht="15.75" customHeight="1" s="74">
      <c r="A48" s="182" t="inlineStr">
        <is>
          <t xml:space="preserve">   Add a project in the first empty row inside the table. Capacity: 499 projects (rows 6–504).</t>
        </is>
      </c>
    </row>
    <row r="49" ht="15.75" customHeight="1" s="74">
      <c r="A49" s="182" t="inlineStr">
        <is>
          <t xml:space="preserve">   Formulas find columns by header name, so inserting, moving or renaming columns in Excel is safe.</t>
        </is>
      </c>
    </row>
    <row r="50" ht="15.75" customHeight="1" s="74">
      <c r="A50" s="182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7" t="inlineStr">
        <is>
          <t xml:space="preserve">  PROJECT VALUE IN USD</t>
        </is>
      </c>
    </row>
    <row r="53" ht="15.75" customHeight="1" s="74">
      <c r="A53" s="182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82" t="inlineStr">
        <is>
          <t xml:space="preserve">   Keep rates up to date on FX Rates (USD per one unit). A currency with no rate shows “No rate”.</t>
        </is>
      </c>
    </row>
    <row r="55" ht="15.75" customHeight="1" s="74">
      <c r="A55" s="182" t="inlineStr">
        <is>
          <t xml:space="preserve">   Every project is converted at the same current rate, so treat USD values as a rough comparison.</t>
        </is>
      </c>
    </row>
    <row r="57" ht="15.75" customHeight="1" s="74">
      <c r="A57" s="167" t="inlineStr">
        <is>
          <t xml:space="preserve">  MANHOUR DATA STATUS</t>
        </is>
      </c>
    </row>
    <row r="58" ht="15.75" customHeight="1" s="74">
      <c r="A58" s="182" t="inlineStr">
        <is>
          <t xml:space="preserve">   MH Data Status (column AR) records how far to trust each project’s manhour figures:</t>
        </is>
      </c>
    </row>
    <row r="59" ht="15.75" customHeight="1" s="74">
      <c r="A59" s="182" t="inlineStr">
        <is>
          <t xml:space="preserve">   Real = actual % of project cost.   Unverified = older figures not yet checked.   No data = none entered.</t>
        </is>
      </c>
    </row>
    <row r="60" ht="15.75" customHeight="1" s="74">
      <c r="A60" s="182" t="inlineStr">
        <is>
          <t xml:space="preserve">   Smart Search shows the closest match’s status above its manhour profile; Project Comparison lists it per match.</t>
        </is>
      </c>
    </row>
  </sheetData>
  <mergeCells count="53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2026-09-25T06:11:37Z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