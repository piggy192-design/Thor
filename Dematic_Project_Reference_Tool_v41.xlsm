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0" autoFilterDateGrouping="1"/>
  </bookViews>
  <sheets>
    <sheet name="Project Database" sheetId="1" state="visible" r:id="rId1"/>
    <sheet name="Smart Search" sheetId="2" state="visible" r:id="rId2"/>
    <sheet name="_Helper" sheetId="3" state="hidden" r:id="rId3"/>
    <sheet name="Project Comparison" sheetId="4" state="visible" r:id="rId4"/>
    <sheet name="FX Rates" sheetId="5" state="visible" r:id="rId5"/>
    <sheet name="Instructions" sheetId="6" state="visible" r:id="rId6"/>
  </sheets>
  <definedNames/>
  <calcPr calcId="191028" fullCalcOnLoad="1" forceFullCalc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AD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AE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AF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AG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AH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AI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AJ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AK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AL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AM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AN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AO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AP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5">
    <numFmt numFmtId="164" formatCode="#,##0.00&quot; M&quot;"/>
    <numFmt numFmtId="165" formatCode="0.0%"/>
    <numFmt numFmtId="166" formatCode="0.000000"/>
    <numFmt numFmtId="167" formatCode="#,##0.0000"/>
    <numFmt numFmtId="168" formatCode="yyyy-mm-dd"/>
  </numFmts>
  <fonts count="40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i val="1"/>
      <color rgb="FFFFFFFF"/>
      <sz val="8"/>
    </font>
    <font>
      <name val="Arial"/>
      <charset val="1"/>
      <family val="2"/>
      <i val="1"/>
      <color rgb="FFFBBC1E"/>
      <sz val="8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Arial"/>
      <family val="2"/>
      <b val="1"/>
      <color rgb="FFFFFFFF"/>
      <sz val="10"/>
    </font>
    <font>
      <name val="Arial"/>
      <family val="2"/>
      <color rgb="FF222222"/>
      <sz val="10"/>
    </font>
    <font>
      <name val="Arial"/>
      <family val="2"/>
      <color rgb="FF555555"/>
      <sz val="10"/>
    </font>
    <font>
      <name val="Arial"/>
      <family val="2"/>
      <b val="1"/>
      <color rgb="FF222222"/>
      <sz val="10"/>
    </font>
    <font>
      <name val="Calibri"/>
      <charset val="1"/>
      <family val="2"/>
      <color rgb="FFFF0000"/>
      <sz val="11"/>
    </font>
    <font>
      <name val="Arial"/>
      <color rgb="FF0000FF"/>
      <sz val="10"/>
    </font>
    <font>
      <name val="Arial"/>
      <i val="1"/>
      <color rgb="FF595959"/>
      <sz val="9"/>
    </font>
    <font>
      <name val="Arial"/>
      <b val="1"/>
      <color rgb="FF1D1D1B"/>
      <sz val="10"/>
    </font>
  </fonts>
  <fills count="29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  <fill>
      <patternFill/>
    </fill>
    <fill>
      <patternFill patternType="solid">
        <fgColor rgb="FFFFFFFF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  <fill>
      <patternFill patternType="solid">
        <fgColor rgb="FFFFFF00"/>
      </patternFill>
    </fill>
  </fills>
  <borders count="41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D49A00"/>
      </left>
      <right/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 style="thin">
        <color rgb="FFD49A00"/>
      </bottom>
      <diagonal/>
    </border>
    <border>
      <left/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1D1D1B"/>
      </top>
      <bottom/>
      <diagonal/>
    </border>
    <border>
      <left/>
      <right/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/>
      <top style="thin">
        <color rgb="FFC5C5C0"/>
      </top>
      <bottom/>
      <diagonal/>
    </border>
    <border>
      <left/>
      <right/>
      <top style="thin">
        <color rgb="FF2E2E2C"/>
      </top>
      <bottom/>
      <diagonal/>
    </border>
    <border>
      <left/>
      <right/>
      <top style="medium">
        <color rgb="FFC8931A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rgb="FFD49A00"/>
      </left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/>
      <diagonal/>
    </border>
    <border>
      <left/>
      <right style="thin">
        <color rgb="FFD49A00"/>
      </right>
      <top style="thin">
        <color rgb="FFD49A00"/>
      </top>
      <bottom/>
      <diagonal/>
    </border>
  </borders>
  <cellStyleXfs count="1">
    <xf numFmtId="0" fontId="0" fillId="23" borderId="1"/>
  </cellStyleXfs>
  <cellXfs count="184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14" fillId="14" borderId="0" pivotButton="0" quotePrefix="0" xfId="0"/>
    <xf numFmtId="0" fontId="14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0" fillId="2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10" borderId="4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2" borderId="5" pivotButton="0" quotePrefix="0" xfId="0"/>
    <xf numFmtId="0" fontId="0" fillId="5" borderId="5" pivotButton="0" quotePrefix="0" xfId="0"/>
    <xf numFmtId="0" fontId="0" fillId="6" borderId="5" pivotButton="0" quotePrefix="0" xfId="0"/>
    <xf numFmtId="0" fontId="0" fillId="7" borderId="5" pivotButton="0" quotePrefix="0" xfId="0"/>
    <xf numFmtId="0" fontId="0" fillId="8" borderId="5" pivotButton="0" quotePrefix="0" xfId="0"/>
    <xf numFmtId="0" fontId="0" fillId="9" borderId="5" pivotButton="0" quotePrefix="0" xfId="0"/>
    <xf numFmtId="0" fontId="0" fillId="10" borderId="5" pivotButton="0" quotePrefix="0" xfId="0"/>
    <xf numFmtId="0" fontId="0" fillId="3" borderId="5" pivotButton="0" quotePrefix="0" xfId="0"/>
    <xf numFmtId="0" fontId="2" fillId="3" borderId="18" applyAlignment="1" pivotButton="0" quotePrefix="0" xfId="0">
      <alignment vertical="center" wrapText="1"/>
    </xf>
    <xf numFmtId="0" fontId="4" fillId="2" borderId="4" applyAlignment="1" pivotButton="0" quotePrefix="0" xfId="0">
      <alignment horizontal="center" vertical="center" wrapText="1"/>
    </xf>
    <xf numFmtId="0" fontId="2" fillId="5" borderId="4" applyAlignment="1" pivotButton="0" quotePrefix="0" xfId="0">
      <alignment horizontal="center" vertical="center" wrapText="1"/>
    </xf>
    <xf numFmtId="0" fontId="2" fillId="6" borderId="4" applyAlignment="1" pivotButton="0" quotePrefix="0" xfId="0">
      <alignment horizontal="center" vertical="center" wrapText="1"/>
    </xf>
    <xf numFmtId="0" fontId="2" fillId="7" borderId="4" applyAlignment="1" pivotButton="0" quotePrefix="0" xfId="0">
      <alignment horizontal="center" vertical="center" wrapText="1"/>
    </xf>
    <xf numFmtId="0" fontId="2" fillId="8" borderId="4" applyAlignment="1" pivotButton="0" quotePrefix="0" xfId="0">
      <alignment horizontal="center" vertical="center" wrapText="1"/>
    </xf>
    <xf numFmtId="0" fontId="2" fillId="9" borderId="4" applyAlignment="1" pivotButton="0" quotePrefix="0" xfId="0">
      <alignment horizontal="center" vertical="center" wrapText="1"/>
    </xf>
    <xf numFmtId="0" fontId="4" fillId="11" borderId="4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2" fillId="3" borderId="7" applyAlignment="1" pivotButton="0" quotePrefix="0" xfId="0">
      <alignment horizontal="center" vertical="center" wrapText="1"/>
    </xf>
    <xf numFmtId="0" fontId="7" fillId="12" borderId="8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center" vertical="center" wrapText="1"/>
    </xf>
    <xf numFmtId="164" fontId="7" fillId="12" borderId="8" applyAlignment="1" pivotButton="0" quotePrefix="0" xfId="0">
      <alignment horizontal="center" vertical="center" wrapText="1"/>
    </xf>
    <xf numFmtId="0" fontId="9" fillId="12" borderId="8" applyAlignment="1" pivotButton="0" quotePrefix="0" xfId="0">
      <alignment horizontal="center" vertical="center" wrapText="1"/>
    </xf>
    <xf numFmtId="165" fontId="7" fillId="12" borderId="9" applyAlignment="1" pivotButton="0" quotePrefix="0" xfId="0">
      <alignment horizontal="center" vertical="center" wrapText="1"/>
    </xf>
    <xf numFmtId="0" fontId="7" fillId="14" borderId="8" applyAlignment="1" pivotButton="0" quotePrefix="0" xfId="0">
      <alignment horizontal="left" vertical="center" wrapText="1"/>
    </xf>
    <xf numFmtId="0" fontId="7" fillId="14" borderId="8" applyAlignment="1" pivotButton="0" quotePrefix="0" xfId="0">
      <alignment horizontal="center" vertical="center" wrapText="1"/>
    </xf>
    <xf numFmtId="164" fontId="7" fillId="14" borderId="8" applyAlignment="1" pivotButton="0" quotePrefix="0" xfId="0">
      <alignment horizontal="center" vertical="center" wrapText="1"/>
    </xf>
    <xf numFmtId="0" fontId="9" fillId="14" borderId="8" applyAlignment="1" pivotButton="0" quotePrefix="0" xfId="0">
      <alignment horizontal="center" vertical="center" wrapText="1"/>
    </xf>
    <xf numFmtId="165" fontId="7" fillId="14" borderId="8" applyAlignment="1" pivotButton="0" quotePrefix="0" xfId="0">
      <alignment horizontal="center" vertical="center" wrapText="1"/>
    </xf>
    <xf numFmtId="165" fontId="7" fillId="12" borderId="8" applyAlignment="1" pivotButton="0" quotePrefix="0" xfId="0">
      <alignment horizontal="center" vertical="center" wrapText="1"/>
    </xf>
    <xf numFmtId="0" fontId="8" fillId="9" borderId="4" applyAlignment="1" pivotButton="0" quotePrefix="0" xfId="0">
      <alignment horizontal="center" vertical="center" wrapText="1"/>
    </xf>
    <xf numFmtId="0" fontId="11" fillId="5" borderId="4" applyAlignment="1" pivotButton="0" quotePrefix="0" xfId="0">
      <alignment horizontal="left" vertical="center" wrapText="1"/>
    </xf>
    <xf numFmtId="0" fontId="12" fillId="15" borderId="10" applyAlignment="1" applyProtection="1" pivotButton="0" quotePrefix="0" xfId="0">
      <alignment horizontal="center" vertical="center" wrapText="1"/>
      <protection locked="0" hidden="0"/>
    </xf>
    <xf numFmtId="0" fontId="7" fillId="16" borderId="8" applyAlignment="1" pivotButton="0" quotePrefix="0" xfId="0">
      <alignment horizontal="left" vertical="center" wrapText="1"/>
    </xf>
    <xf numFmtId="0" fontId="13" fillId="15" borderId="10" applyAlignment="1" applyProtection="1" pivotButton="0" quotePrefix="0" xfId="0">
      <alignment horizontal="center" vertical="center" wrapText="1"/>
      <protection locked="0" hidden="0"/>
    </xf>
    <xf numFmtId="3" fontId="13" fillId="15" borderId="10" applyAlignment="1" applyProtection="1" pivotButton="0" quotePrefix="0" xfId="0">
      <alignment horizontal="center" vertical="center" wrapText="1"/>
      <protection locked="0" hidden="0"/>
    </xf>
    <xf numFmtId="0" fontId="11" fillId="6" borderId="4" applyAlignment="1" pivotButton="0" quotePrefix="0" xfId="0">
      <alignment horizontal="left" vertical="center" wrapText="1"/>
    </xf>
    <xf numFmtId="0" fontId="11" fillId="7" borderId="4" applyAlignment="1" pivotButton="0" quotePrefix="0" xfId="0">
      <alignment horizontal="left" vertical="center" wrapText="1"/>
    </xf>
    <xf numFmtId="0" fontId="11" fillId="8" borderId="4" applyAlignment="1" pivotButton="0" quotePrefix="0" xfId="0">
      <alignment horizontal="left" vertical="center" wrapText="1"/>
    </xf>
    <xf numFmtId="0" fontId="11" fillId="9" borderId="4" applyAlignment="1" pivotButton="0" quotePrefix="0" xfId="0">
      <alignment horizontal="left" vertical="center" wrapText="1"/>
    </xf>
    <xf numFmtId="3" fontId="13" fillId="15" borderId="11" applyAlignment="1" applyProtection="1" pivotButton="0" quotePrefix="0" xfId="0">
      <alignment horizontal="center" vertical="center" wrapText="1"/>
      <protection locked="0" hidden="0"/>
    </xf>
    <xf numFmtId="0" fontId="7" fillId="16" borderId="12" applyAlignment="1" pivotButton="0" quotePrefix="0" xfId="0">
      <alignment horizontal="left" vertical="center" wrapText="1"/>
    </xf>
    <xf numFmtId="0" fontId="0" fillId="17" borderId="5" pivotButton="0" quotePrefix="0" xfId="0"/>
    <xf numFmtId="0" fontId="15" fillId="17" borderId="4" applyAlignment="1" pivotButton="0" quotePrefix="0" xfId="0">
      <alignment horizontal="left" vertical="center" wrapText="1"/>
    </xf>
    <xf numFmtId="0" fontId="7" fillId="16" borderId="13" applyAlignment="1" pivotButton="0" quotePrefix="0" xfId="0">
      <alignment horizontal="left" vertical="center" wrapText="1"/>
    </xf>
    <xf numFmtId="0" fontId="16" fillId="20" borderId="15" pivotButton="0" quotePrefix="0" xfId="0"/>
    <xf numFmtId="0" fontId="12" fillId="4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left" vertical="center" wrapText="1"/>
    </xf>
    <xf numFmtId="9" fontId="8" fillId="13" borderId="8" applyAlignment="1" pivotButton="0" quotePrefix="0" xfId="0">
      <alignment horizontal="center" vertical="center" wrapText="1"/>
    </xf>
    <xf numFmtId="0" fontId="18" fillId="2" borderId="8" applyAlignment="1" pivotButton="0" quotePrefix="0" xfId="0">
      <alignment horizontal="center" vertical="center" wrapText="1"/>
    </xf>
    <xf numFmtId="9" fontId="7" fillId="12" borderId="8" applyAlignment="1" pivotButton="0" quotePrefix="0" xfId="0">
      <alignment horizontal="center" vertical="center" wrapText="1"/>
    </xf>
    <xf numFmtId="9" fontId="7" fillId="14" borderId="8" applyAlignment="1" pivotButton="0" quotePrefix="0" xfId="0">
      <alignment horizontal="center" vertical="center" wrapText="1"/>
    </xf>
    <xf numFmtId="0" fontId="28" fillId="0" borderId="8" pivotButton="0" quotePrefix="0" xfId="0"/>
    <xf numFmtId="164" fontId="28" fillId="0" borderId="8" pivotButton="0" quotePrefix="0" xfId="0"/>
    <xf numFmtId="0" fontId="36" fillId="22" borderId="0" pivotButton="0" quotePrefix="0" xfId="0"/>
    <xf numFmtId="0" fontId="5" fillId="5" borderId="6" applyAlignment="1" pivotButton="0" quotePrefix="0" xfId="0">
      <alignment horizontal="center" vertical="center" wrapText="1"/>
    </xf>
    <xf numFmtId="0" fontId="0" fillId="0" borderId="19" pivotButton="0" quotePrefix="0" xfId="0"/>
    <xf numFmtId="0" fontId="2" fillId="6" borderId="3" applyAlignment="1" pivotButton="0" quotePrefix="0" xfId="0">
      <alignment horizontal="center" vertical="center" wrapText="1"/>
    </xf>
    <xf numFmtId="0" fontId="0" fillId="0" borderId="20" pivotButton="0" quotePrefix="0" xfId="0"/>
    <xf numFmtId="0" fontId="3" fillId="4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6" fillId="11" borderId="6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3" fillId="4" borderId="2" applyAlignment="1" pivotButton="0" quotePrefix="0" xfId="0">
      <alignment horizontal="center" vertical="center" wrapText="1"/>
    </xf>
    <xf numFmtId="0" fontId="0" fillId="0" borderId="2" pivotButton="0" quotePrefix="0" xfId="0"/>
    <xf numFmtId="0" fontId="4" fillId="2" borderId="3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0" borderId="21" pivotButton="0" quotePrefix="0" xfId="0"/>
    <xf numFmtId="0" fontId="2" fillId="7" borderId="3" applyAlignment="1" pivotButton="0" quotePrefix="0" xfId="0">
      <alignment horizontal="center" vertical="center" wrapText="1"/>
    </xf>
    <xf numFmtId="0" fontId="2" fillId="9" borderId="3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left" vertical="center" wrapText="1"/>
    </xf>
    <xf numFmtId="0" fontId="4" fillId="9" borderId="16" applyAlignment="1" pivotButton="0" quotePrefix="0" xfId="0">
      <alignment horizontal="center" vertical="center" wrapText="1"/>
    </xf>
    <xf numFmtId="0" fontId="0" fillId="0" borderId="24" pivotButton="0" quotePrefix="0" xfId="0"/>
    <xf numFmtId="0" fontId="11" fillId="21" borderId="3" applyAlignment="1" pivotButton="0" quotePrefix="0" xfId="0">
      <alignment horizontal="left" vertical="center" wrapText="1"/>
    </xf>
    <xf numFmtId="0" fontId="8" fillId="14" borderId="13" applyAlignment="1" pivotButton="0" quotePrefix="0" xfId="0">
      <alignment horizontal="left" vertical="center" wrapText="1"/>
    </xf>
    <xf numFmtId="0" fontId="0" fillId="0" borderId="23" pivotButton="0" quotePrefix="0" xfId="0"/>
    <xf numFmtId="0" fontId="21" fillId="16" borderId="13" applyAlignment="1" pivotButton="0" quotePrefix="0" xfId="0">
      <alignment horizontal="left" vertical="center" wrapText="1"/>
    </xf>
    <xf numFmtId="165" fontId="22" fillId="15" borderId="17" applyAlignment="1" pivotButton="0" quotePrefix="0" xfId="0">
      <alignment horizontal="center" vertical="center" wrapText="1"/>
    </xf>
    <xf numFmtId="0" fontId="0" fillId="0" borderId="22" pivotButton="0" quotePrefix="0" xfId="0"/>
    <xf numFmtId="0" fontId="11" fillId="5" borderId="3" applyAlignment="1" pivotButton="0" quotePrefix="0" xfId="0">
      <alignment horizontal="left" vertical="center" wrapText="1"/>
    </xf>
    <xf numFmtId="0" fontId="25" fillId="14" borderId="13" applyAlignment="1" pivotButton="0" quotePrefix="0" xfId="0">
      <alignment horizontal="left" vertical="center" wrapText="1"/>
    </xf>
    <xf numFmtId="0" fontId="33" fillId="27" borderId="27" applyAlignment="1" pivotButton="0" quotePrefix="0" xfId="0">
      <alignment vertical="center"/>
    </xf>
    <xf numFmtId="0" fontId="33" fillId="27" borderId="28" applyAlignment="1" pivotButton="0" quotePrefix="0" xfId="0">
      <alignment vertical="center"/>
    </xf>
    <xf numFmtId="0" fontId="33" fillId="27" borderId="29" applyAlignment="1" pivotButton="0" quotePrefix="0" xfId="0">
      <alignment vertical="center"/>
    </xf>
    <xf numFmtId="0" fontId="34" fillId="24" borderId="1" applyAlignment="1" pivotButton="0" quotePrefix="0" xfId="0">
      <alignment vertical="center" wrapText="1"/>
    </xf>
    <xf numFmtId="0" fontId="34" fillId="23" borderId="1" applyAlignment="1" pivotButton="0" quotePrefix="0" xfId="0">
      <alignment vertical="center" wrapText="1"/>
    </xf>
    <xf numFmtId="9" fontId="12" fillId="4" borderId="17" applyAlignment="1" pivotButton="0" quotePrefix="0" xfId="0">
      <alignment horizontal="center" vertical="center" wrapText="1"/>
    </xf>
    <xf numFmtId="0" fontId="23" fillId="4" borderId="17" applyAlignment="1" pivotButton="0" quotePrefix="0" xfId="0">
      <alignment horizontal="center" vertical="center" wrapText="1"/>
    </xf>
    <xf numFmtId="0" fontId="2" fillId="18" borderId="0" applyAlignment="1" pivotButton="0" quotePrefix="0" xfId="0">
      <alignment horizontal="center" vertical="center" wrapText="1"/>
    </xf>
    <xf numFmtId="0" fontId="11" fillId="7" borderId="3" applyAlignment="1" pivotButton="0" quotePrefix="0" xfId="0">
      <alignment horizontal="left" vertical="center" wrapText="1"/>
    </xf>
    <xf numFmtId="0" fontId="13" fillId="16" borderId="13" applyAlignment="1" pivotButton="0" quotePrefix="0" xfId="0">
      <alignment horizontal="left" vertical="center" wrapText="1"/>
    </xf>
    <xf numFmtId="0" fontId="19" fillId="9" borderId="16" applyAlignment="1" pivotButton="0" quotePrefix="0" xfId="0">
      <alignment horizontal="center" vertical="center" wrapText="1"/>
    </xf>
    <xf numFmtId="0" fontId="4" fillId="9" borderId="6" applyAlignment="1" pivotButton="0" quotePrefix="0" xfId="0">
      <alignment horizontal="left" vertical="center" wrapText="1"/>
    </xf>
    <xf numFmtId="0" fontId="25" fillId="12" borderId="13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center" vertical="center"/>
    </xf>
    <xf numFmtId="0" fontId="22" fillId="15" borderId="17" applyAlignment="1" pivotButton="0" quotePrefix="0" xfId="0">
      <alignment horizontal="center" vertical="center" wrapText="1"/>
    </xf>
    <xf numFmtId="165" fontId="23" fillId="4" borderId="17" applyAlignment="1" pivotButton="0" quotePrefix="0" xfId="0">
      <alignment horizontal="center" vertical="center" wrapText="1"/>
    </xf>
    <xf numFmtId="0" fontId="10" fillId="9" borderId="2" applyAlignment="1" pivotButton="0" quotePrefix="0" xfId="0">
      <alignment horizontal="center" vertical="center" wrapText="1"/>
    </xf>
    <xf numFmtId="0" fontId="12" fillId="4" borderId="17" applyAlignment="1" pivotButton="0" quotePrefix="0" xfId="0">
      <alignment horizontal="center" vertical="center" wrapText="1"/>
    </xf>
    <xf numFmtId="0" fontId="2" fillId="19" borderId="0" applyAlignment="1" pivotButton="0" quotePrefix="0" xfId="0">
      <alignment horizontal="center" vertical="center" wrapText="1"/>
    </xf>
    <xf numFmtId="0" fontId="20" fillId="4" borderId="13" applyAlignment="1" pivotButton="0" quotePrefix="0" xfId="0">
      <alignment horizontal="left" vertical="center" wrapText="1"/>
    </xf>
    <xf numFmtId="0" fontId="15" fillId="2" borderId="0" applyAlignment="1" pivotButton="0" quotePrefix="0" xfId="0">
      <alignment horizontal="left" vertical="center" wrapText="1"/>
    </xf>
    <xf numFmtId="0" fontId="32" fillId="25" borderId="1" applyAlignment="1" pivotButton="0" quotePrefix="0" xfId="0">
      <alignment vertical="center"/>
    </xf>
    <xf numFmtId="0" fontId="33" fillId="26" borderId="1" applyAlignment="1" pivotButton="0" quotePrefix="0" xfId="0">
      <alignment vertical="center"/>
    </xf>
    <xf numFmtId="0" fontId="13" fillId="15" borderId="14" applyAlignment="1" applyProtection="1" pivotButton="0" quotePrefix="0" xfId="0">
      <alignment horizontal="left" vertical="center" wrapText="1"/>
      <protection locked="0" hidden="0"/>
    </xf>
    <xf numFmtId="0" fontId="0" fillId="0" borderId="25" applyProtection="1" pivotButton="0" quotePrefix="0" xfId="0">
      <protection locked="0" hidden="0"/>
    </xf>
    <xf numFmtId="0" fontId="0" fillId="0" borderId="26" applyProtection="1" pivotButton="0" quotePrefix="0" xfId="0">
      <protection locked="0" hidden="0"/>
    </xf>
    <xf numFmtId="1" fontId="33" fillId="27" borderId="27" applyAlignment="1" pivotButton="0" quotePrefix="0" xfId="0">
      <alignment vertical="center"/>
    </xf>
    <xf numFmtId="0" fontId="26" fillId="16" borderId="0" applyAlignment="1" pivotButton="0" quotePrefix="0" xfId="0">
      <alignment horizontal="left" vertical="center" wrapText="1"/>
    </xf>
    <xf numFmtId="0" fontId="8" fillId="12" borderId="13" applyAlignment="1" pivotButton="0" quotePrefix="0" xfId="0">
      <alignment horizontal="left" vertical="center" wrapText="1"/>
    </xf>
    <xf numFmtId="0" fontId="23" fillId="15" borderId="17" applyAlignment="1" pivotButton="0" quotePrefix="0" xfId="0">
      <alignment horizontal="center" vertical="center" wrapText="1"/>
    </xf>
    <xf numFmtId="0" fontId="4" fillId="9" borderId="16" applyAlignment="1" pivotButton="0" quotePrefix="0" xfId="0">
      <alignment horizontal="left" vertical="center" wrapText="1"/>
    </xf>
    <xf numFmtId="0" fontId="20" fillId="13" borderId="17" applyAlignment="1" pivotButton="0" quotePrefix="0" xfId="0">
      <alignment horizontal="center" vertical="center" wrapText="1"/>
    </xf>
    <xf numFmtId="0" fontId="35" fillId="23" borderId="1" applyAlignment="1" pivotButton="0" quotePrefix="0" xfId="0">
      <alignment vertical="center" wrapText="1"/>
    </xf>
    <xf numFmtId="0" fontId="20" fillId="13" borderId="17" applyAlignment="1" pivotButton="0" quotePrefix="0" xfId="0">
      <alignment horizontal="left" vertical="center" wrapText="1"/>
    </xf>
    <xf numFmtId="0" fontId="11" fillId="6" borderId="3" applyAlignment="1" pivotButton="0" quotePrefix="0" xfId="0">
      <alignment horizontal="left" vertical="center" wrapText="1"/>
    </xf>
    <xf numFmtId="0" fontId="11" fillId="17" borderId="3" applyAlignment="1" pivotButton="0" quotePrefix="0" xfId="0">
      <alignment horizontal="left" vertical="center" wrapText="1"/>
    </xf>
    <xf numFmtId="0" fontId="11" fillId="8" borderId="3" applyAlignment="1" pivotButton="0" quotePrefix="0" xfId="0">
      <alignment horizontal="left" vertical="center" wrapText="1"/>
    </xf>
    <xf numFmtId="0" fontId="2" fillId="4" borderId="13" applyAlignment="1" pivotButton="0" quotePrefix="0" xfId="0">
      <alignment horizontal="left" vertical="center" wrapText="1"/>
    </xf>
    <xf numFmtId="0" fontId="13" fillId="15" borderId="13" applyAlignment="1" pivotButton="0" quotePrefix="0" xfId="0">
      <alignment horizontal="center" vertical="center" wrapText="1"/>
    </xf>
    <xf numFmtId="0" fontId="13" fillId="16" borderId="13" applyAlignment="1" pivotButton="0" quotePrefix="0" xfId="0">
      <alignment horizontal="center" vertical="center" wrapText="1"/>
    </xf>
    <xf numFmtId="0" fontId="7" fillId="14" borderId="13" applyAlignment="1" pivotButton="0" quotePrefix="0" xfId="0">
      <alignment horizontal="left" vertical="center" wrapText="1"/>
    </xf>
    <xf numFmtId="0" fontId="13" fillId="12" borderId="13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left" vertical="center" wrapText="1"/>
    </xf>
    <xf numFmtId="0" fontId="7" fillId="12" borderId="13" applyAlignment="1" pivotButton="0" quotePrefix="0" xfId="0">
      <alignment horizontal="left" vertical="center" wrapText="1"/>
    </xf>
    <xf numFmtId="0" fontId="30" fillId="13" borderId="3" applyAlignment="1" pivotButton="0" quotePrefix="0" xfId="0">
      <alignment horizontal="center" vertical="center" wrapText="1"/>
    </xf>
    <xf numFmtId="0" fontId="29" fillId="9" borderId="0" applyAlignment="1" pivotButton="0" quotePrefix="0" xfId="0">
      <alignment horizontal="left" vertical="center" wrapText="1"/>
    </xf>
    <xf numFmtId="0" fontId="30" fillId="4" borderId="17" applyAlignment="1" pivotButton="0" quotePrefix="0" xfId="0">
      <alignment horizontal="center" vertical="center" wrapText="1"/>
    </xf>
    <xf numFmtId="0" fontId="23" fillId="13" borderId="0" applyAlignment="1" pivotButton="0" quotePrefix="0" xfId="0">
      <alignment horizontal="left" vertical="center" wrapText="1"/>
    </xf>
    <xf numFmtId="0" fontId="24" fillId="13" borderId="0" applyAlignment="1" pivotButton="0" quotePrefix="0" xfId="0">
      <alignment horizontal="left" vertical="center" wrapText="1"/>
    </xf>
    <xf numFmtId="0" fontId="23" fillId="13" borderId="13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left" vertical="center" indent="1"/>
    </xf>
    <xf numFmtId="0" fontId="23" fillId="4" borderId="0" applyAlignment="1" pivotButton="0" quotePrefix="0" xfId="0">
      <alignment horizontal="left" vertical="center" wrapText="1"/>
    </xf>
    <xf numFmtId="0" fontId="2" fillId="9" borderId="16" applyAlignment="1" pivotButton="0" quotePrefix="0" xfId="0">
      <alignment horizontal="left" vertical="center" wrapText="1"/>
    </xf>
    <xf numFmtId="0" fontId="23" fillId="4" borderId="13" applyAlignment="1" pivotButton="0" quotePrefix="0" xfId="0">
      <alignment horizontal="center" vertical="center" wrapText="1"/>
    </xf>
    <xf numFmtId="0" fontId="29" fillId="9" borderId="13" applyAlignment="1" pivotButton="0" quotePrefix="0" xfId="0">
      <alignment horizontal="center" vertical="center" wrapText="1"/>
    </xf>
    <xf numFmtId="0" fontId="31" fillId="9" borderId="3" applyAlignment="1" pivotButton="0" quotePrefix="0" xfId="0">
      <alignment horizontal="center" vertical="center" wrapText="1"/>
    </xf>
    <xf numFmtId="0" fontId="0" fillId="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3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164" fontId="38" fillId="12" borderId="8" applyAlignment="1" pivotButton="0" quotePrefix="0" xfId="0">
      <alignment horizontal="center" vertical="center" wrapText="1"/>
    </xf>
    <xf numFmtId="164" fontId="38" fillId="14" borderId="8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33" fillId="27" borderId="38" applyAlignment="1" pivotButton="0" quotePrefix="0" xfId="0">
      <alignment vertical="center"/>
    </xf>
    <xf numFmtId="0" fontId="0" fillId="0" borderId="28" pivotButton="0" quotePrefix="0" xfId="0"/>
    <xf numFmtId="0" fontId="0" fillId="0" borderId="29" pivotButton="0" quotePrefix="0" xfId="0"/>
    <xf numFmtId="1" fontId="33" fillId="27" borderId="38" applyAlignment="1" pivotButton="0" quotePrefix="0" xfId="0">
      <alignment vertical="center"/>
    </xf>
    <xf numFmtId="0" fontId="2" fillId="18" borderId="1" applyAlignment="1" pivotButton="0" quotePrefix="0" xfId="0">
      <alignment horizontal="center" vertical="center" wrapText="1"/>
    </xf>
    <xf numFmtId="0" fontId="2" fillId="19" borderId="1" applyAlignment="1" pivotButton="0" quotePrefix="0" xfId="0">
      <alignment horizontal="center" vertical="center" wrapText="1"/>
    </xf>
    <xf numFmtId="0" fontId="17" fillId="14" borderId="1" applyAlignment="1" pivotButton="0" quotePrefix="0" xfId="0">
      <alignment horizontal="left" vertical="center" wrapText="1"/>
    </xf>
    <xf numFmtId="0" fontId="15" fillId="2" borderId="1" applyAlignment="1" pivotButton="0" quotePrefix="0" xfId="0">
      <alignment horizontal="left" vertical="center" wrapText="1"/>
    </xf>
    <xf numFmtId="0" fontId="39" fillId="13" borderId="17" applyAlignment="1" pivotButton="0" quotePrefix="0" xfId="0">
      <alignment horizontal="center" vertical="center" wrapText="1"/>
    </xf>
    <xf numFmtId="0" fontId="26" fillId="16" borderId="1" applyAlignment="1" pivotButton="0" quotePrefix="0" xfId="0">
      <alignment horizontal="left" vertical="center" wrapText="1"/>
    </xf>
    <xf numFmtId="0" fontId="1" fillId="2" borderId="1" applyAlignment="1" pivotButton="0" quotePrefix="0" xfId="0">
      <alignment horizontal="left" vertical="center" indent="1"/>
    </xf>
    <xf numFmtId="0" fontId="0" fillId="2" borderId="1" pivotButton="0" quotePrefix="0" xfId="0"/>
    <xf numFmtId="0" fontId="23" fillId="4" borderId="1" applyAlignment="1" pivotButton="0" quotePrefix="0" xfId="0">
      <alignment horizontal="left" vertical="center" wrapText="1"/>
    </xf>
    <xf numFmtId="0" fontId="23" fillId="13" borderId="1" applyAlignment="1" pivotButton="0" quotePrefix="0" xfId="0">
      <alignment horizontal="left" vertical="center" wrapText="1"/>
    </xf>
    <xf numFmtId="0" fontId="29" fillId="9" borderId="1" applyAlignment="1" pivotButton="0" quotePrefix="0" xfId="0">
      <alignment horizontal="left" vertical="center" wrapText="1"/>
    </xf>
    <xf numFmtId="0" fontId="4" fillId="9" borderId="1" applyAlignment="1" pivotButton="0" quotePrefix="0" xfId="0">
      <alignment horizontal="left" vertical="center" wrapText="1"/>
    </xf>
    <xf numFmtId="0" fontId="24" fillId="13" borderId="1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/>
    </xf>
    <xf numFmtId="166" fontId="37" fillId="28" borderId="8" applyAlignment="1" pivotButton="0" quotePrefix="0" xfId="0">
      <alignment horizontal="center" vertical="center"/>
    </xf>
    <xf numFmtId="167" fontId="7" fillId="12" borderId="8" applyAlignment="1" pivotButton="0" quotePrefix="0" xfId="0">
      <alignment horizontal="center" vertical="center"/>
    </xf>
    <xf numFmtId="168" fontId="7" fillId="12" borderId="8" applyAlignment="1" pivotButton="0" quotePrefix="0" xfId="0">
      <alignment horizontal="center" vertical="center"/>
    </xf>
    <xf numFmtId="0" fontId="7" fillId="0" borderId="1" applyAlignment="1" pivotButton="0" quotePrefix="0" xfId="0">
      <alignment vertical="top" wrapText="1"/>
    </xf>
    <xf numFmtId="0" fontId="7" fillId="0" borderId="1" applyAlignment="1" pivotButton="0" quotePrefix="0" xfId="0">
      <alignment horizontal="left" vertical="center" wrapText="1"/>
    </xf>
    <xf numFmtId="0" fontId="0" fillId="0" borderId="1" pivotButton="0" quotePrefix="0" xfId="0"/>
  </cellXfs>
  <cellStyles count="1">
    <cellStyle name="Normal" xfId="0" builtinId="0"/>
  </cellStyles>
  <dxfs count="3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ables/table1.xml><?xml version="1.0" encoding="utf-8"?>
<table xmlns="http://schemas.openxmlformats.org/spreadsheetml/2006/main" id="1" name="Projects" displayName="Projects" ref="A5:AQ504" headerRowCount="1">
  <autoFilter ref="A5:AQ504"/>
  <tableColumns count="43">
    <tableColumn id="1" name="Project ID *"/>
    <tableColumn id="2" name="Project Name *"/>
    <tableColumn id="3" name="Client / Region"/>
    <tableColumn id="4" name="Solution Type"/>
    <tableColumn id="5" name="Year"/>
    <tableColumn id="6" name="Won?"/>
    <tableColumn id="7" name="MS Shuttles"/>
    <tableColumn id="8" name="MS Tote Locations"/>
    <tableColumn id="9" name="AS Robots"/>
    <tableColumn id="10" name="AS Tote Locations"/>
    <tableColumn id="11" name="PS Shuttles"/>
    <tableColumn id="12" name="PS Pallet Locations"/>
    <tableColumn id="13" name="SRM Cranes"/>
    <tableColumn id="14" name="SRM Pallet Locations"/>
    <tableColumn id="15" name="Case Conv (m)"/>
    <tableColumn id="16" name="Pallet Conv (m)"/>
    <tableColumn id="17" name="Mech Eng (wks)"/>
    <tableColumn id="18" name="Controls Eng (wks)"/>
    <tableColumn id="19" name="Systems Eng (wks)"/>
    <tableColumn id="20" name="Software Eng (wks)"/>
    <tableColumn id="21" name="M&amp;E Installation (wks)"/>
    <tableColumn id="22" name="Commissioning (wks)"/>
    <tableColumn id="23" name="Total Timeline (wks)"/>
    <tableColumn id="24" name="Currency"/>
    <tableColumn id="25" name="Value (M)"/>
    <tableColumn id="26" name="Value (USD M)"/>
    <tableColumn id="27" name="Automation Equipment"/>
    <tableColumn id="28" name="Notes / Lessons Learned"/>
    <tableColumn id="29" name="ID Check"/>
    <tableColumn id="30" name="Mech Inst"/>
    <tableColumn id="31" name="Elec Inst"/>
    <tableColumn id="32" name="Project Management"/>
    <tableColumn id="33" name="Systems Eng"/>
    <tableColumn id="34" name="Mechanical Eng"/>
    <tableColumn id="35" name="Structural Engineering"/>
    <tableColumn id="36" name="Site Sup"/>
    <tableColumn id="37" name="Controls Commissioning"/>
    <tableColumn id="38" name="Systems Commissioning"/>
    <tableColumn id="39" name="Service Commissioning"/>
    <tableColumn id="40" name="Controls Eng"/>
    <tableColumn id="41" name="Controls Purchase"/>
    <tableColumn id="42" name="Software Eng"/>
    <tableColumn id="43" name="Misc"/>
  </tableColumns>
</table>
</file>

<file path=xl/tables/table2.xml><?xml version="1.0" encoding="utf-8"?>
<table xmlns="http://schemas.openxmlformats.org/spreadsheetml/2006/main" id="2" name="FXRates" displayName="FXRates" ref="A4:D14" headerRowCount="1">
  <autoFilter ref="A4:D14"/>
  <tableColumns count="4">
    <tableColumn id="1" name="Currency"/>
    <tableColumn id="2" name="USD per unit"/>
    <tableColumn id="3" name="Units per USD"/>
    <tableColumn id="4" name="Rate dat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D5" dT="2026-08-27T01:56:43.02" personId="{BE8A153B-FB32-44A0-B175-14E1F655B442}" id="{D697F934-33A5-4362-8F8A-FBBF7074724E}">
    <text xml:space="preserve">Task No - 5000
</text>
  </threadedComment>
  <threadedComment ref="AE5" dT="2026-08-27T01:56:54.04" personId="{BE8A153B-FB32-44A0-B175-14E1F655B442}" id="{E0DBF5F8-7F49-4118-8720-97AB7CA0C788}">
    <text xml:space="preserve">Task Number 7300
</text>
  </threadedComment>
  <threadedComment ref="AF5" dT="2026-08-27T01:57:38.16" personId="{BE8A153B-FB32-44A0-B175-14E1F655B442}" id="{5F2C9931-CFCE-4CBB-AF48-4424C6C74487}">
    <text>Task No - 6100</text>
  </threadedComment>
  <threadedComment ref="AG5" dT="2026-08-27T01:57:54.35" personId="{BE8A153B-FB32-44A0-B175-14E1F655B442}" id="{B5BDC888-C10A-4BA0-9A4D-36C557B0FE11}">
    <text>Task No - 6200</text>
  </threadedComment>
  <threadedComment ref="AH5" dT="2026-08-27T01:58:26.72" personId="{BE8A153B-FB32-44A0-B175-14E1F655B442}" id="{29719A38-F856-43BC-9D87-6CAA8B958DCF}">
    <text>Task No - 6300</text>
  </threadedComment>
  <threadedComment ref="AI5" dT="2026-08-27T01:58:46.30" personId="{BE8A153B-FB32-44A0-B175-14E1F655B442}" id="{925DBB45-B3A5-4118-B786-1CD08A46CD9F}">
    <text>Task No - 6400</text>
  </threadedComment>
  <threadedComment ref="AJ5" dT="2026-08-27T01:59:07.13" personId="{BE8A153B-FB32-44A0-B175-14E1F655B442}" id="{8D61AD9F-B5B4-46C7-9366-1CD91C795959}">
    <text>Task No - 6500 6510 6520 6530</text>
  </threadedComment>
  <threadedComment ref="AK5" dT="2026-08-27T01:59:31.95" personId="{BE8A153B-FB32-44A0-B175-14E1F655B442}" id="{2012CEBF-9DA0-46AB-990E-ACDEECDFBAF5}">
    <text xml:space="preserve">Task No - 6600 </text>
  </threadedComment>
  <threadedComment ref="AL5" dT="2026-08-27T02:01:02.91" personId="{BE8A153B-FB32-44A0-B175-14E1F655B442}" id="{C73F9FBE-F06A-459E-9927-9E8A69C8F17D}">
    <text>Task No 6620</text>
  </threadedComment>
  <threadedComment ref="AM5" dT="2026-08-27T02:01:21.72" personId="{BE8A153B-FB32-44A0-B175-14E1F655B442}" id="{24D4C3A5-822B-421F-8CCA-89DA8714184B}">
    <text>Task No - 6630</text>
  </threadedComment>
  <threadedComment ref="AN5" dT="2026-08-27T02:01:39.51" personId="{BE8A153B-FB32-44A0-B175-14E1F655B442}" id="{12533FAD-5700-4564-B547-BEDCDD91B6D0}">
    <text>Task No - 7000</text>
  </threadedComment>
  <threadedComment ref="AO5" dT="2026-08-27T02:01:55.86" personId="{BE8A153B-FB32-44A0-B175-14E1F655B442}" id="{44924316-329F-41A6-ACF0-CA4CD4C3E125}">
    <text>Task No - 7100 7150</text>
  </threadedComment>
  <threadedComment ref="AP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vmlDrawing" Target="../drawings/vmlDrawing1.vml" Id="anysvml" 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AR504"/>
  <sheetViews>
    <sheetView showGridLines="0" tabSelected="1" zoomScaleNormal="100" workbookViewId="0">
      <pane xSplit="3" ySplit="5" topLeftCell="D22" activePane="bottomRight" state="frozen"/>
      <selection pane="topRight" activeCell="D1" sqref="D1"/>
      <selection pane="bottomLeft" activeCell="A6" sqref="A6"/>
      <selection pane="bottomRight" activeCell="F35" sqref="F35"/>
    </sheetView>
  </sheetViews>
  <sheetFormatPr baseColWidth="8" defaultColWidth="8.6640625" defaultRowHeight="14.4"/>
  <cols>
    <col width="14" customWidth="1" style="74" min="1" max="1"/>
    <col width="28" customWidth="1" style="74" min="2" max="2"/>
    <col width="22" customWidth="1" style="74" min="3" max="3"/>
    <col width="18" customWidth="1" style="74" min="4" max="4"/>
    <col width="10" customWidth="1" style="74" min="5" max="5"/>
    <col width="9" customWidth="1" style="74" min="6" max="6"/>
    <col width="12" customWidth="1" style="74" min="7" max="7"/>
    <col width="14" customWidth="1" style="74" min="8" max="8"/>
    <col width="12" customWidth="1" style="74" min="9" max="9"/>
    <col width="14" customWidth="1" style="74" min="10" max="10"/>
    <col width="12" customWidth="1" style="74" min="11" max="11"/>
    <col width="14" customWidth="1" style="74" min="12" max="12"/>
    <col width="12" customWidth="1" style="74" min="13" max="13"/>
    <col width="14" customWidth="1" style="74" min="14" max="14"/>
    <col width="13" customWidth="1" style="74" min="15" max="15"/>
    <col width="11" customWidth="1" style="74" min="17" max="17"/>
    <col width="12" customWidth="1" style="74" min="21" max="21"/>
    <col width="13" customWidth="1" style="74" min="23" max="23"/>
    <col width="10" customWidth="1" style="74" min="24" max="24"/>
    <col width="14" customWidth="1" style="74" min="25" max="25"/>
    <col width="12" customWidth="1" style="74" min="26" max="26"/>
    <col width="44.5546875" customWidth="1" style="74" min="27" max="27"/>
    <col width="50" customWidth="1" style="74" min="28" max="28"/>
    <col width="14" customWidth="1" style="74" min="29" max="29"/>
    <col width="11.33203125" customWidth="1" style="74" min="30" max="30"/>
    <col width="10.33203125" customWidth="1" style="74" min="31" max="31"/>
    <col width="8.44140625" customWidth="1" style="74" min="32" max="32"/>
    <col width="11" customWidth="1" style="74" min="33" max="33"/>
    <col width="13" customWidth="1" style="74" min="34" max="34"/>
    <col width="9.5546875" customWidth="1" style="74" min="36" max="36"/>
    <col width="17.33203125" customWidth="1" style="74" min="37" max="37"/>
    <col width="11.44140625" customWidth="1" style="74" min="40" max="40"/>
    <col width="10" customWidth="1" style="74" min="42" max="42"/>
  </cols>
  <sheetData>
    <row r="1" ht="36" customHeight="1" s="74">
      <c r="A1" s="1" t="inlineStr">
        <is>
          <t>DEMATIC  |  Project Reference Database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55" t="inlineStr">
        <is>
          <t>Manhour Cost (% of Project Cost)</t>
        </is>
      </c>
    </row>
    <row r="2" ht="15.75" customHeight="1" s="74">
      <c r="A2" s="79" t="inlineStr">
        <is>
          <t>All timelines in WEEKS  |  Project Value in MILLIONS  |  Enter data for each system used — leave others blank</t>
        </is>
      </c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  <c r="K2" s="80" t="n"/>
      <c r="L2" s="80" t="n"/>
      <c r="M2" s="80" t="n"/>
      <c r="N2" s="80" t="n"/>
      <c r="O2" s="80" t="n"/>
      <c r="P2" s="80" t="n"/>
      <c r="Q2" s="80" t="n"/>
      <c r="R2" s="80" t="n"/>
      <c r="S2" s="80" t="n"/>
      <c r="T2" s="80" t="n"/>
      <c r="U2" s="80" t="n"/>
      <c r="V2" s="80" t="n"/>
      <c r="W2" s="80" t="n"/>
      <c r="X2" s="80" t="n"/>
      <c r="Y2" s="80" t="n"/>
      <c r="Z2" s="80" t="n"/>
      <c r="AA2" s="80" t="n"/>
      <c r="AB2" s="156" t="n"/>
    </row>
    <row r="3" ht="21.75" customHeight="1" s="74">
      <c r="A3" s="81" t="inlineStr">
        <is>
          <t>PROJECT DETAILS</t>
        </is>
      </c>
      <c r="B3" s="72" t="n"/>
      <c r="C3" s="72" t="n"/>
      <c r="D3" s="72" t="n"/>
      <c r="E3" s="72" t="n"/>
      <c r="F3" s="72" t="n"/>
      <c r="G3" s="77" t="inlineStr">
        <is>
          <t>MULTISHUTTLE  (tote)</t>
        </is>
      </c>
      <c r="H3" s="72" t="n"/>
      <c r="I3" s="71" t="inlineStr">
        <is>
          <t>AUTOSTORE  (tote)</t>
        </is>
      </c>
      <c r="J3" s="72" t="n"/>
      <c r="K3" s="84" t="inlineStr">
        <is>
          <t>PALLET SHUTTLE  (pallet)</t>
        </is>
      </c>
      <c r="L3" s="72" t="n"/>
      <c r="M3" s="78" t="inlineStr">
        <is>
          <t>SRM CRANE  (pallet)</t>
        </is>
      </c>
      <c r="N3" s="72" t="n"/>
      <c r="O3" s="85" t="inlineStr">
        <is>
          <t>CONVEYORS</t>
        </is>
      </c>
      <c r="P3" s="72" t="n"/>
      <c r="Q3" s="77" t="n"/>
      <c r="R3" s="72" t="n"/>
      <c r="S3" s="72" t="n"/>
      <c r="T3" s="72" t="n"/>
      <c r="U3" s="72" t="n"/>
      <c r="V3" s="72" t="n"/>
      <c r="W3" s="12" t="inlineStr">
        <is>
          <t>TOTAL</t>
        </is>
      </c>
      <c r="X3" s="77" t="inlineStr">
        <is>
          <t>PROJECT VALUE</t>
        </is>
      </c>
      <c r="Y3" s="72" t="n"/>
      <c r="Z3" s="72" t="n"/>
      <c r="AA3" s="82" t="inlineStr">
        <is>
          <t>ATTRIBUTES</t>
        </is>
      </c>
      <c r="AB3" s="72" t="n"/>
      <c r="AC3" s="83" t="n"/>
    </row>
    <row r="4" ht="13.5" customHeight="1" s="74">
      <c r="A4" s="14" t="n"/>
      <c r="B4" s="14" t="n"/>
      <c r="C4" s="14" t="n"/>
      <c r="D4" s="14" t="n"/>
      <c r="E4" s="14" t="n"/>
      <c r="F4" s="14" t="n"/>
      <c r="G4" s="15" t="n"/>
      <c r="H4" s="15" t="n"/>
      <c r="I4" s="16" t="n"/>
      <c r="J4" s="16" t="n"/>
      <c r="K4" s="17" t="n"/>
      <c r="L4" s="17" t="n"/>
      <c r="M4" s="18" t="n"/>
      <c r="N4" s="18" t="n"/>
      <c r="O4" s="19" t="n"/>
      <c r="P4" s="19" t="n"/>
      <c r="Q4" s="69" t="n"/>
      <c r="R4" s="70" t="n"/>
      <c r="S4" s="70" t="n"/>
      <c r="T4" s="70" t="n"/>
      <c r="U4" s="75" t="inlineStr">
        <is>
          <t>Execution  (sequential)</t>
        </is>
      </c>
      <c r="V4" s="70" t="n"/>
      <c r="W4" s="20" t="n"/>
      <c r="X4" s="15" t="n"/>
      <c r="Y4" s="15" t="n"/>
      <c r="Z4" s="15" t="n"/>
      <c r="AA4" s="21" t="n"/>
      <c r="AB4" s="21" t="n"/>
      <c r="AC4" s="21" t="n"/>
      <c r="AD4" s="22" t="n"/>
      <c r="AE4" s="22" t="n"/>
      <c r="AF4" s="22" t="n"/>
      <c r="AG4" s="22" t="n"/>
      <c r="AH4" s="22" t="n"/>
      <c r="AI4" s="22" t="n"/>
      <c r="AJ4" s="22" t="n"/>
      <c r="AK4" s="22" t="n"/>
      <c r="AL4" s="22" t="n"/>
      <c r="AM4" s="22" t="n"/>
      <c r="AN4" s="22" t="n"/>
      <c r="AO4" s="22" t="n"/>
      <c r="AP4" s="22" t="n"/>
      <c r="AQ4" s="22" t="n"/>
    </row>
    <row r="5" ht="44" customHeight="1" s="74">
      <c r="A5" s="23" t="inlineStr">
        <is>
          <t>Project ID *</t>
        </is>
      </c>
      <c r="B5" s="23" t="inlineStr">
        <is>
          <t>Project Name *</t>
        </is>
      </c>
      <c r="C5" s="23" t="inlineStr">
        <is>
          <t>Client / Region</t>
        </is>
      </c>
      <c r="D5" s="23" t="inlineStr">
        <is>
          <t>Solution Type</t>
        </is>
      </c>
      <c r="E5" s="23" t="inlineStr">
        <is>
          <t>Year</t>
        </is>
      </c>
      <c r="F5" s="23" t="inlineStr">
        <is>
          <t>Won?</t>
        </is>
      </c>
      <c r="G5" s="24" t="inlineStr">
        <is>
          <t>MS Shuttles</t>
        </is>
      </c>
      <c r="H5" s="24" t="inlineStr">
        <is>
          <t>MS Tote Locations</t>
        </is>
      </c>
      <c r="I5" s="25" t="inlineStr">
        <is>
          <t>AS Robots</t>
        </is>
      </c>
      <c r="J5" s="25" t="inlineStr">
        <is>
          <t>AS Tote Locations</t>
        </is>
      </c>
      <c r="K5" s="26" t="inlineStr">
        <is>
          <t>PS Shuttles</t>
        </is>
      </c>
      <c r="L5" s="26" t="inlineStr">
        <is>
          <t>PS Pallet Locations</t>
        </is>
      </c>
      <c r="M5" s="27" t="inlineStr">
        <is>
          <t>SRM Cranes</t>
        </is>
      </c>
      <c r="N5" s="27" t="inlineStr">
        <is>
          <t>SRM Pallet Locations</t>
        </is>
      </c>
      <c r="O5" s="28" t="inlineStr">
        <is>
          <t>Case Conv (m)</t>
        </is>
      </c>
      <c r="P5" s="28" t="inlineStr">
        <is>
          <t>Pallet Conv (m)</t>
        </is>
      </c>
      <c r="Q5" s="24" t="inlineStr">
        <is>
          <t>Mech Eng (wks)</t>
        </is>
      </c>
      <c r="R5" s="24" t="inlineStr">
        <is>
          <t>Controls Eng (wks)</t>
        </is>
      </c>
      <c r="S5" s="24" t="inlineStr">
        <is>
          <t>Systems Eng (wks)</t>
        </is>
      </c>
      <c r="T5" s="24" t="inlineStr">
        <is>
          <t>Software Eng (wks)</t>
        </is>
      </c>
      <c r="U5" s="29" t="inlineStr">
        <is>
          <t>M&amp;E Installation (wks)</t>
        </is>
      </c>
      <c r="V5" s="29" t="inlineStr">
        <is>
          <t>Commissioning (wks)</t>
        </is>
      </c>
      <c r="W5" s="12" t="inlineStr">
        <is>
          <t>Total Timeline (wks)</t>
        </is>
      </c>
      <c r="X5" s="24" t="inlineStr">
        <is>
          <t>Currency</t>
        </is>
      </c>
      <c r="Y5" s="24" t="inlineStr">
        <is>
          <t>Value (M)</t>
        </is>
      </c>
      <c r="Z5" s="24" t="inlineStr">
        <is>
          <t>Value (USD M)</t>
        </is>
      </c>
      <c r="AA5" s="82" t="inlineStr">
        <is>
          <t>Automation Equipment</t>
        </is>
      </c>
      <c r="AB5" s="82" t="inlineStr">
        <is>
          <t>Notes / Lessons Learned</t>
        </is>
      </c>
      <c r="AC5" s="30" t="inlineStr">
        <is>
          <t>ID Check</t>
        </is>
      </c>
      <c r="AD5" s="31" t="inlineStr">
        <is>
          <t>Mech Inst</t>
        </is>
      </c>
      <c r="AE5" s="31" t="inlineStr">
        <is>
          <t>Elec Inst</t>
        </is>
      </c>
      <c r="AF5" s="31" t="inlineStr">
        <is>
          <t>Project Management</t>
        </is>
      </c>
      <c r="AG5" s="31" t="inlineStr">
        <is>
          <t>Systems Eng</t>
        </is>
      </c>
      <c r="AH5" s="31" t="inlineStr">
        <is>
          <t>Mechanical Eng</t>
        </is>
      </c>
      <c r="AI5" s="31" t="inlineStr">
        <is>
          <t>Structural Engineering</t>
        </is>
      </c>
      <c r="AJ5" s="31" t="inlineStr">
        <is>
          <t>Site Sup</t>
        </is>
      </c>
      <c r="AK5" s="31" t="inlineStr">
        <is>
          <t>Controls Commissioning</t>
        </is>
      </c>
      <c r="AL5" s="31" t="inlineStr">
        <is>
          <t>Systems Commissioning</t>
        </is>
      </c>
      <c r="AM5" s="31" t="inlineStr">
        <is>
          <t>Service Commissioning</t>
        </is>
      </c>
      <c r="AN5" s="31" t="inlineStr">
        <is>
          <t>Controls Eng</t>
        </is>
      </c>
      <c r="AO5" s="31" t="inlineStr">
        <is>
          <t>Controls Purchase</t>
        </is>
      </c>
      <c r="AP5" s="31" t="inlineStr">
        <is>
          <t>Software Eng</t>
        </is>
      </c>
      <c r="AQ5" s="31" t="inlineStr">
        <is>
          <t>Misc</t>
        </is>
      </c>
    </row>
    <row r="6" ht="18" customHeight="1" s="74">
      <c r="A6" s="32" t="inlineStr">
        <is>
          <t>SC22164</t>
        </is>
      </c>
      <c r="B6" s="32" t="inlineStr">
        <is>
          <t>Eren</t>
        </is>
      </c>
      <c r="C6" s="32" t="inlineStr">
        <is>
          <t>Turkey ME</t>
        </is>
      </c>
      <c r="D6" s="32" t="inlineStr">
        <is>
          <t>Others/complex</t>
        </is>
      </c>
      <c r="E6" s="33" t="n">
        <v>2024</v>
      </c>
      <c r="F6" s="33" t="inlineStr">
        <is>
          <t>Yes</t>
        </is>
      </c>
      <c r="G6" s="33" t="n">
        <v>164</v>
      </c>
      <c r="H6" s="33" t="n">
        <v>69000</v>
      </c>
      <c r="I6" s="33" t="n">
        <v>0</v>
      </c>
      <c r="J6" s="33" t="n">
        <v>0</v>
      </c>
      <c r="K6" s="33" t="n">
        <v>0</v>
      </c>
      <c r="L6" s="33" t="n">
        <v>0</v>
      </c>
      <c r="M6" s="33" t="n">
        <v>0</v>
      </c>
      <c r="N6" s="33" t="n">
        <v>0</v>
      </c>
      <c r="O6" s="33" t="n">
        <v>1900</v>
      </c>
      <c r="P6" s="33" t="n">
        <v>0</v>
      </c>
      <c r="Q6" s="33" t="n">
        <v>51</v>
      </c>
      <c r="R6" s="33" t="n">
        <v>20</v>
      </c>
      <c r="S6" s="33" t="n">
        <v>16</v>
      </c>
      <c r="T6" s="33" t="n">
        <v>45</v>
      </c>
      <c r="U6" s="33" t="n">
        <v>26</v>
      </c>
      <c r="V6" s="33" t="n">
        <v>30</v>
      </c>
      <c r="W6" s="34" t="n">
        <v>103</v>
      </c>
      <c r="X6" s="33" t="inlineStr">
        <is>
          <t>USD</t>
        </is>
      </c>
      <c r="Y6" s="35" t="n">
        <v>17.9</v>
      </c>
      <c r="Z6" s="157">
        <f>IF(OR(Y6="",X6=""),"",IFERROR(Y6*INDEX(FXRates[USD per unit],MATCH(X6,FXRates[Currency],0)),"No rate"))</f>
        <v/>
      </c>
      <c r="AA6" s="32" t="inlineStr">
        <is>
          <t>Hybotics APP Autobagger Carton Reducting Lidding Sealer Tote Stacker DeStacker MCS</t>
        </is>
      </c>
      <c r="AB6" s="32" t="n"/>
      <c r="AC6" s="36">
        <f>IF(A6="","",IF(COUNTIF($A$6:$A$504,A6)&gt;1,"⚠ Duplicate",""))</f>
        <v/>
      </c>
      <c r="AD6" s="37" t="n">
        <v>0</v>
      </c>
      <c r="AE6" s="37" t="n">
        <v>0</v>
      </c>
      <c r="AF6" s="37" t="n">
        <v>0</v>
      </c>
      <c r="AG6" s="37" t="n">
        <v>0</v>
      </c>
      <c r="AH6" s="37" t="n">
        <v>0</v>
      </c>
      <c r="AI6" s="37" t="n">
        <v>0</v>
      </c>
      <c r="AJ6" s="37" t="n">
        <v>0</v>
      </c>
      <c r="AK6" s="37" t="n">
        <v>0</v>
      </c>
      <c r="AL6" s="37" t="n">
        <v>0</v>
      </c>
      <c r="AM6" s="37" t="n">
        <v>0</v>
      </c>
      <c r="AN6" s="37" t="n">
        <v>0</v>
      </c>
      <c r="AO6" s="37" t="n">
        <v>0</v>
      </c>
      <c r="AP6" s="37" t="n">
        <v>0</v>
      </c>
      <c r="AQ6" s="37" t="n">
        <v>0</v>
      </c>
      <c r="AR6" s="10" t="n"/>
    </row>
    <row r="7" ht="18" customHeight="1" s="74">
      <c r="A7" s="38" t="inlineStr">
        <is>
          <t>SW31305</t>
        </is>
      </c>
      <c r="B7" s="38" t="inlineStr">
        <is>
          <t>Turkish Cargo</t>
        </is>
      </c>
      <c r="C7" s="38" t="inlineStr">
        <is>
          <t>Turkey ME</t>
        </is>
      </c>
      <c r="D7" s="38" t="n"/>
      <c r="E7" s="39" t="n">
        <v>2025</v>
      </c>
      <c r="F7" s="39" t="inlineStr">
        <is>
          <t>No</t>
        </is>
      </c>
      <c r="G7" s="39" t="n">
        <v>0</v>
      </c>
      <c r="H7" s="39" t="n">
        <v>0</v>
      </c>
      <c r="I7" s="39" t="n">
        <v>0</v>
      </c>
      <c r="J7" s="39" t="n">
        <v>0</v>
      </c>
      <c r="K7" s="39" t="n">
        <v>0</v>
      </c>
      <c r="L7" s="39" t="n">
        <v>0</v>
      </c>
      <c r="M7" s="39" t="n">
        <v>24</v>
      </c>
      <c r="N7" s="39" t="n">
        <v>50000</v>
      </c>
      <c r="O7" s="39" t="n">
        <v>0</v>
      </c>
      <c r="P7" s="39" t="n">
        <v>1600</v>
      </c>
      <c r="Q7" s="39" t="n">
        <v>56</v>
      </c>
      <c r="R7" s="39" t="n">
        <v>46</v>
      </c>
      <c r="S7" s="39" t="n">
        <v>27</v>
      </c>
      <c r="T7" s="39" t="n">
        <v>65</v>
      </c>
      <c r="U7" s="39" t="n">
        <v>31</v>
      </c>
      <c r="V7" s="39" t="n">
        <v>16</v>
      </c>
      <c r="W7" s="34" t="n">
        <v>105</v>
      </c>
      <c r="X7" s="39" t="inlineStr">
        <is>
          <t>USD</t>
        </is>
      </c>
      <c r="Y7" s="40" t="n">
        <v>30</v>
      </c>
      <c r="Z7" s="158">
        <f>IF(OR(Y7="",X7=""),"",IFERROR(Y7*INDEX(FXRates[USD per unit],MATCH(X7,FXRates[Currency],0)),"No rate"))</f>
        <v/>
      </c>
      <c r="AA7" s="38" t="inlineStr">
        <is>
          <t xml:space="preserve">SRM BK25 </t>
        </is>
      </c>
      <c r="AB7" s="38" t="inlineStr">
        <is>
          <t>2 SRM Cranes in 1 Aisle Configuration</t>
        </is>
      </c>
      <c r="AC7" s="41">
        <f>IF(A7="","",IF(COUNTIF($A$6:$A$504,A7)&gt;1,"⚠ Duplicate",""))</f>
        <v/>
      </c>
      <c r="AD7" s="42" t="n">
        <v>0.011</v>
      </c>
      <c r="AE7" s="42" t="n">
        <v>0.011</v>
      </c>
      <c r="AF7" s="42" t="n">
        <v>0.011</v>
      </c>
      <c r="AG7" s="42" t="n">
        <v>0.004</v>
      </c>
      <c r="AH7" s="42" t="n">
        <v>0.01</v>
      </c>
      <c r="AI7" s="42" t="n">
        <v>0.008</v>
      </c>
      <c r="AJ7" s="42" t="n">
        <v>0.008</v>
      </c>
      <c r="AK7" s="42" t="n">
        <v>0.021</v>
      </c>
      <c r="AL7" s="42" t="n">
        <v>0.021</v>
      </c>
      <c r="AM7" s="42" t="n">
        <v>0.021</v>
      </c>
      <c r="AN7" s="42" t="n">
        <v>0.03</v>
      </c>
      <c r="AO7" s="42" t="n">
        <v>0.03</v>
      </c>
      <c r="AP7" s="42" t="n">
        <v>0.003</v>
      </c>
      <c r="AQ7" s="37" t="n">
        <v>0.001</v>
      </c>
    </row>
    <row r="8" ht="18" customHeight="1" s="74">
      <c r="A8" s="32" t="inlineStr">
        <is>
          <t>SW3128-1</t>
        </is>
      </c>
      <c r="B8" s="32" t="inlineStr">
        <is>
          <t>DHL Aurora SPARK</t>
        </is>
      </c>
      <c r="C8" s="32" t="inlineStr">
        <is>
          <t>KSA ME</t>
        </is>
      </c>
      <c r="D8" s="32" t="n"/>
      <c r="E8" s="33" t="n">
        <v>2025</v>
      </c>
      <c r="F8" s="33" t="inlineStr">
        <is>
          <t>No</t>
        </is>
      </c>
      <c r="G8" s="33" t="n">
        <v>0</v>
      </c>
      <c r="H8" s="33" t="n">
        <v>0</v>
      </c>
      <c r="I8" s="33" t="n">
        <v>5</v>
      </c>
      <c r="J8" s="33" t="n">
        <v>85000</v>
      </c>
      <c r="K8" s="33" t="n">
        <v>0</v>
      </c>
      <c r="L8" s="33" t="n">
        <v>0</v>
      </c>
      <c r="M8" s="33" t="n">
        <v>0</v>
      </c>
      <c r="N8" s="33" t="n">
        <v>0</v>
      </c>
      <c r="O8" s="33" t="n">
        <v>0</v>
      </c>
      <c r="P8" s="33" t="n">
        <v>0</v>
      </c>
      <c r="Q8" s="33" t="n">
        <v>17</v>
      </c>
      <c r="R8" s="33" t="n">
        <v>2</v>
      </c>
      <c r="S8" s="33" t="n">
        <v>10</v>
      </c>
      <c r="T8" s="33" t="n">
        <v>12</v>
      </c>
      <c r="U8" s="33" t="n">
        <v>10</v>
      </c>
      <c r="V8" s="33" t="n">
        <v>10</v>
      </c>
      <c r="W8" s="34" t="n">
        <v>33</v>
      </c>
      <c r="X8" s="33" t="inlineStr">
        <is>
          <t>USD</t>
        </is>
      </c>
      <c r="Y8" s="35" t="n">
        <v>3.9</v>
      </c>
      <c r="Z8" s="157">
        <f>IF(OR(Y8="",X8=""),"",IFERROR(Y8*INDEX(FXRates[USD per unit],MATCH(X8,FXRates[Currency],0)),"No rate"))</f>
        <v/>
      </c>
      <c r="AA8" s="32" t="inlineStr">
        <is>
          <t>AutoStore</t>
        </is>
      </c>
      <c r="AB8" s="32" t="n"/>
      <c r="AC8" s="36">
        <f>IF(A8="","",IF(COUNTIF($A$6:$A$504,A8)&gt;1,"⚠ Duplicate",""))</f>
        <v/>
      </c>
      <c r="AD8" s="43" t="n">
        <v>0.05</v>
      </c>
      <c r="AE8" s="43" t="n">
        <v>0.05</v>
      </c>
      <c r="AF8" s="43" t="n">
        <v>0.05</v>
      </c>
      <c r="AG8" s="43" t="n">
        <v>0.07000000000000001</v>
      </c>
      <c r="AH8" s="43" t="n">
        <v>0.09</v>
      </c>
      <c r="AI8" s="43" t="n">
        <v>0.06</v>
      </c>
      <c r="AJ8" s="43" t="n">
        <v>0.06</v>
      </c>
      <c r="AK8" s="43" t="n">
        <v>0.01</v>
      </c>
      <c r="AL8" s="43" t="n">
        <v>0.01</v>
      </c>
      <c r="AM8" s="43" t="n">
        <v>0.01</v>
      </c>
      <c r="AN8" s="43" t="n">
        <v>0.01</v>
      </c>
      <c r="AO8" s="43" t="n">
        <v>0.01</v>
      </c>
      <c r="AP8" s="43" t="n">
        <v>0.04</v>
      </c>
      <c r="AQ8" s="37" t="n">
        <v>0.001</v>
      </c>
      <c r="AR8" s="10" t="n"/>
    </row>
    <row r="9" ht="18" customHeight="1" s="74">
      <c r="A9" s="38" t="inlineStr">
        <is>
          <t>SW3128-2</t>
        </is>
      </c>
      <c r="B9" s="38" t="inlineStr">
        <is>
          <t>DHL Aurora - JUBAIL*</t>
        </is>
      </c>
      <c r="C9" s="38" t="inlineStr">
        <is>
          <t>KSA ME</t>
        </is>
      </c>
      <c r="D9" s="38" t="n"/>
      <c r="E9" s="39" t="n">
        <v>2025</v>
      </c>
      <c r="F9" s="39" t="inlineStr">
        <is>
          <t>No</t>
        </is>
      </c>
      <c r="G9" s="39" t="n">
        <v>0</v>
      </c>
      <c r="H9" s="39" t="n">
        <v>0</v>
      </c>
      <c r="I9" s="39" t="n">
        <v>10</v>
      </c>
      <c r="J9" s="39" t="n">
        <v>165000</v>
      </c>
      <c r="K9" s="39" t="n">
        <v>0</v>
      </c>
      <c r="L9" s="39" t="n">
        <v>0</v>
      </c>
      <c r="M9" s="39" t="n">
        <v>0</v>
      </c>
      <c r="N9" s="39" t="n">
        <v>0</v>
      </c>
      <c r="O9" s="39" t="n">
        <v>0</v>
      </c>
      <c r="P9" s="39" t="n">
        <v>0</v>
      </c>
      <c r="Q9" s="39" t="n">
        <v>6</v>
      </c>
      <c r="R9" s="39" t="n">
        <v>2</v>
      </c>
      <c r="S9" s="39" t="n">
        <v>10</v>
      </c>
      <c r="T9" s="39" t="n">
        <v>6</v>
      </c>
      <c r="U9" s="39" t="n">
        <v>12</v>
      </c>
      <c r="V9" s="39" t="n">
        <v>16</v>
      </c>
      <c r="W9" s="34" t="n">
        <v>43</v>
      </c>
      <c r="X9" s="39" t="inlineStr">
        <is>
          <t>USD</t>
        </is>
      </c>
      <c r="Y9" s="40" t="n">
        <v>6.2</v>
      </c>
      <c r="Z9" s="158">
        <f>IF(OR(Y9="",X9=""),"",IFERROR(Y9*INDEX(FXRates[USD per unit],MATCH(X9,FXRates[Currency],0)),"No rate"))</f>
        <v/>
      </c>
      <c r="AA9" s="38" t="inlineStr">
        <is>
          <t>AutoStore</t>
        </is>
      </c>
      <c r="AB9" s="38" t="n"/>
      <c r="AC9" s="41">
        <f>IF(A9="","",IF(COUNTIF($A$6:$A$504,A9)&gt;1,"⚠ Duplicate",""))</f>
        <v/>
      </c>
      <c r="AD9" s="42" t="n">
        <v>0.05</v>
      </c>
      <c r="AE9" s="42" t="n">
        <v>0.05</v>
      </c>
      <c r="AF9" s="42" t="n">
        <v>0.05</v>
      </c>
      <c r="AG9" s="42" t="n">
        <v>0.07000000000000001</v>
      </c>
      <c r="AH9" s="42" t="n">
        <v>0.09</v>
      </c>
      <c r="AI9" s="42" t="n">
        <v>0.06</v>
      </c>
      <c r="AJ9" s="42" t="n">
        <v>0.06</v>
      </c>
      <c r="AK9" s="42" t="n">
        <v>0.01</v>
      </c>
      <c r="AL9" s="42" t="n">
        <v>0.01</v>
      </c>
      <c r="AM9" s="42" t="n">
        <v>0.01</v>
      </c>
      <c r="AN9" s="42" t="n">
        <v>0.01</v>
      </c>
      <c r="AO9" s="42" t="n">
        <v>0.01</v>
      </c>
      <c r="AP9" s="42" t="n">
        <v>0.04</v>
      </c>
      <c r="AQ9" s="37" t="n">
        <v>0.001</v>
      </c>
      <c r="AR9" s="10" t="n"/>
    </row>
    <row r="10" ht="18" customHeight="1" s="74">
      <c r="A10" s="32" t="inlineStr">
        <is>
          <t>SW3128-3</t>
        </is>
      </c>
      <c r="B10" s="32" t="inlineStr">
        <is>
          <t>DHL Aurora - YANBU*</t>
        </is>
      </c>
      <c r="C10" s="32" t="inlineStr">
        <is>
          <t>KSA ME</t>
        </is>
      </c>
      <c r="D10" s="32" t="n"/>
      <c r="E10" s="33" t="n">
        <v>2025</v>
      </c>
      <c r="F10" s="33" t="inlineStr">
        <is>
          <t>No</t>
        </is>
      </c>
      <c r="G10" s="33" t="n">
        <v>0</v>
      </c>
      <c r="H10" s="33" t="n">
        <v>0</v>
      </c>
      <c r="I10" s="33" t="n">
        <v>20</v>
      </c>
      <c r="J10" s="33" t="n">
        <v>130000</v>
      </c>
      <c r="K10" s="33" t="n">
        <v>0</v>
      </c>
      <c r="L10" s="33" t="n">
        <v>0</v>
      </c>
      <c r="M10" s="33" t="n">
        <v>0</v>
      </c>
      <c r="N10" s="33" t="n">
        <v>0</v>
      </c>
      <c r="O10" s="33" t="n">
        <v>0</v>
      </c>
      <c r="P10" s="33" t="n">
        <v>0</v>
      </c>
      <c r="Q10" s="33" t="n">
        <v>6</v>
      </c>
      <c r="R10" s="33" t="n">
        <v>2</v>
      </c>
      <c r="S10" s="33" t="n">
        <v>4</v>
      </c>
      <c r="T10" s="33" t="n">
        <v>6</v>
      </c>
      <c r="U10" s="33" t="n">
        <v>9</v>
      </c>
      <c r="V10" s="33" t="n">
        <v>14</v>
      </c>
      <c r="W10" s="34" t="n">
        <v>41</v>
      </c>
      <c r="X10" s="33" t="inlineStr">
        <is>
          <t>USD</t>
        </is>
      </c>
      <c r="Y10" s="35" t="n">
        <v>5</v>
      </c>
      <c r="Z10" s="157">
        <f>IF(OR(Y10="",X10=""),"",IFERROR(Y10*INDEX(FXRates[USD per unit],MATCH(X10,FXRates[Currency],0)),"No rate"))</f>
        <v/>
      </c>
      <c r="AA10" s="32" t="inlineStr">
        <is>
          <t>AutoStore</t>
        </is>
      </c>
      <c r="AB10" s="32" t="n"/>
      <c r="AC10" s="36">
        <f>IF(A10="","",IF(COUNTIF($A$6:$A$504,A10)&gt;1,"⚠ Duplicate",""))</f>
        <v/>
      </c>
      <c r="AD10" s="43" t="n">
        <v>0.05</v>
      </c>
      <c r="AE10" s="43" t="n">
        <v>0.05</v>
      </c>
      <c r="AF10" s="43" t="n">
        <v>0.05</v>
      </c>
      <c r="AG10" s="43" t="n">
        <v>0.07000000000000001</v>
      </c>
      <c r="AH10" s="43" t="n">
        <v>0.09</v>
      </c>
      <c r="AI10" s="43" t="n">
        <v>0.06</v>
      </c>
      <c r="AJ10" s="43" t="n">
        <v>0.06</v>
      </c>
      <c r="AK10" s="43" t="n">
        <v>0.01</v>
      </c>
      <c r="AL10" s="43" t="n">
        <v>0.01</v>
      </c>
      <c r="AM10" s="43" t="n">
        <v>0.01</v>
      </c>
      <c r="AN10" s="43" t="n">
        <v>0.01</v>
      </c>
      <c r="AO10" s="43" t="n">
        <v>0.01</v>
      </c>
      <c r="AP10" s="43" t="n">
        <v>0.04</v>
      </c>
      <c r="AQ10" s="37" t="n">
        <v>0.001</v>
      </c>
      <c r="AR10" s="10" t="n"/>
    </row>
    <row r="11" ht="18" customHeight="1" s="74">
      <c r="A11" s="38" t="inlineStr">
        <is>
          <t>SC22154</t>
        </is>
      </c>
      <c r="B11" s="38" t="inlineStr">
        <is>
          <t>Almarai Poultry</t>
        </is>
      </c>
      <c r="C11" s="38" t="inlineStr">
        <is>
          <t>KSA ME</t>
        </is>
      </c>
      <c r="D11" s="38" t="inlineStr">
        <is>
          <t>Others/complex</t>
        </is>
      </c>
      <c r="E11" s="39" t="n">
        <v>2025</v>
      </c>
      <c r="F11" s="39" t="inlineStr">
        <is>
          <t>Yes</t>
        </is>
      </c>
      <c r="G11" s="39" t="n">
        <v>45</v>
      </c>
      <c r="H11" s="39" t="n">
        <v>10000</v>
      </c>
      <c r="I11" s="39" t="n">
        <v>0</v>
      </c>
      <c r="J11" s="39" t="n">
        <v>0</v>
      </c>
      <c r="K11" s="39" t="n">
        <v>0</v>
      </c>
      <c r="L11" s="39" t="n">
        <v>0</v>
      </c>
      <c r="M11" s="39" t="n">
        <v>0</v>
      </c>
      <c r="N11" s="39" t="n">
        <v>0</v>
      </c>
      <c r="O11" s="39" t="n">
        <v>900</v>
      </c>
      <c r="P11" s="39" t="n">
        <v>0</v>
      </c>
      <c r="Q11" s="39" t="n">
        <v>56</v>
      </c>
      <c r="R11" s="39" t="n">
        <v>32</v>
      </c>
      <c r="S11" s="39" t="n">
        <v>20</v>
      </c>
      <c r="T11" s="39" t="n">
        <v>60</v>
      </c>
      <c r="U11" s="39" t="n">
        <v>29</v>
      </c>
      <c r="V11" s="39" t="n">
        <v>41</v>
      </c>
      <c r="W11" s="34" t="n">
        <v>94</v>
      </c>
      <c r="X11" s="39" t="inlineStr">
        <is>
          <t>USD</t>
        </is>
      </c>
      <c r="Y11" s="40" t="n">
        <v>12.3</v>
      </c>
      <c r="Z11" s="158">
        <f>IF(OR(Y11="",X11=""),"",IFERROR(Y11*INDEX(FXRates[USD per unit],MATCH(X11,FXRates[Currency],0)),"No rate"))</f>
        <v/>
      </c>
      <c r="AA11" s="38" t="inlineStr">
        <is>
          <t>DMS MCS Elten Tote Palletising Case Lidding</t>
        </is>
      </c>
      <c r="AB11" s="38" t="n"/>
      <c r="AC11" s="41">
        <f>IF(A11="","",IF(COUNTIF($A$6:$A$504,A11)&gt;1,"⚠ Duplicate",""))</f>
        <v/>
      </c>
      <c r="AD11" s="37" t="n">
        <v>0</v>
      </c>
      <c r="AE11" s="37" t="n">
        <v>0</v>
      </c>
      <c r="AF11" s="37" t="n">
        <v>0</v>
      </c>
      <c r="AG11" s="37" t="n">
        <v>0</v>
      </c>
      <c r="AH11" s="37" t="n">
        <v>0</v>
      </c>
      <c r="AI11" s="37" t="n">
        <v>0</v>
      </c>
      <c r="AJ11" s="37" t="n">
        <v>0</v>
      </c>
      <c r="AK11" s="37" t="n">
        <v>0</v>
      </c>
      <c r="AL11" s="37" t="n">
        <v>0</v>
      </c>
      <c r="AM11" s="37" t="n">
        <v>0</v>
      </c>
      <c r="AN11" s="37" t="n">
        <v>0</v>
      </c>
      <c r="AO11" s="37" t="n">
        <v>0</v>
      </c>
      <c r="AP11" s="37" t="n">
        <v>0</v>
      </c>
      <c r="AQ11" s="37" t="n">
        <v>0</v>
      </c>
      <c r="AR11" s="10" t="n"/>
    </row>
    <row r="12" ht="18" customHeight="1" s="74">
      <c r="A12" s="32" t="inlineStr">
        <is>
          <t>SC22158</t>
        </is>
      </c>
      <c r="B12" s="32" t="inlineStr">
        <is>
          <t>Almarai Bakery</t>
        </is>
      </c>
      <c r="C12" s="32" t="inlineStr">
        <is>
          <t>KSA ME</t>
        </is>
      </c>
      <c r="D12" s="32" t="inlineStr">
        <is>
          <t>Others/complex</t>
        </is>
      </c>
      <c r="E12" s="33" t="n">
        <v>2025</v>
      </c>
      <c r="F12" s="33" t="inlineStr">
        <is>
          <t>Yes</t>
        </is>
      </c>
      <c r="G12" s="33" t="n">
        <v>35</v>
      </c>
      <c r="H12" s="33" t="n">
        <v>5000</v>
      </c>
      <c r="I12" s="33" t="n">
        <v>0</v>
      </c>
      <c r="J12" s="33" t="n">
        <v>0</v>
      </c>
      <c r="K12" s="33" t="n">
        <v>15</v>
      </c>
      <c r="L12" s="33" t="n">
        <v>5000</v>
      </c>
      <c r="M12" s="33" t="n">
        <v>0</v>
      </c>
      <c r="N12" s="33" t="n">
        <v>0</v>
      </c>
      <c r="O12" s="33" t="n">
        <v>800</v>
      </c>
      <c r="P12" s="33" t="n">
        <v>200</v>
      </c>
      <c r="Q12" s="33" t="n">
        <v>79</v>
      </c>
      <c r="R12" s="33" t="n">
        <v>28</v>
      </c>
      <c r="S12" s="33" t="n">
        <v>16</v>
      </c>
      <c r="T12" s="33" t="n">
        <v>66</v>
      </c>
      <c r="U12" s="33" t="n">
        <v>37</v>
      </c>
      <c r="V12" s="33" t="n">
        <v>28</v>
      </c>
      <c r="W12" s="34" t="n">
        <v>143</v>
      </c>
      <c r="X12" s="33" t="inlineStr">
        <is>
          <t>USD</t>
        </is>
      </c>
      <c r="Y12" s="35" t="n">
        <v>14.3</v>
      </c>
      <c r="Z12" s="157">
        <f>IF(OR(Y12="",X12=""),"",IFERROR(Y12*INDEX(FXRates[USD per unit],MATCH(X12,FXRates[Currency],0)),"No rate"))</f>
        <v/>
      </c>
      <c r="AA12" s="32" t="inlineStr">
        <is>
          <t>2 Way Shuttle BK25</t>
        </is>
      </c>
      <c r="AB12" s="32" t="n"/>
      <c r="AC12" s="36">
        <f>IF(A12="","",IF(COUNTIF($A$6:$A$504,A12)&gt;1,"⚠ Duplicate",""))</f>
        <v/>
      </c>
      <c r="AD12" s="37" t="n">
        <v>0</v>
      </c>
      <c r="AE12" s="37" t="n">
        <v>0</v>
      </c>
      <c r="AF12" s="37" t="n">
        <v>0</v>
      </c>
      <c r="AG12" s="37" t="n">
        <v>0</v>
      </c>
      <c r="AH12" s="37" t="n">
        <v>0</v>
      </c>
      <c r="AI12" s="37" t="n">
        <v>0</v>
      </c>
      <c r="AJ12" s="37" t="n">
        <v>0</v>
      </c>
      <c r="AK12" s="37" t="n">
        <v>0</v>
      </c>
      <c r="AL12" s="37" t="n">
        <v>0</v>
      </c>
      <c r="AM12" s="37" t="n">
        <v>0</v>
      </c>
      <c r="AN12" s="37" t="n">
        <v>0</v>
      </c>
      <c r="AO12" s="37" t="n">
        <v>0</v>
      </c>
      <c r="AP12" s="37" t="n">
        <v>0</v>
      </c>
      <c r="AQ12" s="37" t="n">
        <v>0</v>
      </c>
      <c r="AR12" s="10" t="n"/>
    </row>
    <row r="13" ht="18" customHeight="1" s="74">
      <c r="A13" s="38" t="inlineStr">
        <is>
          <t>SC22213</t>
        </is>
      </c>
      <c r="B13" s="38" t="inlineStr">
        <is>
          <t>LG CNS Marketkrly DMS</t>
        </is>
      </c>
      <c r="C13" s="38" t="inlineStr">
        <is>
          <t>Korea ASIA</t>
        </is>
      </c>
      <c r="D13" s="38" t="n"/>
      <c r="E13" s="39" t="n">
        <v>2025</v>
      </c>
      <c r="F13" s="39" t="inlineStr">
        <is>
          <t>No</t>
        </is>
      </c>
      <c r="G13" s="39" t="n">
        <v>120</v>
      </c>
      <c r="H13" s="39" t="n">
        <v>30000</v>
      </c>
      <c r="I13" s="39" t="n">
        <v>0</v>
      </c>
      <c r="J13" s="39" t="n">
        <v>0</v>
      </c>
      <c r="K13" s="39" t="n">
        <v>0</v>
      </c>
      <c r="L13" s="39" t="n">
        <v>0</v>
      </c>
      <c r="M13" s="39" t="n">
        <v>0</v>
      </c>
      <c r="N13" s="39" t="n">
        <v>0</v>
      </c>
      <c r="O13" s="39" t="n">
        <v>0</v>
      </c>
      <c r="P13" s="39" t="n">
        <v>0</v>
      </c>
      <c r="Q13" s="39" t="n">
        <v>29</v>
      </c>
      <c r="R13" s="39" t="n">
        <v>0</v>
      </c>
      <c r="S13" s="39" t="n">
        <v>0</v>
      </c>
      <c r="T13" s="39" t="n">
        <v>30</v>
      </c>
      <c r="U13" s="39" t="n">
        <v>26</v>
      </c>
      <c r="V13" s="39" t="n">
        <v>16</v>
      </c>
      <c r="W13" s="34" t="n">
        <v>78</v>
      </c>
      <c r="X13" s="39" t="inlineStr">
        <is>
          <t>USD</t>
        </is>
      </c>
      <c r="Y13" s="40" t="n">
        <v>4.3</v>
      </c>
      <c r="Z13" s="158">
        <f>IF(OR(Y13="",X13=""),"",IFERROR(Y13*INDEX(FXRates[USD per unit],MATCH(X13,FXRates[Currency],0)),"No rate"))</f>
        <v/>
      </c>
      <c r="AA13" s="38" t="inlineStr">
        <is>
          <t>DMS</t>
        </is>
      </c>
      <c r="AB13" s="38" t="n"/>
      <c r="AC13" s="41">
        <f>IF(A13="","",IF(COUNTIF($A$6:$A$504,A13)&gt;1,"⚠ Duplicate",""))</f>
        <v/>
      </c>
      <c r="AD13" s="42" t="n">
        <v>0.05</v>
      </c>
      <c r="AE13" s="42" t="n">
        <v>0.05</v>
      </c>
      <c r="AF13" s="42" t="n">
        <v>0.05</v>
      </c>
      <c r="AG13" s="42" t="n">
        <v>0.07000000000000001</v>
      </c>
      <c r="AH13" s="42" t="n">
        <v>0.09</v>
      </c>
      <c r="AI13" s="42" t="n">
        <v>0.06</v>
      </c>
      <c r="AJ13" s="42" t="n">
        <v>0.06</v>
      </c>
      <c r="AK13" s="42" t="n">
        <v>0.01</v>
      </c>
      <c r="AL13" s="42" t="n">
        <v>0.01</v>
      </c>
      <c r="AM13" s="42" t="n">
        <v>0.01</v>
      </c>
      <c r="AN13" s="42" t="n">
        <v>0.01</v>
      </c>
      <c r="AO13" s="42" t="n">
        <v>0.01</v>
      </c>
      <c r="AP13" s="42" t="n">
        <v>0.04</v>
      </c>
      <c r="AQ13" s="37" t="n">
        <v>0.001</v>
      </c>
      <c r="AR13" s="10" t="n"/>
    </row>
    <row r="14" ht="18" customHeight="1" s="74">
      <c r="A14" s="32" t="inlineStr">
        <is>
          <t>SC22168</t>
        </is>
      </c>
      <c r="B14" s="32" t="inlineStr">
        <is>
          <t>Retail Logistics</t>
        </is>
      </c>
      <c r="C14" s="32" t="inlineStr">
        <is>
          <t>Dubai ME</t>
        </is>
      </c>
      <c r="D14" s="32" t="n"/>
      <c r="E14" s="33" t="n">
        <v>2025</v>
      </c>
      <c r="F14" s="33" t="inlineStr">
        <is>
          <t>No</t>
        </is>
      </c>
      <c r="G14" s="33" t="n">
        <v>65</v>
      </c>
      <c r="H14" s="33" t="n">
        <v>30000</v>
      </c>
      <c r="I14" s="33" t="n">
        <v>0</v>
      </c>
      <c r="J14" s="33" t="n">
        <v>0</v>
      </c>
      <c r="K14" s="33" t="n">
        <v>0</v>
      </c>
      <c r="L14" s="33" t="n">
        <v>0</v>
      </c>
      <c r="M14" s="33" t="n">
        <v>0</v>
      </c>
      <c r="N14" s="33" t="n">
        <v>0</v>
      </c>
      <c r="O14" s="33" t="n">
        <v>300</v>
      </c>
      <c r="P14" s="33" t="n">
        <v>0</v>
      </c>
      <c r="Q14" s="33" t="n">
        <v>48</v>
      </c>
      <c r="R14" s="33" t="n">
        <v>32</v>
      </c>
      <c r="S14" s="33" t="n">
        <v>14</v>
      </c>
      <c r="T14" s="33" t="n">
        <v>48</v>
      </c>
      <c r="U14" s="33" t="n">
        <v>44</v>
      </c>
      <c r="V14" s="33" t="n">
        <v>45</v>
      </c>
      <c r="W14" s="34" t="n">
        <v>91</v>
      </c>
      <c r="X14" s="33" t="inlineStr">
        <is>
          <t>USD</t>
        </is>
      </c>
      <c r="Y14" s="35" t="n">
        <v>15.5</v>
      </c>
      <c r="Z14" s="157">
        <f>IF(OR(Y14="",X14=""),"",IFERROR(Y14*INDEX(FXRates[USD per unit],MATCH(X14,FXRates[Currency],0)),"No rate"))</f>
        <v/>
      </c>
      <c r="AA14" s="32" t="inlineStr">
        <is>
          <t>MCS</t>
        </is>
      </c>
      <c r="AB14" s="32" t="n"/>
      <c r="AC14" s="36">
        <f>IF(A14="","",IF(COUNTIF($A$6:$A$504,A14)&gt;1,"⚠ Duplicate",""))</f>
        <v/>
      </c>
      <c r="AD14" s="43" t="n">
        <v>0.05</v>
      </c>
      <c r="AE14" s="43" t="n">
        <v>0.05</v>
      </c>
      <c r="AF14" s="43" t="n">
        <v>0.05</v>
      </c>
      <c r="AG14" s="43" t="n">
        <v>0.07000000000000001</v>
      </c>
      <c r="AH14" s="43" t="n">
        <v>0.09</v>
      </c>
      <c r="AI14" s="43" t="n">
        <v>0.06</v>
      </c>
      <c r="AJ14" s="43" t="n">
        <v>0.06</v>
      </c>
      <c r="AK14" s="43" t="n">
        <v>0.01</v>
      </c>
      <c r="AL14" s="43" t="n">
        <v>0.01</v>
      </c>
      <c r="AM14" s="43" t="n">
        <v>0.01</v>
      </c>
      <c r="AN14" s="43" t="n">
        <v>0.01</v>
      </c>
      <c r="AO14" s="43" t="n">
        <v>0.01</v>
      </c>
      <c r="AP14" s="43" t="n">
        <v>0.04</v>
      </c>
      <c r="AQ14" s="37" t="n">
        <v>0.001</v>
      </c>
      <c r="AR14" s="10" t="n"/>
    </row>
    <row r="15" ht="18" customHeight="1" s="74">
      <c r="A15" s="38" t="inlineStr">
        <is>
          <t>SW31293</t>
        </is>
      </c>
      <c r="B15" s="38" t="inlineStr">
        <is>
          <t>Caterpillar 4WS</t>
        </is>
      </c>
      <c r="C15" s="38" t="inlineStr">
        <is>
          <t>Thailand ASIA</t>
        </is>
      </c>
      <c r="D15" s="38" t="n"/>
      <c r="E15" s="39" t="n">
        <v>2025</v>
      </c>
      <c r="F15" s="39" t="inlineStr">
        <is>
          <t>No</t>
        </is>
      </c>
      <c r="G15" s="39" t="n">
        <v>0</v>
      </c>
      <c r="H15" s="39" t="n">
        <v>0</v>
      </c>
      <c r="I15" s="39" t="n">
        <v>0</v>
      </c>
      <c r="J15" s="39" t="n">
        <v>0</v>
      </c>
      <c r="K15" s="39" t="n">
        <v>15</v>
      </c>
      <c r="L15" s="39" t="n">
        <v>5000</v>
      </c>
      <c r="M15" s="39" t="n">
        <v>0</v>
      </c>
      <c r="N15" s="39" t="n">
        <v>0</v>
      </c>
      <c r="O15" s="39" t="n">
        <v>0</v>
      </c>
      <c r="P15" s="39" t="n">
        <v>200</v>
      </c>
      <c r="Q15" s="39" t="n">
        <v>33</v>
      </c>
      <c r="R15" s="39" t="n">
        <v>0</v>
      </c>
      <c r="S15" s="39" t="n">
        <v>25</v>
      </c>
      <c r="T15" s="39" t="n">
        <v>40</v>
      </c>
      <c r="U15" s="39" t="n">
        <v>17</v>
      </c>
      <c r="V15" s="39" t="n">
        <v>8</v>
      </c>
      <c r="W15" s="34" t="n">
        <v>65</v>
      </c>
      <c r="X15" s="39" t="inlineStr">
        <is>
          <t>USD</t>
        </is>
      </c>
      <c r="Y15" s="40" t="n">
        <v>2.7</v>
      </c>
      <c r="Z15" s="158">
        <f>IF(OR(Y15="",X15=""),"",IFERROR(Y15*INDEX(FXRates[USD per unit],MATCH(X15,FXRates[Currency],0)),"No rate"))</f>
        <v/>
      </c>
      <c r="AA15" s="38" t="inlineStr">
        <is>
          <t>4WS Pallet</t>
        </is>
      </c>
      <c r="AB15" s="38" t="n"/>
      <c r="AC15" s="41">
        <f>IF(A15="","",IF(COUNTIF($A$6:$A$504,A15)&gt;1,"⚠ Duplicate",""))</f>
        <v/>
      </c>
      <c r="AD15" s="42" t="n">
        <v>0.05</v>
      </c>
      <c r="AE15" s="42" t="n">
        <v>0.05</v>
      </c>
      <c r="AF15" s="42" t="n">
        <v>0.05</v>
      </c>
      <c r="AG15" s="42" t="n">
        <v>0.07000000000000001</v>
      </c>
      <c r="AH15" s="42" t="n">
        <v>0.09</v>
      </c>
      <c r="AI15" s="42" t="n">
        <v>0.06</v>
      </c>
      <c r="AJ15" s="42" t="n">
        <v>0.06</v>
      </c>
      <c r="AK15" s="42" t="n">
        <v>0.01</v>
      </c>
      <c r="AL15" s="42" t="n">
        <v>0.01</v>
      </c>
      <c r="AM15" s="42" t="n">
        <v>0.01</v>
      </c>
      <c r="AN15" s="42" t="n">
        <v>0.01</v>
      </c>
      <c r="AO15" s="42" t="n">
        <v>0.01</v>
      </c>
      <c r="AP15" s="42" t="n">
        <v>0.04</v>
      </c>
      <c r="AQ15" s="37" t="n">
        <v>0.001</v>
      </c>
      <c r="AR15" s="10" t="n"/>
    </row>
    <row r="16" ht="18" customHeight="1" s="74">
      <c r="A16" s="32" t="inlineStr">
        <is>
          <t>SC22191</t>
        </is>
      </c>
      <c r="B16" s="32" t="inlineStr">
        <is>
          <t>Plexus Bridgeview</t>
        </is>
      </c>
      <c r="C16" s="32" t="inlineStr">
        <is>
          <t>Malaysia ASIA</t>
        </is>
      </c>
      <c r="D16" s="32" t="inlineStr">
        <is>
          <t>Autostore</t>
        </is>
      </c>
      <c r="E16" s="33" t="n">
        <v>2025</v>
      </c>
      <c r="F16" s="33" t="inlineStr">
        <is>
          <t>Yes</t>
        </is>
      </c>
      <c r="G16" s="33" t="n">
        <v>0</v>
      </c>
      <c r="H16" s="33" t="n">
        <v>0</v>
      </c>
      <c r="I16" s="33" t="n">
        <v>20</v>
      </c>
      <c r="J16" s="33" t="n">
        <v>10000</v>
      </c>
      <c r="K16" s="33" t="n">
        <v>0</v>
      </c>
      <c r="L16" s="33" t="n">
        <v>0</v>
      </c>
      <c r="M16" s="33" t="n">
        <v>0</v>
      </c>
      <c r="N16" s="33" t="n">
        <v>0</v>
      </c>
      <c r="O16" s="33" t="n">
        <v>100</v>
      </c>
      <c r="P16" s="33" t="n">
        <v>0</v>
      </c>
      <c r="Q16" s="33" t="n">
        <v>25</v>
      </c>
      <c r="R16" s="33" t="n">
        <v>2</v>
      </c>
      <c r="S16" s="33" t="n">
        <v>12</v>
      </c>
      <c r="T16" s="33" t="n">
        <v>25</v>
      </c>
      <c r="U16" s="33" t="n">
        <v>8</v>
      </c>
      <c r="V16" s="33" t="n">
        <v>18</v>
      </c>
      <c r="W16" s="34" t="n">
        <v>47</v>
      </c>
      <c r="X16" s="33" t="inlineStr">
        <is>
          <t>USD</t>
        </is>
      </c>
      <c r="Y16" s="35" t="n">
        <v>2.2</v>
      </c>
      <c r="Z16" s="157">
        <f>IF(OR(Y16="",X16=""),"",IFERROR(Y16*INDEX(FXRates[USD per unit],MATCH(X16,FXRates[Currency],0)),"No rate"))</f>
        <v/>
      </c>
      <c r="AA16" s="32" t="inlineStr">
        <is>
          <t>Autostore</t>
        </is>
      </c>
      <c r="AB16" s="32" t="n"/>
      <c r="AC16" s="36">
        <f>IF(A16="","",IF(COUNTIF($A$6:$A$504,A16)&gt;1,"⚠ Duplicate",""))</f>
        <v/>
      </c>
      <c r="AD16" s="37" t="n">
        <v>0</v>
      </c>
      <c r="AE16" s="37" t="n">
        <v>0</v>
      </c>
      <c r="AF16" s="37" t="n">
        <v>0</v>
      </c>
      <c r="AG16" s="37" t="n">
        <v>0</v>
      </c>
      <c r="AH16" s="37" t="n">
        <v>0</v>
      </c>
      <c r="AI16" s="37" t="n">
        <v>0</v>
      </c>
      <c r="AJ16" s="37" t="n">
        <v>0</v>
      </c>
      <c r="AK16" s="37" t="n">
        <v>0</v>
      </c>
      <c r="AL16" s="37" t="n">
        <v>0</v>
      </c>
      <c r="AM16" s="37" t="n">
        <v>0</v>
      </c>
      <c r="AN16" s="37" t="n">
        <v>0</v>
      </c>
      <c r="AO16" s="37" t="n">
        <v>0</v>
      </c>
      <c r="AP16" s="37" t="n">
        <v>0</v>
      </c>
      <c r="AQ16" s="37" t="n">
        <v>0</v>
      </c>
      <c r="AR16" s="10" t="n"/>
    </row>
    <row r="17" ht="18" customHeight="1" s="74">
      <c r="A17" s="38" t="inlineStr">
        <is>
          <t>SW31269</t>
        </is>
      </c>
      <c r="B17" s="38" t="inlineStr">
        <is>
          <t>Plexus Bangkok</t>
        </is>
      </c>
      <c r="C17" s="38" t="inlineStr">
        <is>
          <t>Malaysia ASIA</t>
        </is>
      </c>
      <c r="D17" s="38" t="inlineStr">
        <is>
          <t>Autostore</t>
        </is>
      </c>
      <c r="E17" s="39" t="n">
        <v>2025</v>
      </c>
      <c r="F17" s="39" t="inlineStr">
        <is>
          <t>Yes</t>
        </is>
      </c>
      <c r="G17" s="39" t="n">
        <v>0</v>
      </c>
      <c r="H17" s="39" t="n">
        <v>0</v>
      </c>
      <c r="I17" s="39" t="n">
        <v>10</v>
      </c>
      <c r="J17" s="39" t="n">
        <v>10000</v>
      </c>
      <c r="K17" s="39" t="n">
        <v>0</v>
      </c>
      <c r="L17" s="39" t="n">
        <v>0</v>
      </c>
      <c r="M17" s="39" t="n">
        <v>0</v>
      </c>
      <c r="N17" s="39" t="n">
        <v>0</v>
      </c>
      <c r="O17" s="39" t="n">
        <v>0</v>
      </c>
      <c r="P17" s="39" t="n">
        <v>0</v>
      </c>
      <c r="Q17" s="39" t="n">
        <v>24</v>
      </c>
      <c r="R17" s="39" t="n">
        <v>2</v>
      </c>
      <c r="S17" s="39" t="n">
        <v>12</v>
      </c>
      <c r="T17" s="39" t="n">
        <v>23</v>
      </c>
      <c r="U17" s="39" t="n">
        <v>9</v>
      </c>
      <c r="V17" s="39" t="n">
        <v>11</v>
      </c>
      <c r="W17" s="34" t="n">
        <v>47</v>
      </c>
      <c r="X17" s="39" t="inlineStr">
        <is>
          <t>USD</t>
        </is>
      </c>
      <c r="Y17" s="40" t="n">
        <v>1.7</v>
      </c>
      <c r="Z17" s="158">
        <f>IF(OR(Y17="",X17=""),"",IFERROR(Y17*INDEX(FXRates[USD per unit],MATCH(X17,FXRates[Currency],0)),"No rate"))</f>
        <v/>
      </c>
      <c r="AA17" s="38" t="inlineStr">
        <is>
          <t>Autostore</t>
        </is>
      </c>
      <c r="AB17" s="38" t="n"/>
      <c r="AC17" s="41">
        <f>IF(A17="","",IF(COUNTIF($A$6:$A$504,A17)&gt;1,"⚠ Duplicate",""))</f>
        <v/>
      </c>
      <c r="AD17" s="37" t="n">
        <v>0</v>
      </c>
      <c r="AE17" s="37" t="n">
        <v>0</v>
      </c>
      <c r="AF17" s="37" t="n">
        <v>0</v>
      </c>
      <c r="AG17" s="37" t="n">
        <v>0</v>
      </c>
      <c r="AH17" s="37" t="n">
        <v>0</v>
      </c>
      <c r="AI17" s="37" t="n">
        <v>0</v>
      </c>
      <c r="AJ17" s="37" t="n">
        <v>0</v>
      </c>
      <c r="AK17" s="37" t="n">
        <v>0</v>
      </c>
      <c r="AL17" s="37" t="n">
        <v>0</v>
      </c>
      <c r="AM17" s="37" t="n">
        <v>0</v>
      </c>
      <c r="AN17" s="37" t="n">
        <v>0</v>
      </c>
      <c r="AO17" s="37" t="n">
        <v>0</v>
      </c>
      <c r="AP17" s="37" t="n">
        <v>0</v>
      </c>
      <c r="AQ17" s="37" t="n">
        <v>0</v>
      </c>
      <c r="AR17" s="10" t="n"/>
    </row>
    <row r="18" ht="18" customHeight="1" s="74">
      <c r="A18" s="32" t="inlineStr">
        <is>
          <t>SC22188</t>
        </is>
      </c>
      <c r="B18" s="32" t="inlineStr">
        <is>
          <t>Jaya Grocer</t>
        </is>
      </c>
      <c r="C18" s="32" t="inlineStr">
        <is>
          <t>Malaysia ASIA</t>
        </is>
      </c>
      <c r="D18" s="32" t="n"/>
      <c r="E18" s="33" t="n">
        <v>2025</v>
      </c>
      <c r="F18" s="33" t="inlineStr">
        <is>
          <t>No</t>
        </is>
      </c>
      <c r="G18" s="33" t="n">
        <v>160</v>
      </c>
      <c r="H18" s="33" t="n">
        <v>95000</v>
      </c>
      <c r="I18" s="33" t="n">
        <v>0</v>
      </c>
      <c r="J18" s="33" t="n">
        <v>0</v>
      </c>
      <c r="K18" s="33" t="n">
        <v>50</v>
      </c>
      <c r="L18" s="33" t="n">
        <v>15000</v>
      </c>
      <c r="M18" s="33" t="n">
        <v>0</v>
      </c>
      <c r="N18" s="33" t="n">
        <v>0</v>
      </c>
      <c r="O18" s="33" t="n">
        <v>800</v>
      </c>
      <c r="P18" s="33" t="n">
        <v>100</v>
      </c>
      <c r="Q18" s="33" t="n">
        <v>46</v>
      </c>
      <c r="R18" s="33" t="n">
        <v>24</v>
      </c>
      <c r="S18" s="33" t="n">
        <v>27</v>
      </c>
      <c r="T18" s="33" t="n">
        <v>57</v>
      </c>
      <c r="U18" s="33" t="n">
        <v>26</v>
      </c>
      <c r="V18" s="33" t="n">
        <v>34</v>
      </c>
      <c r="W18" s="34" t="n">
        <v>92</v>
      </c>
      <c r="X18" s="33" t="inlineStr">
        <is>
          <t>USD</t>
        </is>
      </c>
      <c r="Y18" s="35" t="n">
        <v>25.4</v>
      </c>
      <c r="Z18" s="157">
        <f>IF(OR(Y18="",X18=""),"",IFERROR(Y18*INDEX(FXRates[USD per unit],MATCH(X18,FXRates[Currency],0)),"No rate"))</f>
        <v/>
      </c>
      <c r="AA18" s="32" t="n"/>
      <c r="AB18" s="32" t="n"/>
      <c r="AC18" s="36">
        <f>IF(A18="","",IF(COUNTIF($A$6:$A$504,A18)&gt;1,"⚠ Duplicate",""))</f>
        <v/>
      </c>
      <c r="AD18" s="43" t="n">
        <v>0.05</v>
      </c>
      <c r="AE18" s="43" t="n">
        <v>0.05</v>
      </c>
      <c r="AF18" s="43" t="n">
        <v>0.05</v>
      </c>
      <c r="AG18" s="43" t="n">
        <v>0.07000000000000001</v>
      </c>
      <c r="AH18" s="43" t="n">
        <v>0.09</v>
      </c>
      <c r="AI18" s="43" t="n">
        <v>0.06</v>
      </c>
      <c r="AJ18" s="43" t="n">
        <v>0.06</v>
      </c>
      <c r="AK18" s="43" t="n">
        <v>0.01</v>
      </c>
      <c r="AL18" s="43" t="n">
        <v>0.01</v>
      </c>
      <c r="AM18" s="43" t="n">
        <v>0.01</v>
      </c>
      <c r="AN18" s="43" t="n">
        <v>0.01</v>
      </c>
      <c r="AO18" s="43" t="n">
        <v>0.01</v>
      </c>
      <c r="AP18" s="43" t="n">
        <v>0.04</v>
      </c>
      <c r="AQ18" s="37" t="n">
        <v>0.001</v>
      </c>
      <c r="AR18" s="10" t="n"/>
    </row>
    <row r="19" ht="18" customHeight="1" s="74">
      <c r="A19" s="38" t="inlineStr">
        <is>
          <t>SW31277</t>
        </is>
      </c>
      <c r="B19" s="38" t="inlineStr">
        <is>
          <t>Swire Coca-Cola</t>
        </is>
      </c>
      <c r="C19" s="38" t="inlineStr">
        <is>
          <t>Taiwan ASIA</t>
        </is>
      </c>
      <c r="D19" s="38" t="inlineStr">
        <is>
          <t>Pallet Hotel</t>
        </is>
      </c>
      <c r="E19" s="39" t="n">
        <v>2025</v>
      </c>
      <c r="F19" s="39" t="inlineStr">
        <is>
          <t>Yes</t>
        </is>
      </c>
      <c r="G19" s="39" t="n">
        <v>0</v>
      </c>
      <c r="H19" s="39" t="n">
        <v>0</v>
      </c>
      <c r="I19" s="39" t="n">
        <v>0</v>
      </c>
      <c r="J19" s="39" t="n">
        <v>0</v>
      </c>
      <c r="K19" s="39" t="n">
        <v>0</v>
      </c>
      <c r="L19" s="39" t="n">
        <v>0</v>
      </c>
      <c r="M19" s="39" t="n">
        <v>8</v>
      </c>
      <c r="N19" s="39" t="n">
        <v>15000</v>
      </c>
      <c r="O19" s="39" t="n">
        <v>0</v>
      </c>
      <c r="P19" s="39" t="n">
        <v>700</v>
      </c>
      <c r="Q19" s="39" t="n">
        <v>84</v>
      </c>
      <c r="R19" s="39" t="n">
        <v>48</v>
      </c>
      <c r="S19" s="39" t="n">
        <v>25</v>
      </c>
      <c r="T19" s="39" t="n">
        <v>55</v>
      </c>
      <c r="U19" s="39" t="n">
        <v>27</v>
      </c>
      <c r="V19" s="39" t="n">
        <v>33</v>
      </c>
      <c r="W19" s="34" t="n">
        <v>139</v>
      </c>
      <c r="X19" s="39" t="inlineStr">
        <is>
          <t>USD</t>
        </is>
      </c>
      <c r="Y19" s="40" t="n">
        <v>18.7</v>
      </c>
      <c r="Z19" s="158">
        <f>IF(OR(Y19="",X19=""),"",IFERROR(Y19*INDEX(FXRates[USD per unit],MATCH(X19,FXRates[Currency],0)),"No rate"))</f>
        <v/>
      </c>
      <c r="AA19" s="38" t="inlineStr">
        <is>
          <t xml:space="preserve">SRM BK25 Shuttlecar RGV </t>
        </is>
      </c>
      <c r="AB19" s="38" t="n"/>
      <c r="AC19" s="41">
        <f>IF(A19="","",IF(COUNTIF($A$6:$A$504,A19)&gt;1,"⚠ Duplicate",""))</f>
        <v/>
      </c>
      <c r="AD19" s="37" t="n">
        <v>0</v>
      </c>
      <c r="AE19" s="37" t="n">
        <v>0</v>
      </c>
      <c r="AF19" s="37" t="n">
        <v>0</v>
      </c>
      <c r="AG19" s="37" t="n">
        <v>0</v>
      </c>
      <c r="AH19" s="37" t="n">
        <v>0</v>
      </c>
      <c r="AI19" s="37" t="n">
        <v>0</v>
      </c>
      <c r="AJ19" s="37" t="n">
        <v>0</v>
      </c>
      <c r="AK19" s="37" t="n">
        <v>0</v>
      </c>
      <c r="AL19" s="37" t="n">
        <v>0</v>
      </c>
      <c r="AM19" s="37" t="n">
        <v>0</v>
      </c>
      <c r="AN19" s="37" t="n">
        <v>0</v>
      </c>
      <c r="AO19" s="37" t="n">
        <v>0</v>
      </c>
      <c r="AP19" s="37" t="n">
        <v>0</v>
      </c>
      <c r="AQ19" s="37" t="n">
        <v>0</v>
      </c>
      <c r="AR19" s="68" t="n"/>
    </row>
    <row r="20" ht="18" customHeight="1" s="74">
      <c r="A20" s="32" t="inlineStr">
        <is>
          <t>SW31253</t>
        </is>
      </c>
      <c r="B20" s="32" t="inlineStr">
        <is>
          <t>RSI Taichung Split Case</t>
        </is>
      </c>
      <c r="C20" s="32" t="inlineStr">
        <is>
          <t>Taiwan ASIA</t>
        </is>
      </c>
      <c r="D20" s="32" t="inlineStr">
        <is>
          <t>Others/complex</t>
        </is>
      </c>
      <c r="E20" s="33" t="n">
        <v>2025</v>
      </c>
      <c r="F20" s="33" t="inlineStr">
        <is>
          <t>Yes</t>
        </is>
      </c>
      <c r="G20" s="33" t="n">
        <v>115</v>
      </c>
      <c r="H20" s="33" t="n">
        <v>25000</v>
      </c>
      <c r="I20" s="33" t="n">
        <v>0</v>
      </c>
      <c r="J20" s="33" t="n">
        <v>0</v>
      </c>
      <c r="K20" s="33" t="n">
        <v>0</v>
      </c>
      <c r="L20" s="33" t="n">
        <v>0</v>
      </c>
      <c r="M20" s="33" t="n">
        <v>0</v>
      </c>
      <c r="N20" s="33" t="n">
        <v>0</v>
      </c>
      <c r="O20" s="33" t="n">
        <v>2000</v>
      </c>
      <c r="P20" s="33" t="n">
        <v>200</v>
      </c>
      <c r="Q20" s="33" t="n">
        <v>40</v>
      </c>
      <c r="R20" s="33" t="n">
        <v>0</v>
      </c>
      <c r="S20" s="33" t="n">
        <v>51</v>
      </c>
      <c r="T20" s="33" t="n">
        <v>0</v>
      </c>
      <c r="U20" s="33" t="n">
        <v>23</v>
      </c>
      <c r="V20" s="33" t="n">
        <v>25</v>
      </c>
      <c r="W20" s="34" t="n">
        <v>65</v>
      </c>
      <c r="X20" s="33" t="inlineStr">
        <is>
          <t>USD</t>
        </is>
      </c>
      <c r="Y20" s="35" t="n">
        <v>13</v>
      </c>
      <c r="Z20" s="157">
        <f>IF(OR(Y20="",X20=""),"",IFERROR(Y20*INDEX(FXRates[USD per unit],MATCH(X20,FXRates[Currency],0)),"No rate"))</f>
        <v/>
      </c>
      <c r="AA20" s="32" t="inlineStr">
        <is>
          <t>SRM BK25 MCS DMS AMCAP MCP FMCF RGV LIFTER PALLET ELTEN SCHWINGHANDL NORIN SUZHOU MARKEM IMAJE METTLER TOLEDO</t>
        </is>
      </c>
      <c r="AB20" s="32" t="n"/>
      <c r="AC20" s="36">
        <f>IF(A20="","",IF(COUNTIF($A$6:$A$504,A20)&gt;1,"⚠ Duplicate",""))</f>
        <v/>
      </c>
      <c r="AD20" s="37" t="n">
        <v>0</v>
      </c>
      <c r="AE20" s="37" t="n">
        <v>0</v>
      </c>
      <c r="AF20" s="37" t="n">
        <v>0</v>
      </c>
      <c r="AG20" s="37" t="n">
        <v>0</v>
      </c>
      <c r="AH20" s="37" t="n">
        <v>0</v>
      </c>
      <c r="AI20" s="37" t="n">
        <v>0</v>
      </c>
      <c r="AJ20" s="37" t="n">
        <v>0</v>
      </c>
      <c r="AK20" s="37" t="n">
        <v>0</v>
      </c>
      <c r="AL20" s="37" t="n">
        <v>0</v>
      </c>
      <c r="AM20" s="37" t="n">
        <v>0</v>
      </c>
      <c r="AN20" s="37" t="n">
        <v>0</v>
      </c>
      <c r="AO20" s="37" t="n">
        <v>0</v>
      </c>
      <c r="AP20" s="37" t="n">
        <v>0</v>
      </c>
      <c r="AQ20" s="37" t="n">
        <v>0</v>
      </c>
      <c r="AR20" s="10" t="n"/>
    </row>
    <row r="21" ht="18" customHeight="1" s="74">
      <c r="A21" s="38" t="inlineStr">
        <is>
          <t>SC22207</t>
        </is>
      </c>
      <c r="B21" s="38" t="inlineStr">
        <is>
          <t>Siemens Gebze</t>
        </is>
      </c>
      <c r="C21" s="38" t="inlineStr">
        <is>
          <t>Turkey ME</t>
        </is>
      </c>
      <c r="D21" s="38" t="n"/>
      <c r="E21" s="39" t="n">
        <v>2025</v>
      </c>
      <c r="F21" s="39" t="inlineStr">
        <is>
          <t>No</t>
        </is>
      </c>
      <c r="G21" s="39" t="n">
        <v>0</v>
      </c>
      <c r="H21" s="39" t="n">
        <v>0</v>
      </c>
      <c r="I21" s="39" t="n">
        <v>15</v>
      </c>
      <c r="J21" s="39" t="n">
        <v>20000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26</v>
      </c>
      <c r="R21" s="39" t="n">
        <v>0</v>
      </c>
      <c r="S21" s="39" t="n">
        <v>12</v>
      </c>
      <c r="T21" s="39" t="n">
        <v>18</v>
      </c>
      <c r="U21" s="39" t="n">
        <v>9</v>
      </c>
      <c r="V21" s="39" t="n">
        <v>8</v>
      </c>
      <c r="W21" s="34" t="n">
        <v>44</v>
      </c>
      <c r="X21" s="39" t="inlineStr">
        <is>
          <t>USD</t>
        </is>
      </c>
      <c r="Y21" s="40" t="n">
        <v>2.5</v>
      </c>
      <c r="Z21" s="158">
        <f>IF(OR(Y21="",X21=""),"",IFERROR(Y21*INDEX(FXRates[USD per unit],MATCH(X21,FXRates[Currency],0)),"No rate"))</f>
        <v/>
      </c>
      <c r="AA21" s="38" t="inlineStr">
        <is>
          <t>Autostore</t>
        </is>
      </c>
      <c r="AB21" s="38" t="n"/>
      <c r="AC21" s="41">
        <f>IF(A21="","",IF(COUNTIF($A$6:$A$504,A21)&gt;1,"⚠ Duplicate",""))</f>
        <v/>
      </c>
      <c r="AD21" s="42" t="n">
        <v>0.05</v>
      </c>
      <c r="AE21" s="42" t="n">
        <v>0.05</v>
      </c>
      <c r="AF21" s="42" t="n">
        <v>0.05</v>
      </c>
      <c r="AG21" s="42" t="n">
        <v>0.07000000000000001</v>
      </c>
      <c r="AH21" s="42" t="n">
        <v>0.09</v>
      </c>
      <c r="AI21" s="42" t="n">
        <v>0.06</v>
      </c>
      <c r="AJ21" s="42" t="n">
        <v>0.06</v>
      </c>
      <c r="AK21" s="42" t="n">
        <v>0.01</v>
      </c>
      <c r="AL21" s="42" t="n">
        <v>0.01</v>
      </c>
      <c r="AM21" s="42" t="n">
        <v>0.01</v>
      </c>
      <c r="AN21" s="42" t="n">
        <v>0.01</v>
      </c>
      <c r="AO21" s="42" t="n">
        <v>0.01</v>
      </c>
      <c r="AP21" s="42" t="n">
        <v>0.04</v>
      </c>
      <c r="AQ21" s="37" t="n">
        <v>0.001</v>
      </c>
      <c r="AR21" s="10" t="n"/>
    </row>
    <row r="22" ht="18" customHeight="1" s="74">
      <c r="A22" s="32" t="inlineStr">
        <is>
          <t>SC22225</t>
        </is>
      </c>
      <c r="B22" s="32" t="inlineStr">
        <is>
          <t>Amazon RUH9</t>
        </is>
      </c>
      <c r="C22" s="32" t="inlineStr">
        <is>
          <t>KSA ME</t>
        </is>
      </c>
      <c r="D22" s="32" t="inlineStr">
        <is>
          <t>Others/complex</t>
        </is>
      </c>
      <c r="E22" s="33" t="n">
        <v>2025</v>
      </c>
      <c r="F22" s="33" t="inlineStr">
        <is>
          <t>Yes</t>
        </is>
      </c>
      <c r="G22" s="33" t="n">
        <v>0</v>
      </c>
      <c r="H22" s="33" t="n">
        <v>0</v>
      </c>
      <c r="I22" s="33" t="n">
        <v>0</v>
      </c>
      <c r="J22" s="33" t="n">
        <v>0</v>
      </c>
      <c r="K22" s="33" t="n">
        <v>0</v>
      </c>
      <c r="L22" s="33" t="n">
        <v>0</v>
      </c>
      <c r="M22" s="33" t="n">
        <v>0</v>
      </c>
      <c r="N22" s="33" t="n">
        <v>0</v>
      </c>
      <c r="O22" s="33" t="n">
        <v>3500</v>
      </c>
      <c r="P22" s="33" t="n">
        <v>0</v>
      </c>
      <c r="Q22" s="33" t="n">
        <v>54</v>
      </c>
      <c r="R22" s="33" t="n">
        <v>42</v>
      </c>
      <c r="S22" s="33" t="n">
        <v>10</v>
      </c>
      <c r="T22" s="33" t="n">
        <v>0</v>
      </c>
      <c r="U22" s="33" t="n">
        <v>18</v>
      </c>
      <c r="V22" s="33" t="n">
        <v>8</v>
      </c>
      <c r="W22" s="34" t="n">
        <v>81</v>
      </c>
      <c r="X22" s="33" t="inlineStr">
        <is>
          <t>USD</t>
        </is>
      </c>
      <c r="Y22" s="35" t="n">
        <v>18</v>
      </c>
      <c r="Z22" s="157">
        <f>IF(OR(Y22="",X22=""),"",IFERROR(Y22*INDEX(FXRates[USD per unit],MATCH(X22,FXRates[Currency],0)),"No rate"))</f>
        <v/>
      </c>
      <c r="AA22" s="32" t="inlineStr">
        <is>
          <t>XB Sorter CBS crossbelt MCS</t>
        </is>
      </c>
      <c r="AB22" s="32" t="n"/>
      <c r="AC22" s="36">
        <f>IF(A22="","",IF(COUNTIF($A$6:$A$504,A22)&gt;1,"⚠ Duplicate",""))</f>
        <v/>
      </c>
      <c r="AD22" s="37" t="n">
        <v>0</v>
      </c>
      <c r="AE22" s="37" t="n">
        <v>0</v>
      </c>
      <c r="AF22" s="37" t="n">
        <v>0</v>
      </c>
      <c r="AG22" s="37" t="n">
        <v>0</v>
      </c>
      <c r="AH22" s="37" t="n">
        <v>0</v>
      </c>
      <c r="AI22" s="37" t="n">
        <v>0</v>
      </c>
      <c r="AJ22" s="37" t="n">
        <v>0</v>
      </c>
      <c r="AK22" s="37" t="n">
        <v>0</v>
      </c>
      <c r="AL22" s="37" t="n">
        <v>0</v>
      </c>
      <c r="AM22" s="37" t="n">
        <v>0</v>
      </c>
      <c r="AN22" s="37" t="n">
        <v>0</v>
      </c>
      <c r="AO22" s="37" t="n">
        <v>0</v>
      </c>
      <c r="AP22" s="37" t="n">
        <v>0</v>
      </c>
      <c r="AQ22" s="37" t="n">
        <v>0</v>
      </c>
      <c r="AR22" s="10" t="n"/>
    </row>
    <row r="23" ht="18" customHeight="1" s="74">
      <c r="A23" s="38" t="inlineStr">
        <is>
          <t>SW31322</t>
        </is>
      </c>
      <c r="B23" s="38" t="inlineStr">
        <is>
          <t>PepsiCo ASRS VN</t>
        </is>
      </c>
      <c r="C23" s="38" t="inlineStr">
        <is>
          <t>Vietnam Asia</t>
        </is>
      </c>
      <c r="D23" s="38" t="n"/>
      <c r="E23" s="39" t="n">
        <v>2025</v>
      </c>
      <c r="F23" s="39" t="inlineStr">
        <is>
          <t>No</t>
        </is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7</v>
      </c>
      <c r="N23" s="39" t="n">
        <v>10000</v>
      </c>
      <c r="O23" s="39" t="n">
        <v>0</v>
      </c>
      <c r="P23" s="39" t="n">
        <v>500</v>
      </c>
      <c r="Q23" s="39" t="n">
        <v>32</v>
      </c>
      <c r="R23" s="39" t="n">
        <v>36</v>
      </c>
      <c r="S23" s="39" t="n">
        <v>27</v>
      </c>
      <c r="T23" s="39" t="n">
        <v>47</v>
      </c>
      <c r="U23" s="39" t="n">
        <v>21</v>
      </c>
      <c r="V23" s="39" t="n">
        <v>18</v>
      </c>
      <c r="W23" s="34" t="n">
        <v>70</v>
      </c>
      <c r="X23" s="39" t="inlineStr">
        <is>
          <t>USD</t>
        </is>
      </c>
      <c r="Y23" s="40" t="n">
        <v>7.2</v>
      </c>
      <c r="Z23" s="158">
        <f>IF(OR(Y23="",X23=""),"",IFERROR(Y23*INDEX(FXRates[USD per unit],MATCH(X23,FXRates[Currency],0)),"No rate"))</f>
        <v/>
      </c>
      <c r="AA23" s="38" t="inlineStr">
        <is>
          <t xml:space="preserve">SRM BK25 </t>
        </is>
      </c>
      <c r="AB23" s="38" t="n"/>
      <c r="AC23" s="41">
        <f>IF(A23="","",IF(COUNTIF($A$6:$A$504,A23)&gt;1,"⚠ Duplicate",""))</f>
        <v/>
      </c>
      <c r="AD23" s="42" t="n">
        <v>0.05</v>
      </c>
      <c r="AE23" s="42" t="n">
        <v>0.05</v>
      </c>
      <c r="AF23" s="42" t="n">
        <v>0.05</v>
      </c>
      <c r="AG23" s="42" t="n">
        <v>0.07000000000000001</v>
      </c>
      <c r="AH23" s="42" t="n">
        <v>0.09</v>
      </c>
      <c r="AI23" s="42" t="n">
        <v>0.06</v>
      </c>
      <c r="AJ23" s="42" t="n">
        <v>0.06</v>
      </c>
      <c r="AK23" s="42" t="n">
        <v>0.01</v>
      </c>
      <c r="AL23" s="42" t="n">
        <v>0.01</v>
      </c>
      <c r="AM23" s="42" t="n">
        <v>0.01</v>
      </c>
      <c r="AN23" s="42" t="n">
        <v>0.01</v>
      </c>
      <c r="AO23" s="42" t="n">
        <v>0.01</v>
      </c>
      <c r="AP23" s="42" t="n">
        <v>0.04</v>
      </c>
      <c r="AQ23" s="37" t="n">
        <v>0.001</v>
      </c>
      <c r="AR23" s="10" t="n"/>
    </row>
    <row r="24" ht="18" customHeight="1" s="74">
      <c r="A24" s="32" t="inlineStr">
        <is>
          <t>SW31325</t>
        </is>
      </c>
      <c r="B24" s="32" t="inlineStr">
        <is>
          <t>MR DIY MY</t>
        </is>
      </c>
      <c r="C24" s="32" t="inlineStr">
        <is>
          <t>Malaysia ASIA</t>
        </is>
      </c>
      <c r="D24" s="32" t="n"/>
      <c r="E24" s="33" t="n">
        <v>2025</v>
      </c>
      <c r="F24" s="33" t="inlineStr">
        <is>
          <t>No</t>
        </is>
      </c>
      <c r="G24" s="33" t="n">
        <v>95</v>
      </c>
      <c r="H24" s="33" t="n">
        <v>31020</v>
      </c>
      <c r="I24" s="33" t="n">
        <v>0</v>
      </c>
      <c r="J24" s="33" t="n">
        <v>0</v>
      </c>
      <c r="K24" s="33" t="n">
        <v>15</v>
      </c>
      <c r="L24" s="33" t="n">
        <v>5000</v>
      </c>
      <c r="M24" s="33" t="n">
        <v>12</v>
      </c>
      <c r="N24" s="33" t="n">
        <v>30000</v>
      </c>
      <c r="O24" s="33" t="n">
        <v>1500</v>
      </c>
      <c r="P24" s="33" t="n">
        <v>500</v>
      </c>
      <c r="Q24" s="33" t="n">
        <v>60</v>
      </c>
      <c r="R24" s="33" t="n">
        <v>44</v>
      </c>
      <c r="S24" s="33" t="n">
        <v>29</v>
      </c>
      <c r="T24" s="33" t="n">
        <v>59</v>
      </c>
      <c r="U24" s="33" t="n">
        <v>88</v>
      </c>
      <c r="V24" s="33" t="n">
        <v>45</v>
      </c>
      <c r="W24" s="34" t="n">
        <v>142</v>
      </c>
      <c r="X24" s="33" t="inlineStr">
        <is>
          <t>USD</t>
        </is>
      </c>
      <c r="Y24" s="35" t="n">
        <v>30.45</v>
      </c>
      <c r="Z24" s="157">
        <f>IF(OR(Y24="",X24=""),"",IFERROR(Y24*INDEX(FXRates[USD per unit],MATCH(X24,FXRates[Currency],0)),"No rate"))</f>
        <v/>
      </c>
      <c r="AA24" s="32" t="inlineStr">
        <is>
          <t>ASRS MCS DMS</t>
        </is>
      </c>
      <c r="AB24" s="32" t="n"/>
      <c r="AC24" s="36">
        <f>IF(A24="","",IF(COUNTIF($A$6:$A$504,A24)&gt;1,"⚠ Duplicate",""))</f>
        <v/>
      </c>
      <c r="AD24" s="43" t="n">
        <v>0.05</v>
      </c>
      <c r="AE24" s="43" t="n">
        <v>0.05</v>
      </c>
      <c r="AF24" s="43" t="n">
        <v>0.05</v>
      </c>
      <c r="AG24" s="43" t="n">
        <v>0.07000000000000001</v>
      </c>
      <c r="AH24" s="43" t="n">
        <v>0.09</v>
      </c>
      <c r="AI24" s="43" t="n">
        <v>0.06</v>
      </c>
      <c r="AJ24" s="43" t="n">
        <v>0.06</v>
      </c>
      <c r="AK24" s="43" t="n">
        <v>0.01</v>
      </c>
      <c r="AL24" s="43" t="n">
        <v>0.01</v>
      </c>
      <c r="AM24" s="43" t="n">
        <v>0.01</v>
      </c>
      <c r="AN24" s="43" t="n">
        <v>0.01</v>
      </c>
      <c r="AO24" s="43" t="n">
        <v>0.01</v>
      </c>
      <c r="AP24" s="43" t="n">
        <v>0.04</v>
      </c>
      <c r="AQ24" s="37" t="n">
        <v>0.001</v>
      </c>
      <c r="AR24" s="10" t="n"/>
    </row>
    <row r="25" ht="18" customHeight="1" s="74">
      <c r="A25" s="38" t="inlineStr">
        <is>
          <t>SW31244</t>
        </is>
      </c>
      <c r="B25" s="38" t="inlineStr">
        <is>
          <t>DHL (Project PEW+)</t>
        </is>
      </c>
      <c r="C25" s="38" t="inlineStr">
        <is>
          <t>Malaysia ASIA</t>
        </is>
      </c>
      <c r="D25" s="38" t="n"/>
      <c r="E25" s="39" t="n">
        <v>2022</v>
      </c>
      <c r="F25" s="39" t="inlineStr">
        <is>
          <t>No</t>
        </is>
      </c>
      <c r="G25" s="39" t="n">
        <v>0</v>
      </c>
      <c r="H25" s="39" t="n">
        <v>0</v>
      </c>
      <c r="I25" s="39" t="n">
        <v>0</v>
      </c>
      <c r="J25" s="39" t="n">
        <v>0</v>
      </c>
      <c r="K25" s="39" t="n">
        <v>0</v>
      </c>
      <c r="L25" s="39" t="n">
        <v>0</v>
      </c>
      <c r="M25" s="39" t="n">
        <v>2</v>
      </c>
      <c r="N25" s="39" t="n">
        <v>13500</v>
      </c>
      <c r="O25" s="39" t="n">
        <v>0</v>
      </c>
      <c r="P25" s="39" t="n">
        <v>34</v>
      </c>
      <c r="Q25" s="39" t="n">
        <v>51</v>
      </c>
      <c r="R25" s="39" t="n">
        <v>50</v>
      </c>
      <c r="S25" s="39" t="n">
        <v>0</v>
      </c>
      <c r="T25" s="39" t="n">
        <v>62</v>
      </c>
      <c r="U25" s="39" t="n">
        <v>20</v>
      </c>
      <c r="V25" s="39" t="n">
        <v>5</v>
      </c>
      <c r="W25" s="34" t="n">
        <v>80</v>
      </c>
      <c r="X25" s="39" t="inlineStr">
        <is>
          <t>MYR</t>
        </is>
      </c>
      <c r="Y25" s="40" t="n">
        <v>15.5</v>
      </c>
      <c r="Z25" s="158">
        <f>IF(OR(Y25="",X25=""),"",IFERROR(Y25*INDEX(FXRates[USD per unit],MATCH(X25,FXRates[Currency],0)),"No rate"))</f>
        <v/>
      </c>
      <c r="AA25" s="38" t="inlineStr">
        <is>
          <t>SRM BK25</t>
        </is>
      </c>
      <c r="AB25" s="38" t="n"/>
      <c r="AC25" s="41">
        <f>IF(A25="","",IF(COUNTIF($A$6:$A$504,A25)&gt;1,"⚠ Duplicate",""))</f>
        <v/>
      </c>
      <c r="AD25" s="42" t="n">
        <v>0.05</v>
      </c>
      <c r="AE25" s="42" t="n">
        <v>0.05</v>
      </c>
      <c r="AF25" s="42" t="n">
        <v>0.05</v>
      </c>
      <c r="AG25" s="42" t="n">
        <v>0.07000000000000001</v>
      </c>
      <c r="AH25" s="42" t="n">
        <v>0.09</v>
      </c>
      <c r="AI25" s="42" t="n">
        <v>0.06</v>
      </c>
      <c r="AJ25" s="42" t="n">
        <v>0.06</v>
      </c>
      <c r="AK25" s="42" t="n">
        <v>0.01</v>
      </c>
      <c r="AL25" s="42" t="n">
        <v>0.01</v>
      </c>
      <c r="AM25" s="42" t="n">
        <v>0.01</v>
      </c>
      <c r="AN25" s="42" t="n">
        <v>0.01</v>
      </c>
      <c r="AO25" s="42" t="n">
        <v>0.01</v>
      </c>
      <c r="AP25" s="42" t="n">
        <v>0.04</v>
      </c>
      <c r="AQ25" s="37" t="n">
        <v>0.001</v>
      </c>
      <c r="AR25" s="10" t="n"/>
    </row>
    <row r="26" ht="18" customHeight="1" s="74">
      <c r="A26" s="32" t="inlineStr">
        <is>
          <t>SC22206</t>
        </is>
      </c>
      <c r="B26" s="32" t="inlineStr">
        <is>
          <t>FFDC Fairprice PH1</t>
        </is>
      </c>
      <c r="C26" s="32" t="inlineStr">
        <is>
          <t>Singapore ASIA</t>
        </is>
      </c>
      <c r="D26" s="32" t="inlineStr">
        <is>
          <t>Others/complex</t>
        </is>
      </c>
      <c r="E26" s="33" t="n">
        <v>2019</v>
      </c>
      <c r="F26" s="33" t="inlineStr">
        <is>
          <t>Yes</t>
        </is>
      </c>
      <c r="G26" s="33" t="n">
        <v>250</v>
      </c>
      <c r="H26" s="33" t="n">
        <v>120500</v>
      </c>
      <c r="I26" s="33" t="n">
        <v>0</v>
      </c>
      <c r="J26" s="33" t="n">
        <v>0</v>
      </c>
      <c r="K26" s="33" t="n">
        <v>0</v>
      </c>
      <c r="L26" s="33" t="n">
        <v>0</v>
      </c>
      <c r="M26" s="33" t="n">
        <v>12</v>
      </c>
      <c r="N26" s="33" t="n">
        <v>33000</v>
      </c>
      <c r="O26" s="33" t="n">
        <v>2300</v>
      </c>
      <c r="P26" s="33" t="n">
        <v>5000</v>
      </c>
      <c r="Q26" s="33" t="n">
        <v>58</v>
      </c>
      <c r="R26" s="33" t="n">
        <v>56</v>
      </c>
      <c r="S26" s="33" t="n">
        <v>24</v>
      </c>
      <c r="T26" s="33" t="n">
        <v>66</v>
      </c>
      <c r="U26" s="33" t="n">
        <v>40</v>
      </c>
      <c r="V26" s="33" t="n">
        <v>30</v>
      </c>
      <c r="W26" s="34" t="n">
        <v>114</v>
      </c>
      <c r="X26" s="33" t="inlineStr">
        <is>
          <t>SGD</t>
        </is>
      </c>
      <c r="Y26" s="40" t="n">
        <v>71</v>
      </c>
      <c r="Z26" s="158">
        <f>IF(OR(Y26="",X26=""),"",IFERROR(Y26*INDEX(FXRates[USD per unit],MATCH(X26,FXRates[Currency],0)),"No rate"))</f>
        <v/>
      </c>
      <c r="AA26" s="32" t="inlineStr">
        <is>
          <t>SRM BK25 MCS DMS AMCAP MCP FMCF RGV LIFTER PALLET ELTEN SCHWINGHANDL NORIN SUZHOU MARKEM IMAJE METTLER TOLEDO</t>
        </is>
      </c>
      <c r="AB26" s="32" t="inlineStr">
        <is>
          <t>Actual timeline is much, much worse compared to handover</t>
        </is>
      </c>
      <c r="AC26" s="36">
        <f>IF(A26="","",IF(COUNTIF($A$6:$A$504,A26)&gt;1,"⚠ Duplicate",""))</f>
        <v/>
      </c>
      <c r="AD26" s="37" t="n">
        <v>0</v>
      </c>
      <c r="AE26" s="37" t="n">
        <v>0</v>
      </c>
      <c r="AF26" s="37" t="n">
        <v>0</v>
      </c>
      <c r="AG26" s="37" t="n">
        <v>0</v>
      </c>
      <c r="AH26" s="37" t="n">
        <v>0</v>
      </c>
      <c r="AI26" s="37" t="n">
        <v>0</v>
      </c>
      <c r="AJ26" s="37" t="n">
        <v>0</v>
      </c>
      <c r="AK26" s="37" t="n">
        <v>0</v>
      </c>
      <c r="AL26" s="37" t="n">
        <v>0</v>
      </c>
      <c r="AM26" s="37" t="n">
        <v>0</v>
      </c>
      <c r="AN26" s="37" t="n">
        <v>0</v>
      </c>
      <c r="AO26" s="37" t="n">
        <v>0</v>
      </c>
      <c r="AP26" s="37" t="n">
        <v>0</v>
      </c>
      <c r="AQ26" s="37" t="n">
        <v>0</v>
      </c>
      <c r="AR26" s="10" t="n"/>
    </row>
    <row r="27" ht="18" customHeight="1" s="74">
      <c r="A27" s="38" t="inlineStr">
        <is>
          <t>SW31186</t>
        </is>
      </c>
      <c r="B27" s="38" t="inlineStr">
        <is>
          <t>Gudang Garam H</t>
        </is>
      </c>
      <c r="C27" s="38" t="inlineStr">
        <is>
          <t>Indonesia ASIA</t>
        </is>
      </c>
      <c r="D27" s="38" t="inlineStr">
        <is>
          <t>Pallet Hotel</t>
        </is>
      </c>
      <c r="E27" s="39" t="n">
        <v>2021</v>
      </c>
      <c r="F27" s="39" t="inlineStr">
        <is>
          <t>Yes</t>
        </is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3</v>
      </c>
      <c r="N27" s="39" t="n">
        <v>75000</v>
      </c>
      <c r="O27" s="39" t="n">
        <v>0</v>
      </c>
      <c r="P27" s="39" t="n">
        <v>100</v>
      </c>
      <c r="Q27" s="39" t="n">
        <v>28</v>
      </c>
      <c r="R27" s="39" t="n">
        <v>24</v>
      </c>
      <c r="S27" s="39" t="n">
        <v>4</v>
      </c>
      <c r="T27" s="39" t="n">
        <v>24</v>
      </c>
      <c r="U27" s="39" t="n">
        <v>28</v>
      </c>
      <c r="V27" s="39" t="n">
        <v>12</v>
      </c>
      <c r="W27" s="34" t="n">
        <v>52</v>
      </c>
      <c r="X27" s="39" t="inlineStr">
        <is>
          <t>EUR</t>
        </is>
      </c>
      <c r="Y27" s="40" t="n">
        <v>11.7</v>
      </c>
      <c r="Z27" s="158">
        <f>IF(OR(Y27="",X27=""),"",IFERROR(Y27*INDEX(FXRates[USD per unit],MATCH(X27,FXRates[Currency],0)),"No rate"))</f>
        <v/>
      </c>
      <c r="AA27" s="38" t="inlineStr">
        <is>
          <t>SRM BK25 Shuttlecar</t>
        </is>
      </c>
      <c r="AB27" s="38" t="n"/>
      <c r="AC27" s="41">
        <f>IF(A27="","",IF(COUNTIF($A$6:$A$504,A27)&gt;1,"⚠ Duplicate",""))</f>
        <v/>
      </c>
      <c r="AD27" s="37" t="n">
        <v>0</v>
      </c>
      <c r="AE27" s="37" t="n">
        <v>0</v>
      </c>
      <c r="AF27" s="37" t="n">
        <v>0</v>
      </c>
      <c r="AG27" s="37" t="n">
        <v>0</v>
      </c>
      <c r="AH27" s="37" t="n">
        <v>0</v>
      </c>
      <c r="AI27" s="37" t="n">
        <v>0</v>
      </c>
      <c r="AJ27" s="37" t="n">
        <v>0</v>
      </c>
      <c r="AK27" s="37" t="n">
        <v>0</v>
      </c>
      <c r="AL27" s="37" t="n">
        <v>0</v>
      </c>
      <c r="AM27" s="37" t="n">
        <v>0</v>
      </c>
      <c r="AN27" s="37" t="n">
        <v>0</v>
      </c>
      <c r="AO27" s="37" t="n">
        <v>0</v>
      </c>
      <c r="AP27" s="37" t="n">
        <v>0</v>
      </c>
      <c r="AQ27" s="37" t="n">
        <v>0</v>
      </c>
      <c r="AR27" s="10" t="n"/>
    </row>
    <row r="28" ht="18" customHeight="1" s="74">
      <c r="A28" s="32" t="inlineStr">
        <is>
          <t>SC22167</t>
        </is>
      </c>
      <c r="B28" s="32" t="inlineStr">
        <is>
          <t>Jabil Autostore</t>
        </is>
      </c>
      <c r="C28" s="32" t="inlineStr">
        <is>
          <t>Malaysia ASIA</t>
        </is>
      </c>
      <c r="D28" s="32" t="inlineStr">
        <is>
          <t>Autostore</t>
        </is>
      </c>
      <c r="E28" s="33" t="n">
        <v>2019</v>
      </c>
      <c r="F28" s="33" t="inlineStr">
        <is>
          <t>Yes</t>
        </is>
      </c>
      <c r="G28" s="33" t="n">
        <v>0</v>
      </c>
      <c r="H28" s="33" t="n">
        <v>0</v>
      </c>
      <c r="I28" s="33" t="n">
        <v>4</v>
      </c>
      <c r="J28" s="33" t="n">
        <v>6700</v>
      </c>
      <c r="K28" s="33" t="n">
        <v>0</v>
      </c>
      <c r="L28" s="33" t="n">
        <v>0</v>
      </c>
      <c r="M28" s="33" t="n">
        <v>0</v>
      </c>
      <c r="N28" s="33" t="n">
        <v>0</v>
      </c>
      <c r="O28" s="33" t="n">
        <v>0</v>
      </c>
      <c r="P28" s="33" t="n">
        <v>0</v>
      </c>
      <c r="Q28" s="33" t="n">
        <v>21</v>
      </c>
      <c r="R28" s="33" t="n">
        <v>2</v>
      </c>
      <c r="S28" s="33" t="n">
        <v>2</v>
      </c>
      <c r="T28" s="33" t="n">
        <v>18</v>
      </c>
      <c r="U28" s="33" t="n">
        <v>7</v>
      </c>
      <c r="V28" s="33" t="n">
        <v>4</v>
      </c>
      <c r="W28" s="34" t="n">
        <v>24</v>
      </c>
      <c r="X28" s="33" t="inlineStr">
        <is>
          <t>USD</t>
        </is>
      </c>
      <c r="Y28" s="40" t="n">
        <v>1</v>
      </c>
      <c r="Z28" s="158">
        <f>IF(OR(Y28="",X28=""),"",IFERROR(Y28*INDEX(FXRates[USD per unit],MATCH(X28,FXRates[Currency],0)),"No rate"))</f>
        <v/>
      </c>
      <c r="AA28" s="32" t="inlineStr">
        <is>
          <t>Autostore</t>
        </is>
      </c>
      <c r="AB28" s="32" t="n"/>
      <c r="AC28" s="36">
        <f>IF(A28="","",IF(COUNTIF($A$6:$A$504,A28)&gt;1,"⚠ Duplicate",""))</f>
        <v/>
      </c>
      <c r="AD28" s="37" t="n">
        <v>0</v>
      </c>
      <c r="AE28" s="37" t="n">
        <v>0</v>
      </c>
      <c r="AF28" s="37" t="n">
        <v>0</v>
      </c>
      <c r="AG28" s="37" t="n">
        <v>0</v>
      </c>
      <c r="AH28" s="37" t="n">
        <v>0</v>
      </c>
      <c r="AI28" s="37" t="n">
        <v>0</v>
      </c>
      <c r="AJ28" s="37" t="n">
        <v>0</v>
      </c>
      <c r="AK28" s="37" t="n">
        <v>0</v>
      </c>
      <c r="AL28" s="37" t="n">
        <v>0</v>
      </c>
      <c r="AM28" s="37" t="n">
        <v>0</v>
      </c>
      <c r="AN28" s="37" t="n">
        <v>0</v>
      </c>
      <c r="AO28" s="37" t="n">
        <v>0</v>
      </c>
      <c r="AP28" s="37" t="n">
        <v>0</v>
      </c>
      <c r="AQ28" s="37" t="n">
        <v>0</v>
      </c>
      <c r="AR28" s="10" t="n"/>
    </row>
    <row r="29" ht="18" customHeight="1" s="74">
      <c r="A29" s="38" t="inlineStr">
        <is>
          <t>SW31240</t>
        </is>
      </c>
      <c r="B29" s="38" t="inlineStr">
        <is>
          <t>CJ iHerb</t>
        </is>
      </c>
      <c r="C29" s="38" t="inlineStr">
        <is>
          <t>Korea ASIA</t>
        </is>
      </c>
      <c r="D29" s="38" t="inlineStr">
        <is>
          <t>Autostore</t>
        </is>
      </c>
      <c r="E29" s="39" t="n">
        <v>2023</v>
      </c>
      <c r="F29" s="39" t="inlineStr">
        <is>
          <t>Yes</t>
        </is>
      </c>
      <c r="G29" s="39" t="n">
        <v>0</v>
      </c>
      <c r="H29" s="39" t="n">
        <v>0</v>
      </c>
      <c r="I29" s="39" t="n">
        <v>140</v>
      </c>
      <c r="J29" s="39" t="n">
        <v>93000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80</v>
      </c>
      <c r="P29" s="39" t="n">
        <v>0</v>
      </c>
      <c r="Q29" s="39" t="n">
        <v>23</v>
      </c>
      <c r="R29" s="39" t="n">
        <v>10</v>
      </c>
      <c r="S29" s="39" t="n">
        <v>13</v>
      </c>
      <c r="T29" s="39" t="n">
        <v>20</v>
      </c>
      <c r="U29" s="39" t="n">
        <v>9</v>
      </c>
      <c r="V29" s="39" t="n">
        <v>12</v>
      </c>
      <c r="W29" s="34" t="n">
        <v>38</v>
      </c>
      <c r="X29" s="39" t="inlineStr">
        <is>
          <t>USD</t>
        </is>
      </c>
      <c r="Y29" s="40" t="n">
        <v>10.3</v>
      </c>
      <c r="Z29" s="158">
        <f>IF(OR(Y29="",X29=""),"",IFERROR(Y29*INDEX(FXRates[USD per unit],MATCH(X29,FXRates[Currency],0)),"No rate"))</f>
        <v/>
      </c>
      <c r="AA29" s="38" t="inlineStr">
        <is>
          <t>Autostore MCS</t>
        </is>
      </c>
      <c r="AB29" s="38" t="n"/>
      <c r="AC29" s="41">
        <f>IF(A29="","",IF(COUNTIF($A$6:$A$504,A29)&gt;1,"⚠ Duplicate",""))</f>
        <v/>
      </c>
      <c r="AD29" s="37" t="n">
        <v>0</v>
      </c>
      <c r="AE29" s="37" t="n">
        <v>0</v>
      </c>
      <c r="AF29" s="37" t="n">
        <v>0</v>
      </c>
      <c r="AG29" s="37" t="n">
        <v>0</v>
      </c>
      <c r="AH29" s="37" t="n">
        <v>0</v>
      </c>
      <c r="AI29" s="37" t="n">
        <v>0</v>
      </c>
      <c r="AJ29" s="37" t="n">
        <v>0</v>
      </c>
      <c r="AK29" s="37" t="n">
        <v>0</v>
      </c>
      <c r="AL29" s="37" t="n">
        <v>0</v>
      </c>
      <c r="AM29" s="37" t="n">
        <v>0</v>
      </c>
      <c r="AN29" s="37" t="n">
        <v>0</v>
      </c>
      <c r="AO29" s="37" t="n">
        <v>0</v>
      </c>
      <c r="AP29" s="37" t="n">
        <v>0</v>
      </c>
      <c r="AQ29" s="37" t="n">
        <v>0</v>
      </c>
      <c r="AR29" s="10" t="n"/>
    </row>
    <row r="30" ht="18" customHeight="1" s="74">
      <c r="A30" s="32" t="inlineStr">
        <is>
          <t>SC22204</t>
        </is>
      </c>
      <c r="B30" s="32" t="inlineStr">
        <is>
          <t>Coupang Autostore</t>
        </is>
      </c>
      <c r="C30" s="32" t="inlineStr">
        <is>
          <t>Korea ASIA</t>
        </is>
      </c>
      <c r="D30" s="32" t="inlineStr">
        <is>
          <t>Autostore</t>
        </is>
      </c>
      <c r="E30" s="33" t="n">
        <v>2024</v>
      </c>
      <c r="F30" s="33" t="inlineStr">
        <is>
          <t>Yes</t>
        </is>
      </c>
      <c r="G30" s="33" t="n">
        <v>0</v>
      </c>
      <c r="H30" s="33" t="n">
        <v>0</v>
      </c>
      <c r="I30" s="33" t="n">
        <v>500</v>
      </c>
      <c r="J30" s="33" t="n">
        <v>200000</v>
      </c>
      <c r="K30" s="33" t="n">
        <v>0</v>
      </c>
      <c r="L30" s="33" t="n">
        <v>0</v>
      </c>
      <c r="M30" s="33" t="n">
        <v>0</v>
      </c>
      <c r="N30" s="33" t="n">
        <v>0</v>
      </c>
      <c r="O30" s="33" t="n">
        <v>0</v>
      </c>
      <c r="P30" s="33" t="n">
        <v>0</v>
      </c>
      <c r="Q30" s="33" t="n">
        <v>16</v>
      </c>
      <c r="R30" s="33" t="n">
        <v>7</v>
      </c>
      <c r="S30" s="33" t="n">
        <v>7</v>
      </c>
      <c r="T30" s="33" t="n">
        <v>29</v>
      </c>
      <c r="U30" s="33" t="n">
        <v>12</v>
      </c>
      <c r="V30" s="33" t="n">
        <v>17</v>
      </c>
      <c r="W30" s="34" t="n">
        <v>46</v>
      </c>
      <c r="X30" s="33" t="inlineStr">
        <is>
          <t>USD</t>
        </is>
      </c>
      <c r="Y30" s="40" t="n">
        <v>9.220000000000001</v>
      </c>
      <c r="Z30" s="158">
        <f>IF(OR(Y30="",X30=""),"",IFERROR(Y30*INDEX(FXRates[USD per unit],MATCH(X30,FXRates[Currency],0)),"No rate"))</f>
        <v/>
      </c>
      <c r="AA30" s="32" t="inlineStr">
        <is>
          <t>Autostore PTL</t>
        </is>
      </c>
      <c r="AB30" s="32" t="n"/>
      <c r="AC30" s="36">
        <f>IF(A30="","",IF(COUNTIF($A$6:$A$504,A30)&gt;1,"⚠ Duplicate",""))</f>
        <v/>
      </c>
      <c r="AD30" s="43" t="n">
        <v>0.05985533802247048</v>
      </c>
      <c r="AE30" s="43" t="n">
        <v>0</v>
      </c>
      <c r="AF30" s="43" t="n">
        <v>0.04870852701722641</v>
      </c>
      <c r="AG30" s="43" t="n">
        <v>0.005023804116824426</v>
      </c>
      <c r="AH30" s="43" t="n">
        <v>0.08714148677968518</v>
      </c>
      <c r="AI30" s="43" t="n">
        <v>0</v>
      </c>
      <c r="AJ30" s="43" t="n">
        <v>0.03602870021356722</v>
      </c>
      <c r="AK30" s="43" t="n">
        <v>0.0007519604156778079</v>
      </c>
      <c r="AL30" s="43" t="n">
        <v>0</v>
      </c>
      <c r="AM30" s="43" t="n">
        <v>0.02176747645695123</v>
      </c>
      <c r="AN30" s="43" t="n">
        <v>0.002879828389139048</v>
      </c>
      <c r="AO30" s="43" t="n">
        <v>0</v>
      </c>
      <c r="AP30" s="43" t="n">
        <v>0.07060868402455088</v>
      </c>
      <c r="AQ30" s="37" t="n">
        <v>0.02288249766353828</v>
      </c>
    </row>
    <row r="31" ht="18" customHeight="1" s="74">
      <c r="A31" s="38" t="inlineStr">
        <is>
          <t>SC22076</t>
        </is>
      </c>
      <c r="B31" s="38" t="inlineStr">
        <is>
          <t>Lazada PH1</t>
        </is>
      </c>
      <c r="C31" s="38" t="inlineStr">
        <is>
          <t>Thailand ASIA</t>
        </is>
      </c>
      <c r="D31" s="38" t="inlineStr">
        <is>
          <t>Others/complex</t>
        </is>
      </c>
      <c r="E31" s="39" t="n">
        <v>2019</v>
      </c>
      <c r="F31" s="39" t="inlineStr">
        <is>
          <t>Yes</t>
        </is>
      </c>
      <c r="G31" s="39" t="n">
        <v>0</v>
      </c>
      <c r="H31" s="39" t="n">
        <v>0</v>
      </c>
      <c r="I31" s="39" t="n">
        <v>0</v>
      </c>
      <c r="J31" s="39" t="n">
        <v>0</v>
      </c>
      <c r="K31" s="39" t="n">
        <v>0</v>
      </c>
      <c r="L31" s="39" t="n">
        <v>0</v>
      </c>
      <c r="M31" s="39" t="n">
        <v>0</v>
      </c>
      <c r="N31" s="39" t="n">
        <v>0</v>
      </c>
      <c r="O31" s="39" t="n">
        <v>2200</v>
      </c>
      <c r="P31" s="39" t="n">
        <v>0</v>
      </c>
      <c r="Q31" s="39" t="n">
        <v>28</v>
      </c>
      <c r="R31" s="39" t="n">
        <v>29</v>
      </c>
      <c r="S31" s="39" t="n">
        <v>0</v>
      </c>
      <c r="T31" s="39" t="n">
        <v>23</v>
      </c>
      <c r="U31" s="39" t="n">
        <v>22</v>
      </c>
      <c r="V31" s="39" t="n">
        <v>15</v>
      </c>
      <c r="W31" s="34" t="n">
        <v>47</v>
      </c>
      <c r="X31" s="39" t="inlineStr">
        <is>
          <t>USD</t>
        </is>
      </c>
      <c r="Y31" s="40" t="n">
        <v>10.7</v>
      </c>
      <c r="Z31" s="158">
        <f>IF(OR(Y31="",X31=""),"",IFERROR(Y31*INDEX(FXRates[USD per unit],MATCH(X31,FXRates[Currency],0)),"No rate"))</f>
        <v/>
      </c>
      <c r="AA31" s="38" t="inlineStr">
        <is>
          <t>XB Sorter CBS crossbelt MCS PTL Mezzanine Rack</t>
        </is>
      </c>
      <c r="AB31" s="38" t="n"/>
      <c r="AC31" s="41">
        <f>IF(A31="","",IF(COUNTIF($A$6:$A$504,A31)&gt;1,"⚠ Duplicate",""))</f>
        <v/>
      </c>
      <c r="AD31" s="37" t="n">
        <v>0</v>
      </c>
      <c r="AE31" s="37" t="n">
        <v>0</v>
      </c>
      <c r="AF31" s="37" t="n">
        <v>0</v>
      </c>
      <c r="AG31" s="37" t="n">
        <v>0</v>
      </c>
      <c r="AH31" s="37" t="n">
        <v>0</v>
      </c>
      <c r="AI31" s="37" t="n">
        <v>0</v>
      </c>
      <c r="AJ31" s="37" t="n">
        <v>0</v>
      </c>
      <c r="AK31" s="37" t="n">
        <v>0</v>
      </c>
      <c r="AL31" s="37" t="n">
        <v>0</v>
      </c>
      <c r="AM31" s="37" t="n">
        <v>0</v>
      </c>
      <c r="AN31" s="37" t="n">
        <v>0</v>
      </c>
      <c r="AO31" s="37" t="n">
        <v>0</v>
      </c>
      <c r="AP31" s="37" t="n">
        <v>0</v>
      </c>
      <c r="AQ31" s="37" t="n">
        <v>0</v>
      </c>
      <c r="AR31" s="10" t="n"/>
    </row>
    <row r="32" ht="18" customHeight="1" s="74">
      <c r="A32" s="32" t="inlineStr">
        <is>
          <t>SC22088</t>
        </is>
      </c>
      <c r="B32" s="32" t="inlineStr">
        <is>
          <t>LG -CNS Megahub</t>
        </is>
      </c>
      <c r="C32" s="32" t="inlineStr">
        <is>
          <t>Korea ASIA</t>
        </is>
      </c>
      <c r="D32" s="32" t="n"/>
      <c r="E32" s="33" t="n">
        <v>2021</v>
      </c>
      <c r="F32" s="33" t="n"/>
      <c r="G32" s="33" t="n">
        <v>0</v>
      </c>
      <c r="H32" s="33" t="n">
        <v>0</v>
      </c>
      <c r="I32" s="33" t="n">
        <v>0</v>
      </c>
      <c r="J32" s="33" t="n">
        <v>0</v>
      </c>
      <c r="K32" s="33" t="n">
        <v>0</v>
      </c>
      <c r="L32" s="33" t="n">
        <v>0</v>
      </c>
      <c r="M32" s="33" t="n">
        <v>0</v>
      </c>
      <c r="N32" s="33" t="n">
        <v>0</v>
      </c>
      <c r="O32" s="33" t="n">
        <v>3000</v>
      </c>
      <c r="P32" s="33" t="n">
        <v>0</v>
      </c>
      <c r="Q32" s="33" t="n">
        <v>66</v>
      </c>
      <c r="R32" s="33" t="n">
        <v>32</v>
      </c>
      <c r="S32" s="33" t="n">
        <v>0</v>
      </c>
      <c r="T32" s="33" t="n">
        <v>49</v>
      </c>
      <c r="U32" s="33" t="n">
        <v>36</v>
      </c>
      <c r="V32" s="33" t="n">
        <v>24</v>
      </c>
      <c r="W32" s="34" t="n">
        <v>100</v>
      </c>
      <c r="X32" s="33" t="inlineStr">
        <is>
          <t>EUR</t>
        </is>
      </c>
      <c r="Y32" s="40" t="n">
        <v>37.75</v>
      </c>
      <c r="Z32" s="158">
        <f>IF(OR(Y32="",X32=""),"",IFERROR(Y32*INDEX(FXRates[USD per unit],MATCH(X32,FXRates[Currency],0)),"No rate"))</f>
        <v/>
      </c>
      <c r="AA32" s="32" t="inlineStr">
        <is>
          <t xml:space="preserve">XB Sorter CBS crossbelt MCS </t>
        </is>
      </c>
      <c r="AB32" s="32" t="inlineStr">
        <is>
          <t>Purely sortation system only</t>
        </is>
      </c>
      <c r="AC32" s="36">
        <f>IF(A32="","",IF(COUNTIF($A$6:$A$504,A32)&gt;1,"⚠ Duplicate",""))</f>
        <v/>
      </c>
      <c r="AD32" s="43" t="n">
        <v>0.05</v>
      </c>
      <c r="AE32" s="43" t="n">
        <v>0.05</v>
      </c>
      <c r="AF32" s="43" t="n">
        <v>0.05</v>
      </c>
      <c r="AG32" s="43" t="n">
        <v>0.07000000000000001</v>
      </c>
      <c r="AH32" s="43" t="n">
        <v>0.09</v>
      </c>
      <c r="AI32" s="43" t="n">
        <v>0.06</v>
      </c>
      <c r="AJ32" s="43" t="n">
        <v>0.06</v>
      </c>
      <c r="AK32" s="43" t="n">
        <v>0.01</v>
      </c>
      <c r="AL32" s="43" t="n">
        <v>0.01</v>
      </c>
      <c r="AM32" s="43" t="n">
        <v>0.01</v>
      </c>
      <c r="AN32" s="43" t="n">
        <v>0.01</v>
      </c>
      <c r="AO32" s="43" t="n">
        <v>0.01</v>
      </c>
      <c r="AP32" s="43" t="n">
        <v>0.04</v>
      </c>
      <c r="AQ32" s="37" t="n">
        <v>0.001</v>
      </c>
      <c r="AR32" s="10" t="n"/>
    </row>
    <row r="33" ht="18" customHeight="1" s="74">
      <c r="A33" s="38" t="inlineStr">
        <is>
          <t>SW31150</t>
        </is>
      </c>
      <c r="B33" s="38" t="inlineStr">
        <is>
          <t>Lotte Chilsung</t>
        </is>
      </c>
      <c r="C33" s="38" t="inlineStr">
        <is>
          <t>Korea ASIA</t>
        </is>
      </c>
      <c r="D33" s="38" t="inlineStr">
        <is>
          <t>Others/complex</t>
        </is>
      </c>
      <c r="E33" s="39" t="n">
        <v>2020</v>
      </c>
      <c r="F33" s="39" t="inlineStr">
        <is>
          <t>Yes</t>
        </is>
      </c>
      <c r="G33" s="39" t="n">
        <v>64</v>
      </c>
      <c r="H33" s="39" t="n">
        <v>20500</v>
      </c>
      <c r="I33" s="39" t="n">
        <v>0</v>
      </c>
      <c r="J33" s="39" t="n">
        <v>0</v>
      </c>
      <c r="K33" s="39" t="n">
        <v>3</v>
      </c>
      <c r="L33" s="39" t="n">
        <v>800</v>
      </c>
      <c r="M33" s="39" t="n">
        <v>3</v>
      </c>
      <c r="N33" s="39" t="n">
        <v>8200</v>
      </c>
      <c r="O33" s="39" t="n">
        <v>120</v>
      </c>
      <c r="P33" s="39" t="n">
        <v>300</v>
      </c>
      <c r="Q33" s="39" t="n">
        <v>48</v>
      </c>
      <c r="R33" s="39" t="n">
        <v>58</v>
      </c>
      <c r="S33" s="39" t="n">
        <v>0</v>
      </c>
      <c r="T33" s="39" t="n">
        <v>54</v>
      </c>
      <c r="U33" s="39" t="n">
        <v>40</v>
      </c>
      <c r="V33" s="39" t="n">
        <v>27</v>
      </c>
      <c r="W33" s="34" t="n">
        <v>104</v>
      </c>
      <c r="X33" s="39" t="inlineStr">
        <is>
          <t>USD</t>
        </is>
      </c>
      <c r="Y33" s="40" t="n">
        <v>22.2</v>
      </c>
      <c r="Z33" s="158">
        <f>IF(OR(Y33="",X33=""),"",IFERROR(Y33*INDEX(FXRates[USD per unit],MATCH(X33,FXRates[Currency],0)),"No rate"))</f>
        <v/>
      </c>
      <c r="AA33" s="38" t="inlineStr">
        <is>
          <t>SRM BK25 MCS DMS 2WS AMCAP MCP FMCF RGV LIFTER PALLET ELTEN SCHWINGHANDL NORIN SUZHOU MARKEM IMAJE METTLER TOLEDO KAIXIN</t>
        </is>
      </c>
      <c r="AB33" s="38" t="n"/>
      <c r="AC33" s="41">
        <f>IF(A33="","",IF(COUNTIF($A$6:$A$504,A33)&gt;1,"⚠ Duplicate",""))</f>
        <v/>
      </c>
      <c r="AD33" s="37" t="n">
        <v>0</v>
      </c>
      <c r="AE33" s="37" t="n">
        <v>0</v>
      </c>
      <c r="AF33" s="37" t="n">
        <v>0</v>
      </c>
      <c r="AG33" s="37" t="n">
        <v>0</v>
      </c>
      <c r="AH33" s="37" t="n">
        <v>0</v>
      </c>
      <c r="AI33" s="37" t="n">
        <v>0</v>
      </c>
      <c r="AJ33" s="37" t="n">
        <v>0</v>
      </c>
      <c r="AK33" s="37" t="n">
        <v>0</v>
      </c>
      <c r="AL33" s="37" t="n">
        <v>0</v>
      </c>
      <c r="AM33" s="37" t="n">
        <v>0</v>
      </c>
      <c r="AN33" s="37" t="n">
        <v>0</v>
      </c>
      <c r="AO33" s="37" t="n">
        <v>0</v>
      </c>
      <c r="AP33" s="37" t="n">
        <v>0</v>
      </c>
      <c r="AQ33" s="37" t="n">
        <v>0</v>
      </c>
      <c r="AR33" s="10" t="n"/>
    </row>
    <row r="34" ht="18" customHeight="1" s="74">
      <c r="A34" s="32" t="inlineStr">
        <is>
          <t>SW31157</t>
        </is>
      </c>
      <c r="B34" s="32" t="inlineStr">
        <is>
          <t>Lotte LGL Youngnam</t>
        </is>
      </c>
      <c r="C34" s="32" t="inlineStr">
        <is>
          <t>Korea ASIA</t>
        </is>
      </c>
      <c r="D34" s="32" t="inlineStr">
        <is>
          <t>Others/complex</t>
        </is>
      </c>
      <c r="E34" s="33" t="n">
        <v>2020</v>
      </c>
      <c r="F34" s="33" t="inlineStr">
        <is>
          <t>Yes</t>
        </is>
      </c>
      <c r="G34" s="33" t="n">
        <v>56</v>
      </c>
      <c r="H34" s="33" t="n">
        <v>27500</v>
      </c>
      <c r="I34" s="33" t="n">
        <v>0</v>
      </c>
      <c r="J34" s="33" t="n">
        <v>0</v>
      </c>
      <c r="K34" s="33" t="n">
        <v>0</v>
      </c>
      <c r="L34" s="33" t="n">
        <v>0</v>
      </c>
      <c r="M34" s="33" t="n">
        <v>4</v>
      </c>
      <c r="N34" s="33" t="n">
        <v>8000</v>
      </c>
      <c r="O34" s="33" t="n">
        <v>1400</v>
      </c>
      <c r="P34" s="33" t="n">
        <v>400</v>
      </c>
      <c r="Q34" s="33" t="n">
        <v>38</v>
      </c>
      <c r="R34" s="33" t="n">
        <v>35</v>
      </c>
      <c r="S34" s="33" t="n">
        <v>16</v>
      </c>
      <c r="T34" s="33" t="n">
        <v>42</v>
      </c>
      <c r="U34" s="33" t="n">
        <v>32</v>
      </c>
      <c r="V34" s="33" t="n">
        <v>31</v>
      </c>
      <c r="W34" s="34" t="n">
        <v>89</v>
      </c>
      <c r="X34" s="33" t="inlineStr">
        <is>
          <t>USD</t>
        </is>
      </c>
      <c r="Y34" s="40" t="n">
        <v>22.9</v>
      </c>
      <c r="Z34" s="158">
        <f>IF(OR(Y34="",X34=""),"",IFERROR(Y34*INDEX(FXRates[USD per unit],MATCH(X34,FXRates[Currency],0)),"No rate"))</f>
        <v/>
      </c>
      <c r="AA34" s="32" t="inlineStr">
        <is>
          <t>SRM  BK25 DMS MCS ELTEN QIMAROX Mezz PTL Robot Layer Picker</t>
        </is>
      </c>
      <c r="AB34" s="32" t="n"/>
      <c r="AC34" s="36">
        <f>IF(A34="","",IF(COUNTIF($A$6:$A$504,A34)&gt;1,"⚠ Duplicate",""))</f>
        <v/>
      </c>
      <c r="AD34" s="37" t="n">
        <v>0</v>
      </c>
      <c r="AE34" s="37" t="n">
        <v>0</v>
      </c>
      <c r="AF34" s="37" t="n">
        <v>0</v>
      </c>
      <c r="AG34" s="37" t="n">
        <v>0</v>
      </c>
      <c r="AH34" s="37" t="n">
        <v>0</v>
      </c>
      <c r="AI34" s="37" t="n">
        <v>0</v>
      </c>
      <c r="AJ34" s="37" t="n">
        <v>0</v>
      </c>
      <c r="AK34" s="37" t="n">
        <v>0</v>
      </c>
      <c r="AL34" s="37" t="n">
        <v>0</v>
      </c>
      <c r="AM34" s="37" t="n">
        <v>0</v>
      </c>
      <c r="AN34" s="37" t="n">
        <v>0</v>
      </c>
      <c r="AO34" s="37" t="n">
        <v>0</v>
      </c>
      <c r="AP34" s="37" t="n">
        <v>0</v>
      </c>
      <c r="AQ34" s="37" t="n">
        <v>0</v>
      </c>
      <c r="AR34" s="10" t="n"/>
    </row>
    <row r="35" ht="18" customHeight="1" s="74">
      <c r="A35" s="38" t="inlineStr">
        <is>
          <t>SC22094</t>
        </is>
      </c>
      <c r="B35" s="38" t="inlineStr">
        <is>
          <t>Hsu Maw Autostore</t>
        </is>
      </c>
      <c r="C35" s="38" t="inlineStr">
        <is>
          <t>Taiwan ASIA</t>
        </is>
      </c>
      <c r="D35" s="38" t="inlineStr">
        <is>
          <t>Autostore</t>
        </is>
      </c>
      <c r="E35" s="39" t="n">
        <v>2021</v>
      </c>
      <c r="F35" s="39" t="inlineStr">
        <is>
          <t>Yes</t>
        </is>
      </c>
      <c r="G35" s="39" t="n">
        <v>0</v>
      </c>
      <c r="H35" s="39" t="n">
        <v>0</v>
      </c>
      <c r="I35" s="39" t="n">
        <v>5</v>
      </c>
      <c r="J35" s="39" t="n">
        <v>15000</v>
      </c>
      <c r="K35" s="39" t="n">
        <v>0</v>
      </c>
      <c r="L35" s="39" t="n">
        <v>0</v>
      </c>
      <c r="M35" s="39" t="n">
        <v>0</v>
      </c>
      <c r="N35" s="39" t="n">
        <v>0</v>
      </c>
      <c r="O35" s="39" t="n">
        <v>0</v>
      </c>
      <c r="P35" s="39" t="n">
        <v>0</v>
      </c>
      <c r="Q35" s="39" t="n">
        <v>20</v>
      </c>
      <c r="R35" s="39" t="n">
        <v>2</v>
      </c>
      <c r="S35" s="39" t="n">
        <v>4</v>
      </c>
      <c r="T35" s="39" t="n">
        <v>24</v>
      </c>
      <c r="U35" s="39" t="n">
        <v>6</v>
      </c>
      <c r="V35" s="39" t="n">
        <v>5</v>
      </c>
      <c r="W35" s="34" t="n">
        <v>34</v>
      </c>
      <c r="X35" s="39" t="inlineStr">
        <is>
          <t>USD</t>
        </is>
      </c>
      <c r="Y35" s="40" t="n">
        <v>1.02</v>
      </c>
      <c r="Z35" s="158">
        <f>IF(OR(Y35="",X35=""),"",IFERROR(Y35*INDEX(FXRates[USD per unit],MATCH(X35,FXRates[Currency],0)),"No rate"))</f>
        <v/>
      </c>
      <c r="AA35" s="38" t="inlineStr">
        <is>
          <t>Autostore</t>
        </is>
      </c>
      <c r="AB35" s="38" t="n"/>
      <c r="AC35" s="41">
        <f>IF(A35="","",IF(COUNTIF($A$6:$A$504,A35)&gt;1,"⚠ Duplicate",""))</f>
        <v/>
      </c>
      <c r="AD35" s="37" t="n">
        <v>0</v>
      </c>
      <c r="AE35" s="37" t="n">
        <v>0</v>
      </c>
      <c r="AF35" s="37" t="n">
        <v>0.04872205363088507</v>
      </c>
      <c r="AG35" s="37" t="n">
        <v>0</v>
      </c>
      <c r="AH35" s="37" t="n">
        <v>0.00628505670706197</v>
      </c>
      <c r="AI35" s="37" t="n">
        <v>0</v>
      </c>
      <c r="AJ35" s="37" t="n">
        <v>0.02412028341525975</v>
      </c>
      <c r="AK35" s="37" t="n">
        <v>0.08882880145980918</v>
      </c>
      <c r="AL35" s="37" t="n">
        <v>0</v>
      </c>
      <c r="AM35" s="37" t="n">
        <v>0</v>
      </c>
      <c r="AN35" s="37" t="n">
        <v>0</v>
      </c>
      <c r="AO35" s="37" t="n">
        <v>0</v>
      </c>
      <c r="AP35" s="37" t="n">
        <v>0.02466168959396852</v>
      </c>
      <c r="AQ35" s="37" t="n">
        <v>0</v>
      </c>
    </row>
    <row r="36" ht="18" customHeight="1" s="74">
      <c r="A36" s="32" t="inlineStr">
        <is>
          <t>SW31193</t>
        </is>
      </c>
      <c r="B36" s="32" t="inlineStr">
        <is>
          <t>LF Phoenix ASRS</t>
        </is>
      </c>
      <c r="C36" s="32" t="inlineStr">
        <is>
          <t>Malaysia ASIA</t>
        </is>
      </c>
      <c r="D36" s="32" t="inlineStr">
        <is>
          <t>Pallet Hotel</t>
        </is>
      </c>
      <c r="E36" s="33" t="n">
        <v>2023</v>
      </c>
      <c r="F36" s="33" t="inlineStr">
        <is>
          <t>Yes</t>
        </is>
      </c>
      <c r="G36" s="33" t="n">
        <v>0</v>
      </c>
      <c r="H36" s="33" t="n">
        <v>0</v>
      </c>
      <c r="I36" s="33" t="n">
        <v>0</v>
      </c>
      <c r="J36" s="33" t="n">
        <v>0</v>
      </c>
      <c r="K36" s="33" t="n">
        <v>0</v>
      </c>
      <c r="L36" s="33" t="n">
        <v>0</v>
      </c>
      <c r="M36" s="33" t="n">
        <v>7</v>
      </c>
      <c r="N36" s="33" t="n">
        <v>0</v>
      </c>
      <c r="O36" s="33" t="n">
        <v>0</v>
      </c>
      <c r="P36" s="33" t="n">
        <v>500</v>
      </c>
      <c r="Q36" s="33" t="n">
        <v>36</v>
      </c>
      <c r="R36" s="33" t="n">
        <v>34</v>
      </c>
      <c r="S36" s="33" t="n">
        <v>16</v>
      </c>
      <c r="T36" s="33" t="n">
        <v>42</v>
      </c>
      <c r="U36" s="33" t="n">
        <v>27</v>
      </c>
      <c r="V36" s="33" t="n">
        <v>26</v>
      </c>
      <c r="W36" s="34" t="n">
        <v>75</v>
      </c>
      <c r="X36" s="33" t="inlineStr">
        <is>
          <t>MYR</t>
        </is>
      </c>
      <c r="Y36" s="40" t="n">
        <v>24.29</v>
      </c>
      <c r="Z36" s="158">
        <f>IF(OR(Y36="",X36=""),"",IFERROR(Y36*INDEX(FXRates[USD per unit],MATCH(X36,FXRates[Currency],0)),"No rate"))</f>
        <v/>
      </c>
      <c r="AA36" s="32" t="inlineStr">
        <is>
          <t>SRM BK25</t>
        </is>
      </c>
      <c r="AB36" s="32" t="inlineStr">
        <is>
          <t>Racking not in scope</t>
        </is>
      </c>
      <c r="AC36" s="36">
        <f>IF(A36="","",IF(COUNTIF($A$6:$A$504,A36)&gt;1,"⚠ Duplicate",""))</f>
        <v/>
      </c>
      <c r="AD36" s="43" t="n">
        <v>0.03963368956135951</v>
      </c>
      <c r="AE36" s="43" t="n">
        <v>0.03064751543143669</v>
      </c>
      <c r="AF36" s="43" t="n">
        <v>0.05305254388165813</v>
      </c>
      <c r="AG36" s="43" t="n">
        <v>0.003816509500807946</v>
      </c>
      <c r="AH36" s="43" t="n">
        <v>0.01538381475811512</v>
      </c>
      <c r="AI36" s="43" t="n">
        <v>0</v>
      </c>
      <c r="AJ36" s="43" t="n">
        <v>0.02036504009462588</v>
      </c>
      <c r="AK36" s="43" t="n">
        <v>0.02504583169153374</v>
      </c>
      <c r="AL36" s="43" t="n">
        <v>0.004009411108903849</v>
      </c>
      <c r="AM36" s="43" t="n">
        <v>0.01035387219753341</v>
      </c>
      <c r="AN36" s="43" t="n">
        <v>0.03458066536155243</v>
      </c>
      <c r="AO36" s="43" t="n">
        <v>0.04804784179532302</v>
      </c>
      <c r="AP36" s="43" t="n">
        <v>0.0230248248254304</v>
      </c>
      <c r="AQ36" s="37" t="n">
        <v>0.002444267322475879</v>
      </c>
    </row>
    <row r="37" ht="18" customHeight="1" s="74">
      <c r="A37" s="38" t="inlineStr">
        <is>
          <t>SW31261</t>
        </is>
      </c>
      <c r="B37" s="38" t="inlineStr">
        <is>
          <t>Plexus Seaside</t>
        </is>
      </c>
      <c r="C37" s="38" t="inlineStr">
        <is>
          <t>Malaysia ASIA</t>
        </is>
      </c>
      <c r="D37" s="38" t="inlineStr">
        <is>
          <t>Autostore</t>
        </is>
      </c>
      <c r="E37" s="39" t="n">
        <v>2024</v>
      </c>
      <c r="F37" s="39" t="inlineStr">
        <is>
          <t>Yes</t>
        </is>
      </c>
      <c r="G37" s="39" t="n">
        <v>0</v>
      </c>
      <c r="H37" s="39" t="n">
        <v>0</v>
      </c>
      <c r="I37" s="39" t="n">
        <v>12</v>
      </c>
      <c r="J37" s="39" t="n">
        <v>10000</v>
      </c>
      <c r="K37" s="39" t="n">
        <v>0</v>
      </c>
      <c r="L37" s="39" t="n">
        <v>0</v>
      </c>
      <c r="M37" s="39" t="n">
        <v>0</v>
      </c>
      <c r="N37" s="39" t="n">
        <v>0</v>
      </c>
      <c r="O37" s="39" t="n">
        <v>0</v>
      </c>
      <c r="P37" s="39" t="n">
        <v>0</v>
      </c>
      <c r="Q37" s="39" t="n">
        <v>18</v>
      </c>
      <c r="R37" s="39" t="n">
        <v>2</v>
      </c>
      <c r="S37" s="39" t="n">
        <v>12</v>
      </c>
      <c r="T37" s="39" t="n">
        <v>24</v>
      </c>
      <c r="U37" s="39" t="n">
        <v>10</v>
      </c>
      <c r="V37" s="39" t="n">
        <v>23</v>
      </c>
      <c r="W37" s="34" t="n">
        <v>42</v>
      </c>
      <c r="X37" s="39" t="inlineStr">
        <is>
          <t>USD</t>
        </is>
      </c>
      <c r="Y37" s="40" t="n">
        <v>1.63</v>
      </c>
      <c r="Z37" s="158">
        <f>IF(OR(Y37="",X37=""),"",IFERROR(Y37*INDEX(FXRates[USD per unit],MATCH(X37,FXRates[Currency],0)),"No rate"))</f>
        <v/>
      </c>
      <c r="AA37" s="38" t="inlineStr">
        <is>
          <t>Autostore</t>
        </is>
      </c>
      <c r="AB37" s="38" t="n"/>
      <c r="AC37" s="41">
        <f>IF(A37="","",IF(COUNTIF($A$6:$A$504,A37)&gt;1,"⚠ Duplicate",""))</f>
        <v/>
      </c>
      <c r="AD37" s="37" t="n">
        <v>0.03444602869956017</v>
      </c>
      <c r="AE37" s="37" t="n">
        <v>0</v>
      </c>
      <c r="AF37" s="37" t="n">
        <v>0.03257704845718964</v>
      </c>
      <c r="AG37" s="37" t="n">
        <v>0</v>
      </c>
      <c r="AH37" s="37" t="n">
        <v>0.03643363590853829</v>
      </c>
      <c r="AI37" s="37" t="n">
        <v>0</v>
      </c>
      <c r="AJ37" s="37" t="n">
        <v>0.01501799918725192</v>
      </c>
      <c r="AK37" s="37" t="n">
        <v>0</v>
      </c>
      <c r="AL37" s="37" t="n">
        <v>0</v>
      </c>
      <c r="AM37" s="37" t="n">
        <v>0.0002521243361430617</v>
      </c>
      <c r="AN37" s="37" t="n">
        <v>0.004086945559514623</v>
      </c>
      <c r="AO37" s="37" t="n">
        <v>0</v>
      </c>
      <c r="AP37" s="37" t="n">
        <v>0.09428801895920387</v>
      </c>
      <c r="AQ37" s="37" t="n">
        <v>4.438077898621939e-05</v>
      </c>
    </row>
    <row r="38" ht="18" customHeight="1" s="74">
      <c r="A38" s="32" t="inlineStr">
        <is>
          <t>SC22126</t>
        </is>
      </c>
      <c r="B38" s="32" t="inlineStr">
        <is>
          <t>Plexus Riverside</t>
        </is>
      </c>
      <c r="C38" s="32" t="inlineStr">
        <is>
          <t>Malaysia ASIA</t>
        </is>
      </c>
      <c r="D38" s="32" t="inlineStr">
        <is>
          <t>Autostore</t>
        </is>
      </c>
      <c r="E38" s="33" t="n">
        <v>2022</v>
      </c>
      <c r="F38" s="33" t="inlineStr">
        <is>
          <t>Yes</t>
        </is>
      </c>
      <c r="G38" s="33" t="n">
        <v>0</v>
      </c>
      <c r="H38" s="33" t="n">
        <v>0</v>
      </c>
      <c r="I38" s="33" t="n">
        <v>14</v>
      </c>
      <c r="J38" s="33" t="n">
        <v>11000</v>
      </c>
      <c r="K38" s="33" t="n">
        <v>0</v>
      </c>
      <c r="L38" s="33" t="n">
        <v>0</v>
      </c>
      <c r="M38" s="33" t="n">
        <v>0</v>
      </c>
      <c r="N38" s="33" t="n">
        <v>0</v>
      </c>
      <c r="O38" s="33" t="n">
        <v>0</v>
      </c>
      <c r="P38" s="33" t="n">
        <v>0</v>
      </c>
      <c r="Q38" s="33" t="n">
        <v>25</v>
      </c>
      <c r="R38" s="33" t="n">
        <v>2</v>
      </c>
      <c r="S38" s="33" t="n">
        <v>12</v>
      </c>
      <c r="T38" s="33" t="n">
        <v>40</v>
      </c>
      <c r="U38" s="33" t="n">
        <v>10</v>
      </c>
      <c r="V38" s="33" t="n">
        <v>15</v>
      </c>
      <c r="W38" s="34" t="n">
        <v>52</v>
      </c>
      <c r="X38" s="33" t="inlineStr">
        <is>
          <t>USD</t>
        </is>
      </c>
      <c r="Y38" s="40" t="n">
        <v>1.79</v>
      </c>
      <c r="Z38" s="158">
        <f>IF(OR(Y38="",X38=""),"",IFERROR(Y38*INDEX(FXRates[USD per unit],MATCH(X38,FXRates[Currency],0)),"No rate"))</f>
        <v/>
      </c>
      <c r="AA38" s="32" t="inlineStr">
        <is>
          <t>Autostore</t>
        </is>
      </c>
      <c r="AB38" s="32" t="inlineStr">
        <is>
          <t>First Plexus project, longer everything.</t>
        </is>
      </c>
      <c r="AC38" s="36">
        <f>IF(A38="","",IF(COUNTIF($A$6:$A$504,A38)&gt;1,"⚠ Duplicate",""))</f>
        <v/>
      </c>
      <c r="AD38" s="37" t="n">
        <v>0.03058565202536138</v>
      </c>
      <c r="AE38" s="37" t="n">
        <v>0.00663291136018963</v>
      </c>
      <c r="AF38" s="37" t="n">
        <v>0.05198480292583055</v>
      </c>
      <c r="AG38" s="37" t="n">
        <v>0</v>
      </c>
      <c r="AH38" s="37" t="n">
        <v>0.005716881067445528</v>
      </c>
      <c r="AI38" s="37" t="n">
        <v>0</v>
      </c>
      <c r="AJ38" s="37" t="n">
        <v>0.01031931406655589</v>
      </c>
      <c r="AK38" s="37" t="n">
        <v>0</v>
      </c>
      <c r="AL38" s="37" t="n">
        <v>0</v>
      </c>
      <c r="AM38" s="37" t="n">
        <v>0</v>
      </c>
      <c r="AN38" s="37" t="n">
        <v>0</v>
      </c>
      <c r="AO38" s="37" t="n">
        <v>0</v>
      </c>
      <c r="AP38" s="37" t="n">
        <v>0.1442547011430668</v>
      </c>
      <c r="AQ38" s="37" t="n">
        <v>0</v>
      </c>
    </row>
    <row r="39" ht="18" customHeight="1" s="74">
      <c r="A39" s="38" t="inlineStr">
        <is>
          <t>SW31179</t>
        </is>
      </c>
      <c r="B39" s="38" t="inlineStr">
        <is>
          <t>Caterpillar Autostore</t>
        </is>
      </c>
      <c r="C39" s="38" t="inlineStr">
        <is>
          <t>Singapore ASIA</t>
        </is>
      </c>
      <c r="D39" s="38" t="inlineStr">
        <is>
          <t>Autostore</t>
        </is>
      </c>
      <c r="E39" s="39" t="n">
        <v>2021</v>
      </c>
      <c r="F39" s="39" t="inlineStr">
        <is>
          <t>Yes</t>
        </is>
      </c>
      <c r="G39" s="39" t="n">
        <v>0</v>
      </c>
      <c r="H39" s="39" t="n">
        <v>0</v>
      </c>
      <c r="I39" s="39" t="n">
        <v>84</v>
      </c>
      <c r="J39" s="39" t="n">
        <v>163000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300</v>
      </c>
      <c r="P39" s="39" t="n">
        <v>0</v>
      </c>
      <c r="Q39" s="39" t="n">
        <v>24</v>
      </c>
      <c r="R39" s="39" t="n">
        <v>27</v>
      </c>
      <c r="S39" s="39" t="n">
        <v>9</v>
      </c>
      <c r="T39" s="39" t="n">
        <v>26</v>
      </c>
      <c r="U39" s="39" t="n">
        <v>15</v>
      </c>
      <c r="V39" s="39" t="n">
        <v>22</v>
      </c>
      <c r="W39" s="34" t="n">
        <v>52</v>
      </c>
      <c r="X39" s="39" t="inlineStr">
        <is>
          <t>SGD</t>
        </is>
      </c>
      <c r="Y39" s="40" t="n">
        <v>16.9</v>
      </c>
      <c r="Z39" s="158">
        <f>IF(OR(Y39="",X39=""),"",IFERROR(Y39*INDEX(FXRates[USD per unit],MATCH(X39,FXRates[Currency],0)),"No rate"))</f>
        <v/>
      </c>
      <c r="AA39" s="38" t="inlineStr">
        <is>
          <t>Autostore MCS</t>
        </is>
      </c>
      <c r="AB39" s="38" t="inlineStr">
        <is>
          <t xml:space="preserve">Delayed progressive shipment schedule, 35 weeks additional on top of total timeline </t>
        </is>
      </c>
      <c r="AC39" s="41">
        <f>IF(A39="","",IF(COUNTIF($A$6:$A$504,A39)&gt;1,"⚠ Duplicate",""))</f>
        <v/>
      </c>
      <c r="AD39" s="37" t="n">
        <v>0</v>
      </c>
      <c r="AE39" s="37" t="n">
        <v>0</v>
      </c>
      <c r="AF39" s="37" t="n">
        <v>0</v>
      </c>
      <c r="AG39" s="37" t="n">
        <v>0</v>
      </c>
      <c r="AH39" s="37" t="n">
        <v>0</v>
      </c>
      <c r="AI39" s="37" t="n">
        <v>0</v>
      </c>
      <c r="AJ39" s="37" t="n">
        <v>0</v>
      </c>
      <c r="AK39" s="37" t="n">
        <v>0</v>
      </c>
      <c r="AL39" s="37" t="n">
        <v>0</v>
      </c>
      <c r="AM39" s="37" t="n">
        <v>0</v>
      </c>
      <c r="AN39" s="37" t="n">
        <v>0</v>
      </c>
      <c r="AO39" s="37" t="n">
        <v>0</v>
      </c>
      <c r="AP39" s="37" t="n">
        <v>0</v>
      </c>
      <c r="AQ39" s="37" t="n">
        <v>0</v>
      </c>
      <c r="AR39" s="10" t="n"/>
    </row>
    <row r="40" ht="18" customHeight="1" s="74">
      <c r="A40" s="32" t="inlineStr">
        <is>
          <t>SC22103</t>
        </is>
      </c>
      <c r="B40" s="32" t="inlineStr">
        <is>
          <t>WDS Tainan</t>
        </is>
      </c>
      <c r="C40" s="32" t="inlineStr">
        <is>
          <t>Taiwan ASIA</t>
        </is>
      </c>
      <c r="D40" s="32" t="inlineStr">
        <is>
          <t>Others/complex</t>
        </is>
      </c>
      <c r="E40" s="33" t="n">
        <v>2023</v>
      </c>
      <c r="F40" s="33" t="inlineStr">
        <is>
          <t>Yes</t>
        </is>
      </c>
      <c r="G40" s="33" t="n">
        <v>78</v>
      </c>
      <c r="H40" s="33" t="n">
        <v>15000</v>
      </c>
      <c r="I40" s="33" t="n">
        <v>0</v>
      </c>
      <c r="J40" s="33" t="n">
        <v>0</v>
      </c>
      <c r="K40" s="33" t="n">
        <v>0</v>
      </c>
      <c r="L40" s="33" t="n">
        <v>0</v>
      </c>
      <c r="M40" s="33" t="n">
        <v>0</v>
      </c>
      <c r="N40" s="33" t="n">
        <v>0</v>
      </c>
      <c r="O40" s="33" t="n">
        <v>2400</v>
      </c>
      <c r="P40" s="33" t="n">
        <v>100</v>
      </c>
      <c r="Q40" s="33" t="n">
        <v>56</v>
      </c>
      <c r="R40" s="33" t="n">
        <v>38</v>
      </c>
      <c r="S40" s="33" t="n">
        <v>12</v>
      </c>
      <c r="T40" s="33" t="n">
        <v>75</v>
      </c>
      <c r="U40" s="33" t="n">
        <v>57</v>
      </c>
      <c r="V40" s="33" t="n">
        <v>50</v>
      </c>
      <c r="W40" s="34" t="n">
        <v>120</v>
      </c>
      <c r="X40" s="33" t="inlineStr">
        <is>
          <t>USD</t>
        </is>
      </c>
      <c r="Y40" s="40" t="n">
        <v>22.03</v>
      </c>
      <c r="Z40" s="158">
        <f>IF(OR(Y40="",X40=""),"",IFERROR(Y40*INDEX(FXRates[USD per unit],MATCH(X40,FXRates[Currency],0)),"No rate"))</f>
        <v/>
      </c>
      <c r="AA40" s="32" t="inlineStr">
        <is>
          <t>XB Sorter CBS crossbelt MCS DMS BK25 PTL Mezzanine Selective Rack</t>
        </is>
      </c>
      <c r="AB40" s="32" t="n"/>
      <c r="AC40" s="36">
        <f>IF(A40="","",IF(COUNTIF($A$6:$A$504,A40)&gt;1,"⚠ Duplicate",""))</f>
        <v/>
      </c>
      <c r="AD40" s="37" t="n">
        <v>0</v>
      </c>
      <c r="AE40" s="37" t="n">
        <v>0</v>
      </c>
      <c r="AF40" s="37" t="n">
        <v>0</v>
      </c>
      <c r="AG40" s="37" t="n">
        <v>0</v>
      </c>
      <c r="AH40" s="37" t="n">
        <v>0</v>
      </c>
      <c r="AI40" s="37" t="n">
        <v>0</v>
      </c>
      <c r="AJ40" s="37" t="n">
        <v>0</v>
      </c>
      <c r="AK40" s="37" t="n">
        <v>0</v>
      </c>
      <c r="AL40" s="37" t="n">
        <v>0</v>
      </c>
      <c r="AM40" s="37" t="n">
        <v>0</v>
      </c>
      <c r="AN40" s="37" t="n">
        <v>0</v>
      </c>
      <c r="AO40" s="37" t="n">
        <v>0</v>
      </c>
      <c r="AP40" s="37" t="n">
        <v>0</v>
      </c>
      <c r="AQ40" s="37" t="n">
        <v>0</v>
      </c>
      <c r="AR40" s="10" t="n"/>
    </row>
    <row r="41" ht="18" customHeight="1" s="74">
      <c r="A41" s="38" t="inlineStr">
        <is>
          <t>SC22136</t>
        </is>
      </c>
      <c r="B41" s="38" t="inlineStr">
        <is>
          <t>WDS Keelung</t>
        </is>
      </c>
      <c r="C41" s="38" t="inlineStr">
        <is>
          <t>Taiwan ASIA</t>
        </is>
      </c>
      <c r="D41" s="38" t="inlineStr">
        <is>
          <t>Others/complex</t>
        </is>
      </c>
      <c r="E41" s="39" t="n">
        <v>2025</v>
      </c>
      <c r="F41" s="39" t="inlineStr">
        <is>
          <t>Yes</t>
        </is>
      </c>
      <c r="G41" s="39" t="n">
        <v>0</v>
      </c>
      <c r="H41" s="39" t="n">
        <v>0</v>
      </c>
      <c r="I41" s="39" t="n">
        <v>0</v>
      </c>
      <c r="J41" s="39" t="n">
        <v>0</v>
      </c>
      <c r="K41" s="39" t="n">
        <v>0</v>
      </c>
      <c r="L41" s="39" t="n">
        <v>0</v>
      </c>
      <c r="M41" s="39" t="n">
        <v>0</v>
      </c>
      <c r="N41" s="39" t="n">
        <v>0</v>
      </c>
      <c r="O41" s="39" t="n">
        <v>800</v>
      </c>
      <c r="P41" s="39" t="n">
        <v>0</v>
      </c>
      <c r="Q41" s="39" t="n">
        <v>60</v>
      </c>
      <c r="R41" s="39" t="n">
        <v>40</v>
      </c>
      <c r="S41" s="39" t="n">
        <v>12</v>
      </c>
      <c r="T41" s="39" t="n">
        <v>69</v>
      </c>
      <c r="U41" s="39" t="n">
        <v>26</v>
      </c>
      <c r="V41" s="39" t="n">
        <v>40</v>
      </c>
      <c r="W41" s="34" t="n">
        <v>105</v>
      </c>
      <c r="X41" s="39" t="inlineStr">
        <is>
          <t>USD</t>
        </is>
      </c>
      <c r="Y41" s="40" t="n">
        <v>9.52</v>
      </c>
      <c r="Z41" s="158">
        <f>IF(OR(Y41="",X41=""),"",IFERROR(Y41*INDEX(FXRates[USD per unit],MATCH(X41,FXRates[Currency],0)),"No rate"))</f>
        <v/>
      </c>
      <c r="AA41" s="38" t="inlineStr">
        <is>
          <t>XB Sorter CBS Crossbelt MCS Libiao Mezzanine</t>
        </is>
      </c>
      <c r="AB41" s="38" t="n"/>
      <c r="AC41" s="41">
        <f>IF(A41="","",IF(COUNTIF($A$6:$A$504,A41)&gt;1,"⚠ Duplicate",""))</f>
        <v/>
      </c>
      <c r="AD41" s="37" t="n">
        <v>0</v>
      </c>
      <c r="AE41" s="37" t="n">
        <v>0</v>
      </c>
      <c r="AF41" s="37" t="n">
        <v>0</v>
      </c>
      <c r="AG41" s="37" t="n">
        <v>0</v>
      </c>
      <c r="AH41" s="37" t="n">
        <v>0</v>
      </c>
      <c r="AI41" s="37" t="n">
        <v>0</v>
      </c>
      <c r="AJ41" s="37" t="n">
        <v>0</v>
      </c>
      <c r="AK41" s="37" t="n">
        <v>0</v>
      </c>
      <c r="AL41" s="37" t="n">
        <v>0</v>
      </c>
      <c r="AM41" s="37" t="n">
        <v>0</v>
      </c>
      <c r="AN41" s="37" t="n">
        <v>0</v>
      </c>
      <c r="AO41" s="37" t="n">
        <v>0</v>
      </c>
      <c r="AP41" s="37" t="n">
        <v>0</v>
      </c>
      <c r="AQ41" s="37" t="n">
        <v>0</v>
      </c>
      <c r="AR41" s="10" t="n"/>
    </row>
    <row r="42" ht="18" customHeight="1" s="74">
      <c r="A42" s="32" t="inlineStr">
        <is>
          <t>SW31344</t>
        </is>
      </c>
      <c r="B42" s="32" t="inlineStr">
        <is>
          <t>DHL Project Consumer</t>
        </is>
      </c>
      <c r="C42" s="32" t="inlineStr">
        <is>
          <t>Thailand ASIA</t>
        </is>
      </c>
      <c r="D42" s="32" t="n"/>
      <c r="E42" s="33" t="n">
        <v>2026</v>
      </c>
      <c r="F42" s="33" t="inlineStr">
        <is>
          <t>No</t>
        </is>
      </c>
      <c r="G42" s="33" t="n">
        <v>0</v>
      </c>
      <c r="H42" s="33" t="n">
        <v>0</v>
      </c>
      <c r="I42" s="33" t="n">
        <v>0</v>
      </c>
      <c r="J42" s="33" t="n">
        <v>0</v>
      </c>
      <c r="K42" s="33" t="n">
        <v>56</v>
      </c>
      <c r="L42" s="33" t="n">
        <v>45000</v>
      </c>
      <c r="M42" s="33" t="n">
        <v>0</v>
      </c>
      <c r="N42" s="33" t="n">
        <v>0</v>
      </c>
      <c r="O42" s="33" t="n">
        <v>0</v>
      </c>
      <c r="P42" s="33" t="n">
        <v>178</v>
      </c>
      <c r="Q42" s="33" t="n">
        <v>52</v>
      </c>
      <c r="R42" s="33" t="n">
        <v>0</v>
      </c>
      <c r="S42" s="33" t="n">
        <v>25</v>
      </c>
      <c r="T42" s="33" t="n">
        <v>45</v>
      </c>
      <c r="U42" s="33" t="n">
        <v>21</v>
      </c>
      <c r="V42" s="33" t="n">
        <v>31</v>
      </c>
      <c r="W42" s="34" t="n">
        <v>106.4</v>
      </c>
      <c r="X42" s="33" t="inlineStr">
        <is>
          <t>USD</t>
        </is>
      </c>
      <c r="Y42" s="40" t="n">
        <v>19.01</v>
      </c>
      <c r="Z42" s="158">
        <f>IF(OR(Y42="",X42=""),"",IFERROR(Y42*INDEX(FXRates[USD per unit],MATCH(X42,FXRates[Currency],0)),"No rate"))</f>
        <v/>
      </c>
      <c r="AA42" s="32" t="inlineStr">
        <is>
          <t>4WS Pallet + AMR</t>
        </is>
      </c>
      <c r="AB42" s="32" t="n"/>
      <c r="AC42" s="36">
        <f>IF(A42="","",IF(COUNTIF($A$6:$A$504,A42)&gt;1,"⚠ Duplicate",""))</f>
        <v/>
      </c>
      <c r="AD42" s="43" t="n">
        <v>0.05</v>
      </c>
      <c r="AE42" s="43" t="n">
        <v>0.05</v>
      </c>
      <c r="AF42" s="43" t="n">
        <v>0.05</v>
      </c>
      <c r="AG42" s="43" t="n">
        <v>0.07000000000000001</v>
      </c>
      <c r="AH42" s="43" t="n">
        <v>0.09</v>
      </c>
      <c r="AI42" s="43" t="n">
        <v>0.06</v>
      </c>
      <c r="AJ42" s="43" t="n">
        <v>0.06</v>
      </c>
      <c r="AK42" s="43" t="n">
        <v>0.01</v>
      </c>
      <c r="AL42" s="43" t="n">
        <v>0.01</v>
      </c>
      <c r="AM42" s="43" t="n">
        <v>0.01</v>
      </c>
      <c r="AN42" s="43" t="n">
        <v>0.01</v>
      </c>
      <c r="AO42" s="43" t="n">
        <v>0.01</v>
      </c>
      <c r="AP42" s="43" t="n">
        <v>0.04</v>
      </c>
      <c r="AQ42" s="37" t="n">
        <v>0.001</v>
      </c>
      <c r="AR42" s="10" t="n"/>
    </row>
    <row r="43" ht="18" customHeight="1" s="74">
      <c r="A43" s="38" t="inlineStr">
        <is>
          <t>SC22228</t>
        </is>
      </c>
      <c r="B43" s="38" t="inlineStr">
        <is>
          <t>Changmaru (Box4U)</t>
        </is>
      </c>
      <c r="C43" s="38" t="inlineStr">
        <is>
          <t>Korea ASIA</t>
        </is>
      </c>
      <c r="D43" s="38" t="n"/>
      <c r="E43" s="39" t="n">
        <v>2026</v>
      </c>
      <c r="F43" s="39" t="inlineStr">
        <is>
          <t>No</t>
        </is>
      </c>
      <c r="G43" s="39" t="n">
        <v>30</v>
      </c>
      <c r="H43" s="39" t="n">
        <v>6200</v>
      </c>
      <c r="I43" s="39" t="n">
        <v>0</v>
      </c>
      <c r="J43" s="39" t="n">
        <v>0</v>
      </c>
      <c r="K43" s="39" t="n">
        <v>0</v>
      </c>
      <c r="L43" s="39" t="n">
        <v>0</v>
      </c>
      <c r="M43" s="39" t="n">
        <v>3</v>
      </c>
      <c r="N43" s="39" t="n">
        <v>4300</v>
      </c>
      <c r="O43" s="39" t="n">
        <v>350</v>
      </c>
      <c r="P43" s="39" t="n">
        <v>255</v>
      </c>
      <c r="Q43" s="39" t="n">
        <v>46</v>
      </c>
      <c r="R43" s="39" t="n">
        <v>48</v>
      </c>
      <c r="S43" s="39" t="n">
        <v>27</v>
      </c>
      <c r="T43" s="39" t="n">
        <v>57</v>
      </c>
      <c r="U43" s="39" t="n">
        <v>28</v>
      </c>
      <c r="V43" s="39" t="n">
        <v>35</v>
      </c>
      <c r="W43" s="34" t="n">
        <v>108</v>
      </c>
      <c r="X43" s="39" t="inlineStr">
        <is>
          <t>USD</t>
        </is>
      </c>
      <c r="Y43" s="40" t="n">
        <v>11.9</v>
      </c>
      <c r="Z43" s="158">
        <f>IF(OR(Y43="",X43=""),"",IFERROR(Y43*INDEX(FXRates[USD per unit],MATCH(X43,FXRates[Currency],0)),"No rate"))</f>
        <v/>
      </c>
      <c r="AA43" s="38" t="inlineStr">
        <is>
          <t>ASRS, DMS, Layer Picker</t>
        </is>
      </c>
      <c r="AB43" s="38" t="inlineStr">
        <is>
          <t>ASRS Rack Clad not Dematic scope, DMS Racking under Dematic scope</t>
        </is>
      </c>
      <c r="AC43" s="41">
        <f>IF(A43="","",IF(COUNTIF($A$6:$A$504,A43)&gt;1,"⚠ Duplicate",""))</f>
        <v/>
      </c>
      <c r="AD43" s="42" t="n">
        <v>0.052</v>
      </c>
      <c r="AE43" s="42" t="n">
        <v>0.052</v>
      </c>
      <c r="AF43" s="42" t="n">
        <v>0.052</v>
      </c>
      <c r="AG43" s="42" t="n">
        <v>0.008</v>
      </c>
      <c r="AH43" s="42" t="n">
        <v>0.022</v>
      </c>
      <c r="AI43" s="42" t="n">
        <v>0.01</v>
      </c>
      <c r="AJ43" s="42" t="n">
        <v>0.01</v>
      </c>
      <c r="AK43" s="42" t="n">
        <v>0.031</v>
      </c>
      <c r="AL43" s="42" t="n">
        <v>0.031</v>
      </c>
      <c r="AM43" s="42" t="n">
        <v>0.031</v>
      </c>
      <c r="AN43" s="42" t="n">
        <v>0.038</v>
      </c>
      <c r="AO43" s="42" t="n">
        <v>0.038</v>
      </c>
      <c r="AP43" s="42" t="n">
        <v>0</v>
      </c>
      <c r="AQ43" s="37" t="n">
        <v>0.001</v>
      </c>
      <c r="AR43" s="10" t="n"/>
    </row>
    <row r="44" ht="18" customHeight="1" s="74">
      <c r="A44" s="32" t="inlineStr">
        <is>
          <t>SC22176</t>
        </is>
      </c>
      <c r="B44" s="32" t="inlineStr">
        <is>
          <t>Zuellig Cebu</t>
        </is>
      </c>
      <c r="C44" s="32" t="inlineStr">
        <is>
          <t>Philipines ASIA</t>
        </is>
      </c>
      <c r="D44" s="32" t="inlineStr">
        <is>
          <t>Others/complex</t>
        </is>
      </c>
      <c r="E44" s="33" t="n">
        <v>2025</v>
      </c>
      <c r="F44" s="33" t="inlineStr">
        <is>
          <t>Yes</t>
        </is>
      </c>
      <c r="G44" s="33" t="n">
        <v>0</v>
      </c>
      <c r="H44" s="33" t="n">
        <v>0</v>
      </c>
      <c r="I44" s="33" t="n">
        <v>0</v>
      </c>
      <c r="J44" s="33" t="n">
        <v>0</v>
      </c>
      <c r="K44" s="33" t="n">
        <v>0</v>
      </c>
      <c r="L44" s="33" t="n">
        <v>0</v>
      </c>
      <c r="M44" s="33" t="n">
        <v>0</v>
      </c>
      <c r="N44" s="33" t="n">
        <v>0</v>
      </c>
      <c r="O44" s="33" t="n">
        <v>230</v>
      </c>
      <c r="P44" s="33" t="n">
        <v>0</v>
      </c>
      <c r="Q44" s="33" t="n">
        <v>7</v>
      </c>
      <c r="R44" s="33" t="n">
        <v>7</v>
      </c>
      <c r="S44" s="33" t="n">
        <v>7</v>
      </c>
      <c r="T44" s="33" t="n">
        <v>20</v>
      </c>
      <c r="U44" s="33" t="n">
        <v>28</v>
      </c>
      <c r="V44" s="33" t="n">
        <v>13</v>
      </c>
      <c r="W44" s="34" t="n">
        <v>53</v>
      </c>
      <c r="X44" s="33" t="inlineStr">
        <is>
          <t>USD</t>
        </is>
      </c>
      <c r="Y44" s="40" t="n">
        <v>1.5</v>
      </c>
      <c r="Z44" s="158">
        <f>IF(OR(Y44="",X44=""),"",IFERROR(Y44*INDEX(FXRates[USD per unit],MATCH(X44,FXRates[Currency],0)),"No rate"))</f>
        <v/>
      </c>
      <c r="AA44" s="32" t="inlineStr">
        <is>
          <t>MCS</t>
        </is>
      </c>
      <c r="AB44" s="32" t="inlineStr">
        <is>
          <t>Zone Route Picking</t>
        </is>
      </c>
      <c r="AC44" s="36">
        <f>IF(A44="","",IF(COUNTIF($A$6:$A$504,A44)&gt;1,"⚠ Duplicate",""))</f>
        <v/>
      </c>
      <c r="AD44" s="37" t="n">
        <v>0</v>
      </c>
      <c r="AE44" s="37" t="n">
        <v>0</v>
      </c>
      <c r="AF44" s="37" t="n">
        <v>0</v>
      </c>
      <c r="AG44" s="37" t="n">
        <v>0</v>
      </c>
      <c r="AH44" s="37" t="n">
        <v>0</v>
      </c>
      <c r="AI44" s="37" t="n">
        <v>0</v>
      </c>
      <c r="AJ44" s="37" t="n">
        <v>0</v>
      </c>
      <c r="AK44" s="37" t="n">
        <v>0</v>
      </c>
      <c r="AL44" s="37" t="n">
        <v>0</v>
      </c>
      <c r="AM44" s="37" t="n">
        <v>0</v>
      </c>
      <c r="AN44" s="37" t="n">
        <v>0</v>
      </c>
      <c r="AO44" s="37" t="n">
        <v>0</v>
      </c>
      <c r="AP44" s="37" t="n">
        <v>0</v>
      </c>
      <c r="AQ44" s="37" t="n">
        <v>0</v>
      </c>
      <c r="AR44" s="10" t="n"/>
    </row>
    <row r="45" ht="18" customHeight="1" s="74">
      <c r="A45" s="38" t="inlineStr">
        <is>
          <t>SC22185</t>
        </is>
      </c>
      <c r="B45" s="38" t="inlineStr">
        <is>
          <t>Starlux Taoyuan</t>
        </is>
      </c>
      <c r="C45" s="38" t="inlineStr">
        <is>
          <t>Taiwan ASIA</t>
        </is>
      </c>
      <c r="D45" s="38" t="inlineStr">
        <is>
          <t>Others/complex</t>
        </is>
      </c>
      <c r="E45" s="39" t="n">
        <v>2025</v>
      </c>
      <c r="F45" s="39" t="inlineStr">
        <is>
          <t>Yes</t>
        </is>
      </c>
      <c r="G45" s="39" t="n">
        <v>64</v>
      </c>
      <c r="H45" s="39" t="n">
        <v>7000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6</v>
      </c>
      <c r="N45" s="39" t="n">
        <v>900</v>
      </c>
      <c r="O45" s="39" t="n">
        <v>473</v>
      </c>
      <c r="P45" s="39" t="n">
        <v>200</v>
      </c>
      <c r="Q45" s="39" t="n">
        <v>58</v>
      </c>
      <c r="R45" s="39" t="n">
        <v>44</v>
      </c>
      <c r="S45" s="39" t="n">
        <v>27</v>
      </c>
      <c r="T45" s="39" t="n">
        <v>39</v>
      </c>
      <c r="U45" s="39" t="n">
        <v>30</v>
      </c>
      <c r="V45" s="39" t="n">
        <v>33</v>
      </c>
      <c r="W45" s="34" t="n">
        <v>107</v>
      </c>
      <c r="X45" s="39" t="inlineStr">
        <is>
          <t>USD</t>
        </is>
      </c>
      <c r="Y45" s="40" t="n">
        <v>11.9</v>
      </c>
      <c r="Z45" s="158">
        <f>IF(OR(Y45="",X45=""),"",IFERROR(Y45*INDEX(FXRates[USD per unit],MATCH(X45,FXRates[Currency],0)),"No rate"))</f>
        <v/>
      </c>
      <c r="AA45" s="38" t="inlineStr">
        <is>
          <t>ML SRM MCS BK25 DMS</t>
        </is>
      </c>
      <c r="AB45" s="38" t="inlineStr">
        <is>
          <t>2 Aisle Miniload</t>
        </is>
      </c>
      <c r="AC45" s="41">
        <f>IF(A45="","",IF(COUNTIF($A$6:$A$504,A45)&gt;1,"⚠ Duplicate",""))</f>
        <v/>
      </c>
      <c r="AD45" s="37" t="n">
        <v>0</v>
      </c>
      <c r="AE45" s="37" t="n">
        <v>0</v>
      </c>
      <c r="AF45" s="37" t="n">
        <v>0</v>
      </c>
      <c r="AG45" s="37" t="n">
        <v>0</v>
      </c>
      <c r="AH45" s="37" t="n">
        <v>0</v>
      </c>
      <c r="AI45" s="37" t="n">
        <v>0</v>
      </c>
      <c r="AJ45" s="37" t="n">
        <v>0</v>
      </c>
      <c r="AK45" s="37" t="n">
        <v>0</v>
      </c>
      <c r="AL45" s="37" t="n">
        <v>0</v>
      </c>
      <c r="AM45" s="37" t="n">
        <v>0</v>
      </c>
      <c r="AN45" s="37" t="n">
        <v>0</v>
      </c>
      <c r="AO45" s="37" t="n">
        <v>0</v>
      </c>
      <c r="AP45" s="37" t="n">
        <v>0</v>
      </c>
      <c r="AQ45" s="37" t="n">
        <v>0</v>
      </c>
      <c r="AR45" s="10" t="n"/>
    </row>
    <row r="46" ht="18" customHeight="1" s="74">
      <c r="A46" s="38" t="n"/>
      <c r="B46" s="38" t="n"/>
      <c r="C46" s="38" t="n"/>
      <c r="D46" s="38" t="n"/>
      <c r="E46" s="39" t="n"/>
      <c r="F46" s="39" t="n"/>
      <c r="G46" s="39" t="n"/>
      <c r="H46" s="39" t="n"/>
      <c r="I46" s="39" t="n"/>
      <c r="J46" s="39" t="n"/>
      <c r="K46" s="39" t="n"/>
      <c r="L46" s="3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  <c r="V46" s="39" t="n"/>
      <c r="W46" s="34" t="n"/>
      <c r="X46" s="39" t="n"/>
      <c r="Y46" s="40" t="n"/>
      <c r="Z46" s="158">
        <f>IF(OR(Y46="",X46=""),"",IFERROR(Y46*INDEX(FXRates[USD per unit],MATCH(X46,FXRates[Currency],0)),"No rate"))</f>
        <v/>
      </c>
      <c r="AA46" s="38" t="n"/>
      <c r="AB46" s="38" t="n"/>
      <c r="AC46" s="41">
        <f>IF(A46="","",IF(COUNTIF($A$6:$A$504,A46)&gt;1,"⚠ Duplicate",""))</f>
        <v/>
      </c>
      <c r="AD46" s="42" t="n"/>
      <c r="AE46" s="42" t="n"/>
      <c r="AF46" s="42" t="n"/>
      <c r="AG46" s="42" t="n"/>
      <c r="AH46" s="42" t="n"/>
      <c r="AI46" s="42" t="n"/>
      <c r="AJ46" s="42" t="n"/>
      <c r="AK46" s="42" t="n"/>
      <c r="AL46" s="42" t="n"/>
      <c r="AM46" s="42" t="n"/>
      <c r="AN46" s="42" t="n"/>
      <c r="AO46" s="42" t="n"/>
      <c r="AP46" s="42" t="n"/>
      <c r="AQ46" s="42" t="n"/>
    </row>
    <row r="47" ht="18" customHeight="1" s="74">
      <c r="A47" s="32" t="n"/>
      <c r="B47" s="32" t="n"/>
      <c r="C47" s="32" t="n"/>
      <c r="D47" s="32" t="n"/>
      <c r="E47" s="33" t="n"/>
      <c r="F47" s="33" t="n"/>
      <c r="G47" s="33" t="n"/>
      <c r="H47" s="33" t="n"/>
      <c r="I47" s="33" t="n"/>
      <c r="J47" s="33" t="n"/>
      <c r="K47" s="33" t="n"/>
      <c r="L47" s="33" t="n"/>
      <c r="M47" s="33" t="n"/>
      <c r="N47" s="33" t="n"/>
      <c r="O47" s="33" t="n"/>
      <c r="P47" s="33" t="n"/>
      <c r="Q47" s="33" t="n"/>
      <c r="R47" s="33" t="n"/>
      <c r="S47" s="33" t="n"/>
      <c r="T47" s="33" t="n"/>
      <c r="U47" s="33" t="n"/>
      <c r="V47" s="33" t="n"/>
      <c r="W47" s="34" t="n"/>
      <c r="X47" s="33" t="n"/>
      <c r="Y47" s="35" t="n"/>
      <c r="Z47" s="157">
        <f>IF(OR(Y47="",X47=""),"",IFERROR(Y47*INDEX(FXRates[USD per unit],MATCH(X47,FXRates[Currency],0)),"No rate"))</f>
        <v/>
      </c>
      <c r="AA47" s="32" t="n"/>
      <c r="AB47" s="32" t="n"/>
      <c r="AC47" s="36">
        <f>IF(A47="","",IF(COUNTIF($A$6:$A$504,A47)&gt;1,"⚠ Duplicate",""))</f>
        <v/>
      </c>
      <c r="AD47" s="43" t="n"/>
      <c r="AE47" s="43" t="n"/>
      <c r="AF47" s="43" t="n"/>
      <c r="AG47" s="43" t="n"/>
      <c r="AH47" s="43" t="n"/>
      <c r="AI47" s="43" t="n"/>
      <c r="AJ47" s="43" t="n"/>
      <c r="AK47" s="43" t="n"/>
      <c r="AL47" s="43" t="n"/>
      <c r="AM47" s="43" t="n"/>
      <c r="AN47" s="43" t="n"/>
      <c r="AO47" s="43" t="n"/>
      <c r="AP47" s="43" t="n"/>
      <c r="AQ47" s="43" t="n"/>
    </row>
    <row r="48" ht="18" customHeight="1" s="74">
      <c r="A48" s="38" t="n"/>
      <c r="B48" s="38" t="n"/>
      <c r="C48" s="38" t="n"/>
      <c r="D48" s="38" t="n"/>
      <c r="E48" s="39" t="n"/>
      <c r="F48" s="39" t="n"/>
      <c r="G48" s="39" t="n"/>
      <c r="H48" s="39" t="n"/>
      <c r="I48" s="39" t="n"/>
      <c r="J48" s="39" t="n"/>
      <c r="K48" s="39" t="n"/>
      <c r="L48" s="3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  <c r="V48" s="39" t="n"/>
      <c r="W48" s="34" t="n"/>
      <c r="X48" s="39" t="n"/>
      <c r="Y48" s="40" t="n"/>
      <c r="Z48" s="158">
        <f>IF(OR(Y48="",X48=""),"",IFERROR(Y48*INDEX(FXRates[USD per unit],MATCH(X48,FXRates[Currency],0)),"No rate"))</f>
        <v/>
      </c>
      <c r="AA48" s="38" t="n"/>
      <c r="AB48" s="38" t="n"/>
      <c r="AC48" s="41">
        <f>IF(A48="","",IF(COUNTIF($A$6:$A$504,A48)&gt;1,"⚠ Duplicate",""))</f>
        <v/>
      </c>
      <c r="AD48" s="42" t="n"/>
      <c r="AE48" s="42" t="n"/>
      <c r="AF48" s="42" t="n"/>
      <c r="AG48" s="42" t="n"/>
      <c r="AH48" s="42" t="n"/>
      <c r="AI48" s="42" t="n"/>
      <c r="AJ48" s="42" t="n"/>
      <c r="AK48" s="42" t="n"/>
      <c r="AL48" s="42" t="n"/>
      <c r="AM48" s="42" t="n"/>
      <c r="AN48" s="42" t="n"/>
      <c r="AO48" s="42" t="n"/>
      <c r="AP48" s="42" t="n"/>
      <c r="AQ48" s="42" t="n"/>
    </row>
    <row r="49" ht="18" customHeight="1" s="74">
      <c r="A49" s="32" t="n"/>
      <c r="B49" s="32" t="n"/>
      <c r="C49" s="32" t="n"/>
      <c r="D49" s="32" t="n"/>
      <c r="E49" s="33" t="n"/>
      <c r="F49" s="33" t="n"/>
      <c r="G49" s="33" t="n"/>
      <c r="H49" s="33" t="n"/>
      <c r="I49" s="33" t="n"/>
      <c r="J49" s="33" t="n"/>
      <c r="K49" s="33" t="n"/>
      <c r="L49" s="33" t="n"/>
      <c r="M49" s="33" t="n"/>
      <c r="N49" s="33" t="n"/>
      <c r="O49" s="33" t="n"/>
      <c r="P49" s="33" t="n"/>
      <c r="Q49" s="33" t="n"/>
      <c r="R49" s="33" t="n"/>
      <c r="S49" s="33" t="n"/>
      <c r="T49" s="33" t="n"/>
      <c r="U49" s="33" t="n"/>
      <c r="V49" s="33" t="n"/>
      <c r="W49" s="34" t="n"/>
      <c r="X49" s="33" t="n"/>
      <c r="Y49" s="35" t="n"/>
      <c r="Z49" s="157">
        <f>IF(OR(Y49="",X49=""),"",IFERROR(Y49*INDEX(FXRates[USD per unit],MATCH(X49,FXRates[Currency],0)),"No rate"))</f>
        <v/>
      </c>
      <c r="AA49" s="32" t="n"/>
      <c r="AB49" s="32" t="n"/>
      <c r="AC49" s="36">
        <f>IF(A49="","",IF(COUNTIF($A$6:$A$504,A49)&gt;1,"⚠ Duplicate",""))</f>
        <v/>
      </c>
      <c r="AD49" s="43" t="n"/>
      <c r="AE49" s="43" t="n"/>
      <c r="AF49" s="43" t="n"/>
      <c r="AG49" s="43" t="n"/>
      <c r="AH49" s="43" t="n"/>
      <c r="AI49" s="43" t="n"/>
      <c r="AJ49" s="43" t="n"/>
      <c r="AK49" s="43" t="n"/>
      <c r="AL49" s="43" t="n"/>
      <c r="AM49" s="43" t="n"/>
      <c r="AN49" s="43" t="n"/>
      <c r="AO49" s="43" t="n"/>
      <c r="AP49" s="43" t="n"/>
      <c r="AQ49" s="43" t="n"/>
    </row>
    <row r="50" ht="18" customHeight="1" s="74">
      <c r="A50" s="38" t="n"/>
      <c r="B50" s="38" t="n"/>
      <c r="C50" s="38" t="n"/>
      <c r="D50" s="38" t="n"/>
      <c r="E50" s="39" t="n"/>
      <c r="F50" s="39" t="n"/>
      <c r="G50" s="39" t="n"/>
      <c r="H50" s="39" t="n"/>
      <c r="I50" s="39" t="n"/>
      <c r="J50" s="39" t="n"/>
      <c r="K50" s="39" t="n"/>
      <c r="L50" s="3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  <c r="V50" s="39" t="n"/>
      <c r="W50" s="34" t="n"/>
      <c r="X50" s="39" t="n"/>
      <c r="Y50" s="40" t="n"/>
      <c r="Z50" s="158">
        <f>IF(OR(Y50="",X50=""),"",IFERROR(Y50*INDEX(FXRates[USD per unit],MATCH(X50,FXRates[Currency],0)),"No rate"))</f>
        <v/>
      </c>
      <c r="AA50" s="38" t="n"/>
      <c r="AB50" s="38" t="n"/>
      <c r="AC50" s="41">
        <f>IF(A50="","",IF(COUNTIF($A$6:$A$504,A50)&gt;1,"⚠ Duplicate",""))</f>
        <v/>
      </c>
      <c r="AD50" s="42" t="n"/>
      <c r="AE50" s="42" t="n"/>
      <c r="AF50" s="42" t="n"/>
      <c r="AG50" s="42" t="n"/>
      <c r="AH50" s="42" t="n"/>
      <c r="AI50" s="42" t="n"/>
      <c r="AJ50" s="42" t="n"/>
      <c r="AK50" s="42" t="n"/>
      <c r="AL50" s="42" t="n"/>
      <c r="AM50" s="42" t="n"/>
      <c r="AN50" s="42" t="n"/>
      <c r="AO50" s="42" t="n"/>
      <c r="AP50" s="42" t="n"/>
      <c r="AQ50" s="42" t="n"/>
    </row>
    <row r="51" ht="18" customHeight="1" s="74">
      <c r="A51" s="32" t="n"/>
      <c r="B51" s="32" t="n"/>
      <c r="C51" s="32" t="n"/>
      <c r="D51" s="32" t="n"/>
      <c r="E51" s="33" t="n"/>
      <c r="F51" s="33" t="n"/>
      <c r="G51" s="33" t="n"/>
      <c r="H51" s="33" t="n"/>
      <c r="I51" s="33" t="n"/>
      <c r="J51" s="33" t="n"/>
      <c r="K51" s="33" t="n"/>
      <c r="L51" s="33" t="n"/>
      <c r="M51" s="33" t="n"/>
      <c r="N51" s="33" t="n"/>
      <c r="O51" s="33" t="n"/>
      <c r="P51" s="33" t="n"/>
      <c r="Q51" s="33" t="n"/>
      <c r="R51" s="33" t="n"/>
      <c r="S51" s="33" t="n"/>
      <c r="T51" s="33" t="n"/>
      <c r="U51" s="33" t="n"/>
      <c r="V51" s="33" t="n"/>
      <c r="W51" s="34" t="n"/>
      <c r="X51" s="33" t="n"/>
      <c r="Y51" s="35" t="n"/>
      <c r="Z51" s="157">
        <f>IF(OR(Y51="",X51=""),"",IFERROR(Y51*INDEX(FXRates[USD per unit],MATCH(X51,FXRates[Currency],0)),"No rate"))</f>
        <v/>
      </c>
      <c r="AA51" s="32" t="n"/>
      <c r="AB51" s="32" t="n"/>
      <c r="AC51" s="36">
        <f>IF(A51="","",IF(COUNTIF($A$6:$A$504,A51)&gt;1,"⚠ Duplicate",""))</f>
        <v/>
      </c>
      <c r="AD51" s="43" t="n"/>
      <c r="AE51" s="43" t="n"/>
      <c r="AF51" s="43" t="n"/>
      <c r="AG51" s="43" t="n"/>
      <c r="AH51" s="43" t="n"/>
      <c r="AI51" s="43" t="n"/>
      <c r="AJ51" s="43" t="n"/>
      <c r="AK51" s="43" t="n"/>
      <c r="AL51" s="43" t="n"/>
      <c r="AM51" s="43" t="n"/>
      <c r="AN51" s="43" t="n"/>
      <c r="AO51" s="43" t="n"/>
      <c r="AP51" s="43" t="n"/>
      <c r="AQ51" s="43" t="n"/>
    </row>
    <row r="52" ht="18" customHeight="1" s="74">
      <c r="A52" s="38" t="n"/>
      <c r="B52" s="38" t="n"/>
      <c r="C52" s="38" t="n"/>
      <c r="D52" s="38" t="n"/>
      <c r="E52" s="39" t="n"/>
      <c r="F52" s="39" t="n"/>
      <c r="G52" s="39" t="n"/>
      <c r="H52" s="39" t="n"/>
      <c r="I52" s="39" t="n"/>
      <c r="J52" s="39" t="n"/>
      <c r="K52" s="39" t="n"/>
      <c r="L52" s="3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  <c r="V52" s="39" t="n"/>
      <c r="W52" s="34" t="n"/>
      <c r="X52" s="39" t="n"/>
      <c r="Y52" s="40" t="n"/>
      <c r="Z52" s="158">
        <f>IF(OR(Y52="",X52=""),"",IFERROR(Y52*INDEX(FXRates[USD per unit],MATCH(X52,FXRates[Currency],0)),"No rate"))</f>
        <v/>
      </c>
      <c r="AA52" s="38" t="n"/>
      <c r="AB52" s="38" t="n"/>
      <c r="AC52" s="41">
        <f>IF(A52="","",IF(COUNTIF($A$6:$A$504,A52)&gt;1,"⚠ Duplicate",""))</f>
        <v/>
      </c>
      <c r="AD52" s="42" t="n"/>
      <c r="AE52" s="42" t="n"/>
      <c r="AF52" s="42" t="n"/>
      <c r="AG52" s="42" t="n"/>
      <c r="AH52" s="42" t="n"/>
      <c r="AI52" s="42" t="n"/>
      <c r="AJ52" s="42" t="n"/>
      <c r="AK52" s="42" t="n"/>
      <c r="AL52" s="42" t="n"/>
      <c r="AM52" s="42" t="n"/>
      <c r="AN52" s="42" t="n"/>
      <c r="AO52" s="42" t="n"/>
      <c r="AP52" s="42" t="n"/>
      <c r="AQ52" s="42" t="n"/>
    </row>
    <row r="53" ht="18" customHeight="1" s="74">
      <c r="A53" s="32" t="n"/>
      <c r="B53" s="32" t="n"/>
      <c r="C53" s="32" t="n"/>
      <c r="D53" s="32" t="n"/>
      <c r="E53" s="33" t="n"/>
      <c r="F53" s="33" t="n"/>
      <c r="G53" s="33" t="n"/>
      <c r="H53" s="33" t="n"/>
      <c r="I53" s="33" t="n"/>
      <c r="J53" s="33" t="n"/>
      <c r="K53" s="33" t="n"/>
      <c r="L53" s="33" t="n"/>
      <c r="M53" s="33" t="n"/>
      <c r="N53" s="33" t="n"/>
      <c r="O53" s="33" t="n"/>
      <c r="P53" s="33" t="n"/>
      <c r="Q53" s="33" t="n"/>
      <c r="R53" s="33" t="n"/>
      <c r="S53" s="33" t="n"/>
      <c r="T53" s="33" t="n"/>
      <c r="U53" s="33" t="n"/>
      <c r="V53" s="33" t="n"/>
      <c r="W53" s="34" t="n"/>
      <c r="X53" s="33" t="n"/>
      <c r="Y53" s="35" t="n"/>
      <c r="Z53" s="157">
        <f>IF(OR(Y53="",X53=""),"",IFERROR(Y53*INDEX(FXRates[USD per unit],MATCH(X53,FXRates[Currency],0)),"No rate"))</f>
        <v/>
      </c>
      <c r="AA53" s="32" t="n"/>
      <c r="AB53" s="32" t="n"/>
      <c r="AC53" s="36">
        <f>IF(A53="","",IF(COUNTIF($A$6:$A$504,A53)&gt;1,"⚠ Duplicate",""))</f>
        <v/>
      </c>
      <c r="AD53" s="43" t="n"/>
      <c r="AE53" s="43" t="n"/>
      <c r="AF53" s="43" t="n"/>
      <c r="AG53" s="43" t="n"/>
      <c r="AH53" s="43" t="n"/>
      <c r="AI53" s="43" t="n"/>
      <c r="AJ53" s="43" t="n"/>
      <c r="AK53" s="43" t="n"/>
      <c r="AL53" s="43" t="n"/>
      <c r="AM53" s="43" t="n"/>
      <c r="AN53" s="43" t="n"/>
      <c r="AO53" s="43" t="n"/>
      <c r="AP53" s="43" t="n"/>
      <c r="AQ53" s="43" t="n"/>
    </row>
    <row r="54" ht="18" customHeight="1" s="74">
      <c r="A54" s="38" t="n"/>
      <c r="B54" s="38" t="n"/>
      <c r="C54" s="38" t="n"/>
      <c r="D54" s="38" t="n"/>
      <c r="E54" s="39" t="n"/>
      <c r="F54" s="39" t="n"/>
      <c r="G54" s="39" t="n"/>
      <c r="H54" s="39" t="n"/>
      <c r="I54" s="39" t="n"/>
      <c r="J54" s="39" t="n"/>
      <c r="K54" s="39" t="n"/>
      <c r="L54" s="3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  <c r="V54" s="39" t="n"/>
      <c r="W54" s="34" t="n"/>
      <c r="X54" s="39" t="n"/>
      <c r="Y54" s="40" t="n"/>
      <c r="Z54" s="158">
        <f>IF(OR(Y54="",X54=""),"",IFERROR(Y54*INDEX(FXRates[USD per unit],MATCH(X54,FXRates[Currency],0)),"No rate"))</f>
        <v/>
      </c>
      <c r="AA54" s="38" t="n"/>
      <c r="AB54" s="38" t="n"/>
      <c r="AC54" s="41">
        <f>IF(A54="","",IF(COUNTIF($A$6:$A$504,A54)&gt;1,"⚠ Duplicate",""))</f>
        <v/>
      </c>
      <c r="AD54" s="42" t="n"/>
      <c r="AE54" s="42" t="n"/>
      <c r="AF54" s="42" t="n"/>
      <c r="AG54" s="42" t="n"/>
      <c r="AH54" s="42" t="n"/>
      <c r="AI54" s="42" t="n"/>
      <c r="AJ54" s="42" t="n"/>
      <c r="AK54" s="42" t="n"/>
      <c r="AL54" s="42" t="n"/>
      <c r="AM54" s="42" t="n"/>
      <c r="AN54" s="42" t="n"/>
      <c r="AO54" s="42" t="n"/>
      <c r="AP54" s="42" t="n"/>
      <c r="AQ54" s="42" t="n"/>
    </row>
    <row r="55" ht="18" customHeight="1" s="74">
      <c r="A55" s="32" t="n"/>
      <c r="B55" s="32" t="n"/>
      <c r="C55" s="32" t="n"/>
      <c r="D55" s="32" t="n"/>
      <c r="E55" s="33" t="n"/>
      <c r="F55" s="33" t="n"/>
      <c r="G55" s="33" t="n"/>
      <c r="H55" s="33" t="n"/>
      <c r="I55" s="33" t="n"/>
      <c r="J55" s="33" t="n"/>
      <c r="K55" s="33" t="n"/>
      <c r="L55" s="33" t="n"/>
      <c r="M55" s="33" t="n"/>
      <c r="N55" s="33" t="n"/>
      <c r="O55" s="33" t="n"/>
      <c r="P55" s="33" t="n"/>
      <c r="Q55" s="33" t="n"/>
      <c r="R55" s="33" t="n"/>
      <c r="S55" s="33" t="n"/>
      <c r="T55" s="33" t="n"/>
      <c r="U55" s="33" t="n"/>
      <c r="V55" s="33" t="n"/>
      <c r="W55" s="34" t="n"/>
      <c r="X55" s="33" t="n"/>
      <c r="Y55" s="35" t="n"/>
      <c r="Z55" s="157">
        <f>IF(OR(Y55="",X55=""),"",IFERROR(Y55*INDEX(FXRates[USD per unit],MATCH(X55,FXRates[Currency],0)),"No rate"))</f>
        <v/>
      </c>
      <c r="AA55" s="32" t="n"/>
      <c r="AB55" s="32" t="n"/>
      <c r="AC55" s="36">
        <f>IF(A55="","",IF(COUNTIF($A$6:$A$504,A55)&gt;1,"⚠ Duplicate",""))</f>
        <v/>
      </c>
      <c r="AD55" s="43" t="n"/>
      <c r="AE55" s="43" t="n"/>
      <c r="AF55" s="43" t="n"/>
      <c r="AG55" s="43" t="n"/>
      <c r="AH55" s="43" t="n"/>
      <c r="AI55" s="43" t="n"/>
      <c r="AJ55" s="43" t="n"/>
      <c r="AK55" s="43" t="n"/>
      <c r="AL55" s="43" t="n"/>
      <c r="AM55" s="43" t="n"/>
      <c r="AN55" s="43" t="n"/>
      <c r="AO55" s="43" t="n"/>
      <c r="AP55" s="43" t="n"/>
      <c r="AQ55" s="43" t="n"/>
    </row>
    <row r="56" ht="18" customHeight="1" s="74">
      <c r="A56" s="38" t="n"/>
      <c r="B56" s="38" t="n"/>
      <c r="C56" s="38" t="n"/>
      <c r="D56" s="38" t="n"/>
      <c r="E56" s="39" t="n"/>
      <c r="F56" s="39" t="n"/>
      <c r="G56" s="39" t="n"/>
      <c r="H56" s="39" t="n"/>
      <c r="I56" s="39" t="n"/>
      <c r="J56" s="39" t="n"/>
      <c r="K56" s="39" t="n"/>
      <c r="L56" s="3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  <c r="V56" s="39" t="n"/>
      <c r="W56" s="34" t="n"/>
      <c r="X56" s="39" t="n"/>
      <c r="Y56" s="40" t="n"/>
      <c r="Z56" s="158">
        <f>IF(OR(Y56="",X56=""),"",IFERROR(Y56*INDEX(FXRates[USD per unit],MATCH(X56,FXRates[Currency],0)),"No rate"))</f>
        <v/>
      </c>
      <c r="AA56" s="38" t="n"/>
      <c r="AB56" s="38" t="n"/>
      <c r="AC56" s="41">
        <f>IF(A56="","",IF(COUNTIF($A$6:$A$504,A56)&gt;1,"⚠ Duplicate",""))</f>
        <v/>
      </c>
      <c r="AD56" s="42" t="n"/>
      <c r="AE56" s="42" t="n"/>
      <c r="AF56" s="42" t="n"/>
      <c r="AG56" s="42" t="n"/>
      <c r="AH56" s="42" t="n"/>
      <c r="AI56" s="42" t="n"/>
      <c r="AJ56" s="42" t="n"/>
      <c r="AK56" s="42" t="n"/>
      <c r="AL56" s="42" t="n"/>
      <c r="AM56" s="42" t="n"/>
      <c r="AN56" s="42" t="n"/>
      <c r="AO56" s="42" t="n"/>
      <c r="AP56" s="42" t="n"/>
      <c r="AQ56" s="42" t="n"/>
    </row>
    <row r="57" ht="18" customHeight="1" s="74">
      <c r="A57" s="32" t="n"/>
      <c r="B57" s="32" t="n"/>
      <c r="C57" s="32" t="n"/>
      <c r="D57" s="32" t="n"/>
      <c r="E57" s="33" t="n"/>
      <c r="F57" s="33" t="n"/>
      <c r="G57" s="33" t="n"/>
      <c r="H57" s="33" t="n"/>
      <c r="I57" s="33" t="n"/>
      <c r="J57" s="33" t="n"/>
      <c r="K57" s="33" t="n"/>
      <c r="L57" s="33" t="n"/>
      <c r="M57" s="33" t="n"/>
      <c r="N57" s="33" t="n"/>
      <c r="O57" s="33" t="n"/>
      <c r="P57" s="33" t="n"/>
      <c r="Q57" s="33" t="n"/>
      <c r="R57" s="33" t="n"/>
      <c r="S57" s="33" t="n"/>
      <c r="T57" s="33" t="n"/>
      <c r="U57" s="33" t="n"/>
      <c r="V57" s="33" t="n"/>
      <c r="W57" s="34" t="n"/>
      <c r="X57" s="33" t="n"/>
      <c r="Y57" s="35" t="n"/>
      <c r="Z57" s="157">
        <f>IF(OR(Y57="",X57=""),"",IFERROR(Y57*INDEX(FXRates[USD per unit],MATCH(X57,FXRates[Currency],0)),"No rate"))</f>
        <v/>
      </c>
      <c r="AA57" s="32" t="n"/>
      <c r="AB57" s="32" t="n"/>
      <c r="AC57" s="36">
        <f>IF(A57="","",IF(COUNTIF($A$6:$A$504,A57)&gt;1,"⚠ Duplicate",""))</f>
        <v/>
      </c>
      <c r="AD57" s="43" t="n"/>
      <c r="AE57" s="43" t="n"/>
      <c r="AF57" s="43" t="n"/>
      <c r="AG57" s="43" t="n"/>
      <c r="AH57" s="43" t="n"/>
      <c r="AI57" s="43" t="n"/>
      <c r="AJ57" s="43" t="n"/>
      <c r="AK57" s="43" t="n"/>
      <c r="AL57" s="43" t="n"/>
      <c r="AM57" s="43" t="n"/>
      <c r="AN57" s="43" t="n"/>
      <c r="AO57" s="43" t="n"/>
      <c r="AP57" s="43" t="n"/>
      <c r="AQ57" s="43" t="n"/>
    </row>
    <row r="58" ht="18" customHeight="1" s="74">
      <c r="A58" s="38" t="n"/>
      <c r="B58" s="38" t="n"/>
      <c r="C58" s="38" t="n"/>
      <c r="D58" s="38" t="n"/>
      <c r="E58" s="39" t="n"/>
      <c r="F58" s="39" t="n"/>
      <c r="G58" s="39" t="n"/>
      <c r="H58" s="39" t="n"/>
      <c r="I58" s="39" t="n"/>
      <c r="J58" s="39" t="n"/>
      <c r="K58" s="39" t="n"/>
      <c r="L58" s="3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  <c r="V58" s="39" t="n"/>
      <c r="W58" s="34" t="n"/>
      <c r="X58" s="39" t="n"/>
      <c r="Y58" s="40" t="n"/>
      <c r="Z58" s="158">
        <f>IF(OR(Y58="",X58=""),"",IFERROR(Y58*INDEX(FXRates[USD per unit],MATCH(X58,FXRates[Currency],0)),"No rate"))</f>
        <v/>
      </c>
      <c r="AA58" s="38" t="n"/>
      <c r="AB58" s="38" t="n"/>
      <c r="AC58" s="41">
        <f>IF(A58="","",IF(COUNTIF($A$6:$A$504,A58)&gt;1,"⚠ Duplicate",""))</f>
        <v/>
      </c>
      <c r="AD58" s="42" t="n"/>
      <c r="AE58" s="42" t="n"/>
      <c r="AF58" s="42" t="n"/>
      <c r="AG58" s="42" t="n"/>
      <c r="AH58" s="42" t="n"/>
      <c r="AI58" s="42" t="n"/>
      <c r="AJ58" s="42" t="n"/>
      <c r="AK58" s="42" t="n"/>
      <c r="AL58" s="42" t="n"/>
      <c r="AM58" s="42" t="n"/>
      <c r="AN58" s="42" t="n"/>
      <c r="AO58" s="42" t="n"/>
      <c r="AP58" s="42" t="n"/>
      <c r="AQ58" s="42" t="n"/>
    </row>
    <row r="59" ht="18" customHeight="1" s="74">
      <c r="A59" s="32" t="n"/>
      <c r="B59" s="32" t="n"/>
      <c r="C59" s="32" t="n"/>
      <c r="D59" s="32" t="n"/>
      <c r="E59" s="33" t="n"/>
      <c r="F59" s="33" t="n"/>
      <c r="G59" s="33" t="n"/>
      <c r="H59" s="33" t="n"/>
      <c r="I59" s="33" t="n"/>
      <c r="J59" s="33" t="n"/>
      <c r="K59" s="33" t="n"/>
      <c r="L59" s="33" t="n"/>
      <c r="M59" s="33" t="n"/>
      <c r="N59" s="33" t="n"/>
      <c r="O59" s="33" t="n"/>
      <c r="P59" s="33" t="n"/>
      <c r="Q59" s="33" t="n"/>
      <c r="R59" s="33" t="n"/>
      <c r="S59" s="33" t="n"/>
      <c r="T59" s="33" t="n"/>
      <c r="U59" s="33" t="n"/>
      <c r="V59" s="33" t="n"/>
      <c r="W59" s="34" t="n"/>
      <c r="X59" s="33" t="n"/>
      <c r="Y59" s="35" t="n"/>
      <c r="Z59" s="157">
        <f>IF(OR(Y59="",X59=""),"",IFERROR(Y59*INDEX(FXRates[USD per unit],MATCH(X59,FXRates[Currency],0)),"No rate"))</f>
        <v/>
      </c>
      <c r="AA59" s="32" t="n"/>
      <c r="AB59" s="32" t="n"/>
      <c r="AC59" s="36">
        <f>IF(A59="","",IF(COUNTIF($A$6:$A$504,A59)&gt;1,"⚠ Duplicate",""))</f>
        <v/>
      </c>
      <c r="AD59" s="43" t="n"/>
      <c r="AE59" s="43" t="n"/>
      <c r="AF59" s="43" t="n"/>
      <c r="AG59" s="43" t="n"/>
      <c r="AH59" s="43" t="n"/>
      <c r="AI59" s="43" t="n"/>
      <c r="AJ59" s="43" t="n"/>
      <c r="AK59" s="43" t="n"/>
      <c r="AL59" s="43" t="n"/>
      <c r="AM59" s="43" t="n"/>
      <c r="AN59" s="43" t="n"/>
      <c r="AO59" s="43" t="n"/>
      <c r="AP59" s="43" t="n"/>
      <c r="AQ59" s="43" t="n"/>
    </row>
    <row r="60" ht="18" customHeight="1" s="74">
      <c r="A60" s="38" t="n"/>
      <c r="B60" s="38" t="n"/>
      <c r="C60" s="38" t="n"/>
      <c r="D60" s="38" t="n"/>
      <c r="E60" s="39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4" t="n"/>
      <c r="X60" s="39" t="n"/>
      <c r="Y60" s="40" t="n"/>
      <c r="Z60" s="158">
        <f>IF(OR(Y60="",X60=""),"",IFERROR(Y60*INDEX(FXRates[USD per unit],MATCH(X60,FXRates[Currency],0)),"No rate"))</f>
        <v/>
      </c>
      <c r="AA60" s="38" t="n"/>
      <c r="AB60" s="38" t="n"/>
      <c r="AC60" s="41">
        <f>IF(A60="","",IF(COUNTIF($A$6:$A$504,A60)&gt;1,"⚠ Duplicate",""))</f>
        <v/>
      </c>
      <c r="AD60" s="42" t="n"/>
      <c r="AE60" s="42" t="n"/>
      <c r="AF60" s="42" t="n"/>
      <c r="AG60" s="42" t="n"/>
      <c r="AH60" s="42" t="n"/>
      <c r="AI60" s="42" t="n"/>
      <c r="AJ60" s="42" t="n"/>
      <c r="AK60" s="42" t="n"/>
      <c r="AL60" s="42" t="n"/>
      <c r="AM60" s="42" t="n"/>
      <c r="AN60" s="42" t="n"/>
      <c r="AO60" s="42" t="n"/>
      <c r="AP60" s="42" t="n"/>
      <c r="AQ60" s="42" t="n"/>
    </row>
    <row r="61" ht="18" customHeight="1" s="74">
      <c r="A61" s="32" t="n"/>
      <c r="B61" s="32" t="n"/>
      <c r="C61" s="32" t="n"/>
      <c r="D61" s="32" t="n"/>
      <c r="E61" s="33" t="n"/>
      <c r="F61" s="33" t="n"/>
      <c r="G61" s="33" t="n"/>
      <c r="H61" s="33" t="n"/>
      <c r="I61" s="33" t="n"/>
      <c r="J61" s="33" t="n"/>
      <c r="K61" s="33" t="n"/>
      <c r="L61" s="33" t="n"/>
      <c r="M61" s="33" t="n"/>
      <c r="N61" s="33" t="n"/>
      <c r="O61" s="33" t="n"/>
      <c r="P61" s="33" t="n"/>
      <c r="Q61" s="33" t="n"/>
      <c r="R61" s="33" t="n"/>
      <c r="S61" s="33" t="n"/>
      <c r="T61" s="33" t="n"/>
      <c r="U61" s="33" t="n"/>
      <c r="V61" s="33" t="n"/>
      <c r="W61" s="34" t="n"/>
      <c r="X61" s="33" t="n"/>
      <c r="Y61" s="35" t="n"/>
      <c r="Z61" s="157">
        <f>IF(OR(Y61="",X61=""),"",IFERROR(Y61*INDEX(FXRates[USD per unit],MATCH(X61,FXRates[Currency],0)),"No rate"))</f>
        <v/>
      </c>
      <c r="AA61" s="32" t="n"/>
      <c r="AB61" s="32" t="n"/>
      <c r="AC61" s="36">
        <f>IF(A61="","",IF(COUNTIF($A$6:$A$504,A61)&gt;1,"⚠ Duplicate",""))</f>
        <v/>
      </c>
      <c r="AD61" s="43" t="n"/>
      <c r="AE61" s="43" t="n"/>
      <c r="AF61" s="43" t="n"/>
      <c r="AG61" s="43" t="n"/>
      <c r="AH61" s="43" t="n"/>
      <c r="AI61" s="43" t="n"/>
      <c r="AJ61" s="43" t="n"/>
      <c r="AK61" s="43" t="n"/>
      <c r="AL61" s="43" t="n"/>
      <c r="AM61" s="43" t="n"/>
      <c r="AN61" s="43" t="n"/>
      <c r="AO61" s="43" t="n"/>
      <c r="AP61" s="43" t="n"/>
      <c r="AQ61" s="43" t="n"/>
    </row>
    <row r="62" ht="18" customHeight="1" s="74">
      <c r="A62" s="38" t="n"/>
      <c r="B62" s="38" t="n"/>
      <c r="C62" s="38" t="n"/>
      <c r="D62" s="38" t="n"/>
      <c r="E62" s="39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4" t="n"/>
      <c r="X62" s="39" t="n"/>
      <c r="Y62" s="40" t="n"/>
      <c r="Z62" s="158">
        <f>IF(OR(Y62="",X62=""),"",IFERROR(Y62*INDEX(FXRates[USD per unit],MATCH(X62,FXRates[Currency],0)),"No rate"))</f>
        <v/>
      </c>
      <c r="AA62" s="38" t="n"/>
      <c r="AB62" s="38" t="n"/>
      <c r="AC62" s="41">
        <f>IF(A62="","",IF(COUNTIF($A$6:$A$504,A62)&gt;1,"⚠ Duplicate",""))</f>
        <v/>
      </c>
      <c r="AD62" s="42" t="n"/>
      <c r="AE62" s="42" t="n"/>
      <c r="AF62" s="42" t="n"/>
      <c r="AG62" s="42" t="n"/>
      <c r="AH62" s="42" t="n"/>
      <c r="AI62" s="42" t="n"/>
      <c r="AJ62" s="42" t="n"/>
      <c r="AK62" s="42" t="n"/>
      <c r="AL62" s="42" t="n"/>
      <c r="AM62" s="42" t="n"/>
      <c r="AN62" s="42" t="n"/>
      <c r="AO62" s="42" t="n"/>
      <c r="AP62" s="42" t="n"/>
      <c r="AQ62" s="42" t="n"/>
    </row>
    <row r="63" ht="18" customHeight="1" s="74">
      <c r="A63" s="32" t="n"/>
      <c r="B63" s="32" t="n"/>
      <c r="C63" s="32" t="n"/>
      <c r="D63" s="32" t="n"/>
      <c r="E63" s="33" t="n"/>
      <c r="F63" s="33" t="n"/>
      <c r="G63" s="33" t="n"/>
      <c r="H63" s="33" t="n"/>
      <c r="I63" s="33" t="n"/>
      <c r="J63" s="33" t="n"/>
      <c r="K63" s="33" t="n"/>
      <c r="L63" s="33" t="n"/>
      <c r="M63" s="33" t="n"/>
      <c r="N63" s="33" t="n"/>
      <c r="O63" s="33" t="n"/>
      <c r="P63" s="33" t="n"/>
      <c r="Q63" s="33" t="n"/>
      <c r="R63" s="33" t="n"/>
      <c r="S63" s="33" t="n"/>
      <c r="T63" s="33" t="n"/>
      <c r="U63" s="33" t="n"/>
      <c r="V63" s="33" t="n"/>
      <c r="W63" s="34" t="n"/>
      <c r="X63" s="33" t="n"/>
      <c r="Y63" s="35" t="n"/>
      <c r="Z63" s="157">
        <f>IF(OR(Y63="",X63=""),"",IFERROR(Y63*INDEX(FXRates[USD per unit],MATCH(X63,FXRates[Currency],0)),"No rate"))</f>
        <v/>
      </c>
      <c r="AA63" s="32" t="n"/>
      <c r="AB63" s="32" t="n"/>
      <c r="AC63" s="36">
        <f>IF(A63="","",IF(COUNTIF($A$6:$A$504,A63)&gt;1,"⚠ Duplicate",""))</f>
        <v/>
      </c>
      <c r="AD63" s="43" t="n"/>
      <c r="AE63" s="43" t="n"/>
      <c r="AF63" s="43" t="n"/>
      <c r="AG63" s="43" t="n"/>
      <c r="AH63" s="43" t="n"/>
      <c r="AI63" s="43" t="n"/>
      <c r="AJ63" s="43" t="n"/>
      <c r="AK63" s="43" t="n"/>
      <c r="AL63" s="43" t="n"/>
      <c r="AM63" s="43" t="n"/>
      <c r="AN63" s="43" t="n"/>
      <c r="AO63" s="43" t="n"/>
      <c r="AP63" s="43" t="n"/>
      <c r="AQ63" s="43" t="n"/>
    </row>
    <row r="64" ht="18" customHeight="1" s="74">
      <c r="A64" s="38" t="n"/>
      <c r="B64" s="38" t="n"/>
      <c r="C64" s="38" t="n"/>
      <c r="D64" s="38" t="n"/>
      <c r="E64" s="39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4" t="n"/>
      <c r="X64" s="39" t="n"/>
      <c r="Y64" s="40" t="n"/>
      <c r="Z64" s="158">
        <f>IF(OR(Y64="",X64=""),"",IFERROR(Y64*INDEX(FXRates[USD per unit],MATCH(X64,FXRates[Currency],0)),"No rate"))</f>
        <v/>
      </c>
      <c r="AA64" s="38" t="n"/>
      <c r="AB64" s="38" t="n"/>
      <c r="AC64" s="41">
        <f>IF(A64="","",IF(COUNTIF($A$6:$A$504,A64)&gt;1,"⚠ Duplicate",""))</f>
        <v/>
      </c>
      <c r="AD64" s="42" t="n"/>
      <c r="AE64" s="42" t="n"/>
      <c r="AF64" s="42" t="n"/>
      <c r="AG64" s="42" t="n"/>
      <c r="AH64" s="42" t="n"/>
      <c r="AI64" s="42" t="n"/>
      <c r="AJ64" s="42" t="n"/>
      <c r="AK64" s="42" t="n"/>
      <c r="AL64" s="42" t="n"/>
      <c r="AM64" s="42" t="n"/>
      <c r="AN64" s="42" t="n"/>
      <c r="AO64" s="42" t="n"/>
      <c r="AP64" s="42" t="n"/>
      <c r="AQ64" s="42" t="n"/>
    </row>
    <row r="65" ht="18" customHeight="1" s="74">
      <c r="A65" s="32" t="n"/>
      <c r="B65" s="32" t="n"/>
      <c r="C65" s="32" t="n"/>
      <c r="D65" s="32" t="n"/>
      <c r="E65" s="33" t="n"/>
      <c r="F65" s="33" t="n"/>
      <c r="G65" s="33" t="n"/>
      <c r="H65" s="33" t="n"/>
      <c r="I65" s="33" t="n"/>
      <c r="J65" s="33" t="n"/>
      <c r="K65" s="33" t="n"/>
      <c r="L65" s="33" t="n"/>
      <c r="M65" s="33" t="n"/>
      <c r="N65" s="33" t="n"/>
      <c r="O65" s="33" t="n"/>
      <c r="P65" s="33" t="n"/>
      <c r="Q65" s="33" t="n"/>
      <c r="R65" s="33" t="n"/>
      <c r="S65" s="33" t="n"/>
      <c r="T65" s="33" t="n"/>
      <c r="U65" s="33" t="n"/>
      <c r="V65" s="33" t="n"/>
      <c r="W65" s="34" t="n"/>
      <c r="X65" s="33" t="n"/>
      <c r="Y65" s="35" t="n"/>
      <c r="Z65" s="157">
        <f>IF(OR(Y65="",X65=""),"",IFERROR(Y65*INDEX(FXRates[USD per unit],MATCH(X65,FXRates[Currency],0)),"No rate"))</f>
        <v/>
      </c>
      <c r="AA65" s="32" t="n"/>
      <c r="AB65" s="32" t="n"/>
      <c r="AC65" s="36">
        <f>IF(A65="","",IF(COUNTIF($A$6:$A$504,A65)&gt;1,"⚠ Duplicate",""))</f>
        <v/>
      </c>
      <c r="AD65" s="43" t="n"/>
      <c r="AE65" s="43" t="n"/>
      <c r="AF65" s="43" t="n"/>
      <c r="AG65" s="43" t="n"/>
      <c r="AH65" s="43" t="n"/>
      <c r="AI65" s="43" t="n"/>
      <c r="AJ65" s="43" t="n"/>
      <c r="AK65" s="43" t="n"/>
      <c r="AL65" s="43" t="n"/>
      <c r="AM65" s="43" t="n"/>
      <c r="AN65" s="43" t="n"/>
      <c r="AO65" s="43" t="n"/>
      <c r="AP65" s="43" t="n"/>
      <c r="AQ65" s="43" t="n"/>
    </row>
    <row r="66" ht="18" customHeight="1" s="74">
      <c r="A66" s="38" t="n"/>
      <c r="B66" s="38" t="n"/>
      <c r="C66" s="38" t="n"/>
      <c r="D66" s="38" t="n"/>
      <c r="E66" s="39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4" t="n"/>
      <c r="X66" s="39" t="n"/>
      <c r="Y66" s="40" t="n"/>
      <c r="Z66" s="158">
        <f>IF(OR(Y66="",X66=""),"",IFERROR(Y66*INDEX(FXRates[USD per unit],MATCH(X66,FXRates[Currency],0)),"No rate"))</f>
        <v/>
      </c>
      <c r="AA66" s="38" t="n"/>
      <c r="AB66" s="38" t="n"/>
      <c r="AC66" s="41">
        <f>IF(A66="","",IF(COUNTIF($A$6:$A$504,A66)&gt;1,"⚠ Duplicate",""))</f>
        <v/>
      </c>
      <c r="AD66" s="42" t="n"/>
      <c r="AE66" s="42" t="n"/>
      <c r="AF66" s="42" t="n"/>
      <c r="AG66" s="42" t="n"/>
      <c r="AH66" s="42" t="n"/>
      <c r="AI66" s="42" t="n"/>
      <c r="AJ66" s="42" t="n"/>
      <c r="AK66" s="42" t="n"/>
      <c r="AL66" s="42" t="n"/>
      <c r="AM66" s="42" t="n"/>
      <c r="AN66" s="42" t="n"/>
      <c r="AO66" s="42" t="n"/>
      <c r="AP66" s="42" t="n"/>
      <c r="AQ66" s="42" t="n"/>
    </row>
    <row r="67" ht="18" customHeight="1" s="74">
      <c r="A67" s="32" t="n"/>
      <c r="B67" s="32" t="n"/>
      <c r="C67" s="32" t="n"/>
      <c r="D67" s="32" t="n"/>
      <c r="E67" s="33" t="n"/>
      <c r="F67" s="33" t="n"/>
      <c r="G67" s="33" t="n"/>
      <c r="H67" s="33" t="n"/>
      <c r="I67" s="33" t="n"/>
      <c r="J67" s="33" t="n"/>
      <c r="K67" s="33" t="n"/>
      <c r="L67" s="33" t="n"/>
      <c r="M67" s="33" t="n"/>
      <c r="N67" s="33" t="n"/>
      <c r="O67" s="33" t="n"/>
      <c r="P67" s="33" t="n"/>
      <c r="Q67" s="33" t="n"/>
      <c r="R67" s="33" t="n"/>
      <c r="S67" s="33" t="n"/>
      <c r="T67" s="33" t="n"/>
      <c r="U67" s="33" t="n"/>
      <c r="V67" s="33" t="n"/>
      <c r="W67" s="34" t="n"/>
      <c r="X67" s="33" t="n"/>
      <c r="Y67" s="35" t="n"/>
      <c r="Z67" s="157">
        <f>IF(OR(Y67="",X67=""),"",IFERROR(Y67*INDEX(FXRates[USD per unit],MATCH(X67,FXRates[Currency],0)),"No rate"))</f>
        <v/>
      </c>
      <c r="AA67" s="32" t="n"/>
      <c r="AB67" s="32" t="n"/>
      <c r="AC67" s="36">
        <f>IF(A67="","",IF(COUNTIF($A$6:$A$504,A67)&gt;1,"⚠ Duplicate",""))</f>
        <v/>
      </c>
      <c r="AD67" s="43" t="n"/>
      <c r="AE67" s="43" t="n"/>
      <c r="AF67" s="43" t="n"/>
      <c r="AG67" s="43" t="n"/>
      <c r="AH67" s="43" t="n"/>
      <c r="AI67" s="43" t="n"/>
      <c r="AJ67" s="43" t="n"/>
      <c r="AK67" s="43" t="n"/>
      <c r="AL67" s="43" t="n"/>
      <c r="AM67" s="43" t="n"/>
      <c r="AN67" s="43" t="n"/>
      <c r="AO67" s="43" t="n"/>
      <c r="AP67" s="43" t="n"/>
      <c r="AQ67" s="43" t="n"/>
    </row>
    <row r="68" ht="18" customHeight="1" s="74">
      <c r="A68" s="38" t="n"/>
      <c r="B68" s="38" t="n"/>
      <c r="C68" s="38" t="n"/>
      <c r="D68" s="38" t="n"/>
      <c r="E68" s="39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4" t="n"/>
      <c r="X68" s="39" t="n"/>
      <c r="Y68" s="40" t="n"/>
      <c r="Z68" s="158">
        <f>IF(OR(Y68="",X68=""),"",IFERROR(Y68*INDEX(FXRates[USD per unit],MATCH(X68,FXRates[Currency],0)),"No rate"))</f>
        <v/>
      </c>
      <c r="AA68" s="38" t="n"/>
      <c r="AB68" s="38" t="n"/>
      <c r="AC68" s="41">
        <f>IF(A68="","",IF(COUNTIF($A$6:$A$504,A68)&gt;1,"⚠ Duplicate",""))</f>
        <v/>
      </c>
      <c r="AD68" s="42" t="n"/>
      <c r="AE68" s="42" t="n"/>
      <c r="AF68" s="42" t="n"/>
      <c r="AG68" s="42" t="n"/>
      <c r="AH68" s="42" t="n"/>
      <c r="AI68" s="42" t="n"/>
      <c r="AJ68" s="42" t="n"/>
      <c r="AK68" s="42" t="n"/>
      <c r="AL68" s="42" t="n"/>
      <c r="AM68" s="42" t="n"/>
      <c r="AN68" s="42" t="n"/>
      <c r="AO68" s="42" t="n"/>
      <c r="AP68" s="42" t="n"/>
      <c r="AQ68" s="42" t="n"/>
    </row>
    <row r="69" ht="18" customHeight="1" s="74">
      <c r="A69" s="32" t="n"/>
      <c r="B69" s="32" t="n"/>
      <c r="C69" s="32" t="n"/>
      <c r="D69" s="32" t="n"/>
      <c r="E69" s="33" t="n"/>
      <c r="F69" s="33" t="n"/>
      <c r="G69" s="33" t="n"/>
      <c r="H69" s="33" t="n"/>
      <c r="I69" s="33" t="n"/>
      <c r="J69" s="33" t="n"/>
      <c r="K69" s="33" t="n"/>
      <c r="L69" s="33" t="n"/>
      <c r="M69" s="33" t="n"/>
      <c r="N69" s="33" t="n"/>
      <c r="O69" s="33" t="n"/>
      <c r="P69" s="33" t="n"/>
      <c r="Q69" s="33" t="n"/>
      <c r="R69" s="33" t="n"/>
      <c r="S69" s="33" t="n"/>
      <c r="T69" s="33" t="n"/>
      <c r="U69" s="33" t="n"/>
      <c r="V69" s="33" t="n"/>
      <c r="W69" s="34" t="n"/>
      <c r="X69" s="33" t="n"/>
      <c r="Y69" s="35" t="n"/>
      <c r="Z69" s="157">
        <f>IF(OR(Y69="",X69=""),"",IFERROR(Y69*INDEX(FXRates[USD per unit],MATCH(X69,FXRates[Currency],0)),"No rate"))</f>
        <v/>
      </c>
      <c r="AA69" s="32" t="n"/>
      <c r="AB69" s="32" t="n"/>
      <c r="AC69" s="36">
        <f>IF(A69="","",IF(COUNTIF($A$6:$A$504,A69)&gt;1,"⚠ Duplicate",""))</f>
        <v/>
      </c>
      <c r="AD69" s="43" t="n"/>
      <c r="AE69" s="43" t="n"/>
      <c r="AF69" s="43" t="n"/>
      <c r="AG69" s="43" t="n"/>
      <c r="AH69" s="43" t="n"/>
      <c r="AI69" s="43" t="n"/>
      <c r="AJ69" s="43" t="n"/>
      <c r="AK69" s="43" t="n"/>
      <c r="AL69" s="43" t="n"/>
      <c r="AM69" s="43" t="n"/>
      <c r="AN69" s="43" t="n"/>
      <c r="AO69" s="43" t="n"/>
      <c r="AP69" s="43" t="n"/>
      <c r="AQ69" s="43" t="n"/>
    </row>
    <row r="70" ht="18" customHeight="1" s="74">
      <c r="A70" s="38" t="n"/>
      <c r="B70" s="38" t="n"/>
      <c r="C70" s="38" t="n"/>
      <c r="D70" s="38" t="n"/>
      <c r="E70" s="39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4" t="n"/>
      <c r="X70" s="39" t="n"/>
      <c r="Y70" s="40" t="n"/>
      <c r="Z70" s="158">
        <f>IF(OR(Y70="",X70=""),"",IFERROR(Y70*INDEX(FXRates[USD per unit],MATCH(X70,FXRates[Currency],0)),"No rate"))</f>
        <v/>
      </c>
      <c r="AA70" s="38" t="n"/>
      <c r="AB70" s="38" t="n"/>
      <c r="AC70" s="41">
        <f>IF(A70="","",IF(COUNTIF($A$6:$A$504,A70)&gt;1,"⚠ Duplicate",""))</f>
        <v/>
      </c>
      <c r="AD70" s="42" t="n"/>
      <c r="AE70" s="42" t="n"/>
      <c r="AF70" s="42" t="n"/>
      <c r="AG70" s="42" t="n"/>
      <c r="AH70" s="42" t="n"/>
      <c r="AI70" s="42" t="n"/>
      <c r="AJ70" s="42" t="n"/>
      <c r="AK70" s="42" t="n"/>
      <c r="AL70" s="42" t="n"/>
      <c r="AM70" s="42" t="n"/>
      <c r="AN70" s="42" t="n"/>
      <c r="AO70" s="42" t="n"/>
      <c r="AP70" s="42" t="n"/>
      <c r="AQ70" s="42" t="n"/>
    </row>
    <row r="71" ht="18" customHeight="1" s="74">
      <c r="A71" s="32" t="n"/>
      <c r="B71" s="32" t="n"/>
      <c r="C71" s="32" t="n"/>
      <c r="D71" s="32" t="n"/>
      <c r="E71" s="33" t="n"/>
      <c r="F71" s="33" t="n"/>
      <c r="G71" s="33" t="n"/>
      <c r="H71" s="33" t="n"/>
      <c r="I71" s="33" t="n"/>
      <c r="J71" s="33" t="n"/>
      <c r="K71" s="33" t="n"/>
      <c r="L71" s="33" t="n"/>
      <c r="M71" s="33" t="n"/>
      <c r="N71" s="33" t="n"/>
      <c r="O71" s="33" t="n"/>
      <c r="P71" s="33" t="n"/>
      <c r="Q71" s="33" t="n"/>
      <c r="R71" s="33" t="n"/>
      <c r="S71" s="33" t="n"/>
      <c r="T71" s="33" t="n"/>
      <c r="U71" s="33" t="n"/>
      <c r="V71" s="33" t="n"/>
      <c r="W71" s="34" t="n"/>
      <c r="X71" s="33" t="n"/>
      <c r="Y71" s="35" t="n"/>
      <c r="Z71" s="157">
        <f>IF(OR(Y71="",X71=""),"",IFERROR(Y71*INDEX(FXRates[USD per unit],MATCH(X71,FXRates[Currency],0)),"No rate"))</f>
        <v/>
      </c>
      <c r="AA71" s="32" t="n"/>
      <c r="AB71" s="32" t="n"/>
      <c r="AC71" s="36">
        <f>IF(A71="","",IF(COUNTIF($A$6:$A$504,A71)&gt;1,"⚠ Duplicate",""))</f>
        <v/>
      </c>
      <c r="AD71" s="43" t="n"/>
      <c r="AE71" s="43" t="n"/>
      <c r="AF71" s="43" t="n"/>
      <c r="AG71" s="43" t="n"/>
      <c r="AH71" s="43" t="n"/>
      <c r="AI71" s="43" t="n"/>
      <c r="AJ71" s="43" t="n"/>
      <c r="AK71" s="43" t="n"/>
      <c r="AL71" s="43" t="n"/>
      <c r="AM71" s="43" t="n"/>
      <c r="AN71" s="43" t="n"/>
      <c r="AO71" s="43" t="n"/>
      <c r="AP71" s="43" t="n"/>
      <c r="AQ71" s="43" t="n"/>
    </row>
    <row r="72" ht="18" customHeight="1" s="74">
      <c r="A72" s="38" t="n"/>
      <c r="B72" s="38" t="n"/>
      <c r="C72" s="38" t="n"/>
      <c r="D72" s="38" t="n"/>
      <c r="E72" s="39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4" t="n"/>
      <c r="X72" s="39" t="n"/>
      <c r="Y72" s="40" t="n"/>
      <c r="Z72" s="158">
        <f>IF(OR(Y72="",X72=""),"",IFERROR(Y72*INDEX(FXRates[USD per unit],MATCH(X72,FXRates[Currency],0)),"No rate"))</f>
        <v/>
      </c>
      <c r="AA72" s="38" t="n"/>
      <c r="AB72" s="38" t="n"/>
      <c r="AC72" s="41">
        <f>IF(A72="","",IF(COUNTIF($A$6:$A$504,A72)&gt;1,"⚠ Duplicate",""))</f>
        <v/>
      </c>
      <c r="AD72" s="42" t="n"/>
      <c r="AE72" s="42" t="n"/>
      <c r="AF72" s="42" t="n"/>
      <c r="AG72" s="42" t="n"/>
      <c r="AH72" s="42" t="n"/>
      <c r="AI72" s="42" t="n"/>
      <c r="AJ72" s="42" t="n"/>
      <c r="AK72" s="42" t="n"/>
      <c r="AL72" s="42" t="n"/>
      <c r="AM72" s="42" t="n"/>
      <c r="AN72" s="42" t="n"/>
      <c r="AO72" s="42" t="n"/>
      <c r="AP72" s="42" t="n"/>
      <c r="AQ72" s="42" t="n"/>
    </row>
    <row r="73" ht="18" customHeight="1" s="74">
      <c r="A73" s="32" t="n"/>
      <c r="B73" s="32" t="n"/>
      <c r="C73" s="32" t="n"/>
      <c r="D73" s="32" t="n"/>
      <c r="E73" s="33" t="n"/>
      <c r="F73" s="33" t="n"/>
      <c r="G73" s="33" t="n"/>
      <c r="H73" s="33" t="n"/>
      <c r="I73" s="33" t="n"/>
      <c r="J73" s="33" t="n"/>
      <c r="K73" s="33" t="n"/>
      <c r="L73" s="33" t="n"/>
      <c r="M73" s="33" t="n"/>
      <c r="N73" s="33" t="n"/>
      <c r="O73" s="33" t="n"/>
      <c r="P73" s="33" t="n"/>
      <c r="Q73" s="33" t="n"/>
      <c r="R73" s="33" t="n"/>
      <c r="S73" s="33" t="n"/>
      <c r="T73" s="33" t="n"/>
      <c r="U73" s="33" t="n"/>
      <c r="V73" s="33" t="n"/>
      <c r="W73" s="34" t="n"/>
      <c r="X73" s="33" t="n"/>
      <c r="Y73" s="35" t="n"/>
      <c r="Z73" s="157">
        <f>IF(OR(Y73="",X73=""),"",IFERROR(Y73*INDEX(FXRates[USD per unit],MATCH(X73,FXRates[Currency],0)),"No rate"))</f>
        <v/>
      </c>
      <c r="AA73" s="32" t="n"/>
      <c r="AB73" s="32" t="n"/>
      <c r="AC73" s="36">
        <f>IF(A73="","",IF(COUNTIF($A$6:$A$504,A73)&gt;1,"⚠ Duplicate",""))</f>
        <v/>
      </c>
      <c r="AD73" s="43" t="n"/>
      <c r="AE73" s="43" t="n"/>
      <c r="AF73" s="43" t="n"/>
      <c r="AG73" s="43" t="n"/>
      <c r="AH73" s="43" t="n"/>
      <c r="AI73" s="43" t="n"/>
      <c r="AJ73" s="43" t="n"/>
      <c r="AK73" s="43" t="n"/>
      <c r="AL73" s="43" t="n"/>
      <c r="AM73" s="43" t="n"/>
      <c r="AN73" s="43" t="n"/>
      <c r="AO73" s="43" t="n"/>
      <c r="AP73" s="43" t="n"/>
      <c r="AQ73" s="43" t="n"/>
    </row>
    <row r="74" ht="18" customHeight="1" s="74">
      <c r="A74" s="38" t="n"/>
      <c r="B74" s="38" t="n"/>
      <c r="C74" s="38" t="n"/>
      <c r="D74" s="38" t="n"/>
      <c r="E74" s="39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4" t="n"/>
      <c r="X74" s="39" t="n"/>
      <c r="Y74" s="40" t="n"/>
      <c r="Z74" s="158">
        <f>IF(OR(Y74="",X74=""),"",IFERROR(Y74*INDEX(FXRates[USD per unit],MATCH(X74,FXRates[Currency],0)),"No rate"))</f>
        <v/>
      </c>
      <c r="AA74" s="38" t="n"/>
      <c r="AB74" s="38" t="n"/>
      <c r="AC74" s="41">
        <f>IF(A74="","",IF(COUNTIF($A$6:$A$504,A74)&gt;1,"⚠ Duplicate",""))</f>
        <v/>
      </c>
      <c r="AD74" s="42" t="n"/>
      <c r="AE74" s="42" t="n"/>
      <c r="AF74" s="42" t="n"/>
      <c r="AG74" s="42" t="n"/>
      <c r="AH74" s="42" t="n"/>
      <c r="AI74" s="42" t="n"/>
      <c r="AJ74" s="42" t="n"/>
      <c r="AK74" s="42" t="n"/>
      <c r="AL74" s="42" t="n"/>
      <c r="AM74" s="42" t="n"/>
      <c r="AN74" s="42" t="n"/>
      <c r="AO74" s="42" t="n"/>
      <c r="AP74" s="42" t="n"/>
      <c r="AQ74" s="42" t="n"/>
    </row>
    <row r="75" ht="18" customHeight="1" s="74">
      <c r="A75" s="32" t="n"/>
      <c r="B75" s="32" t="n"/>
      <c r="C75" s="32" t="n"/>
      <c r="D75" s="32" t="n"/>
      <c r="E75" s="33" t="n"/>
      <c r="F75" s="33" t="n"/>
      <c r="G75" s="33" t="n"/>
      <c r="H75" s="33" t="n"/>
      <c r="I75" s="33" t="n"/>
      <c r="J75" s="33" t="n"/>
      <c r="K75" s="33" t="n"/>
      <c r="L75" s="33" t="n"/>
      <c r="M75" s="33" t="n"/>
      <c r="N75" s="33" t="n"/>
      <c r="O75" s="33" t="n"/>
      <c r="P75" s="33" t="n"/>
      <c r="Q75" s="33" t="n"/>
      <c r="R75" s="33" t="n"/>
      <c r="S75" s="33" t="n"/>
      <c r="T75" s="33" t="n"/>
      <c r="U75" s="33" t="n"/>
      <c r="V75" s="33" t="n"/>
      <c r="W75" s="34" t="n"/>
      <c r="X75" s="33" t="n"/>
      <c r="Y75" s="35" t="n"/>
      <c r="Z75" s="157">
        <f>IF(OR(Y75="",X75=""),"",IFERROR(Y75*INDEX(FXRates[USD per unit],MATCH(X75,FXRates[Currency],0)),"No rate"))</f>
        <v/>
      </c>
      <c r="AA75" s="32" t="n"/>
      <c r="AB75" s="32" t="n"/>
      <c r="AC75" s="36">
        <f>IF(A75="","",IF(COUNTIF($A$6:$A$504,A75)&gt;1,"⚠ Duplicate",""))</f>
        <v/>
      </c>
      <c r="AD75" s="43" t="n"/>
      <c r="AE75" s="43" t="n"/>
      <c r="AF75" s="43" t="n"/>
      <c r="AG75" s="43" t="n"/>
      <c r="AH75" s="43" t="n"/>
      <c r="AI75" s="43" t="n"/>
      <c r="AJ75" s="43" t="n"/>
      <c r="AK75" s="43" t="n"/>
      <c r="AL75" s="43" t="n"/>
      <c r="AM75" s="43" t="n"/>
      <c r="AN75" s="43" t="n"/>
      <c r="AO75" s="43" t="n"/>
      <c r="AP75" s="43" t="n"/>
      <c r="AQ75" s="43" t="n"/>
    </row>
    <row r="76" ht="18" customHeight="1" s="74">
      <c r="A76" s="38" t="n"/>
      <c r="B76" s="38" t="n"/>
      <c r="C76" s="38" t="n"/>
      <c r="D76" s="38" t="n"/>
      <c r="E76" s="39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4" t="n"/>
      <c r="X76" s="39" t="n"/>
      <c r="Y76" s="40" t="n"/>
      <c r="Z76" s="158">
        <f>IF(OR(Y76="",X76=""),"",IFERROR(Y76*INDEX(FXRates[USD per unit],MATCH(X76,FXRates[Currency],0)),"No rate"))</f>
        <v/>
      </c>
      <c r="AA76" s="38" t="n"/>
      <c r="AB76" s="38" t="n"/>
      <c r="AC76" s="41">
        <f>IF(A76="","",IF(COUNTIF($A$6:$A$504,A76)&gt;1,"⚠ Duplicate",""))</f>
        <v/>
      </c>
      <c r="AD76" s="42" t="n"/>
      <c r="AE76" s="42" t="n"/>
      <c r="AF76" s="42" t="n"/>
      <c r="AG76" s="42" t="n"/>
      <c r="AH76" s="42" t="n"/>
      <c r="AI76" s="42" t="n"/>
      <c r="AJ76" s="42" t="n"/>
      <c r="AK76" s="42" t="n"/>
      <c r="AL76" s="42" t="n"/>
      <c r="AM76" s="42" t="n"/>
      <c r="AN76" s="42" t="n"/>
      <c r="AO76" s="42" t="n"/>
      <c r="AP76" s="42" t="n"/>
      <c r="AQ76" s="42" t="n"/>
    </row>
    <row r="77" ht="18" customHeight="1" s="74">
      <c r="A77" s="32" t="n"/>
      <c r="B77" s="32" t="n"/>
      <c r="C77" s="32" t="n"/>
      <c r="D77" s="32" t="n"/>
      <c r="E77" s="33" t="n"/>
      <c r="F77" s="33" t="n"/>
      <c r="G77" s="33" t="n"/>
      <c r="H77" s="33" t="n"/>
      <c r="I77" s="33" t="n"/>
      <c r="J77" s="33" t="n"/>
      <c r="K77" s="33" t="n"/>
      <c r="L77" s="33" t="n"/>
      <c r="M77" s="33" t="n"/>
      <c r="N77" s="33" t="n"/>
      <c r="O77" s="33" t="n"/>
      <c r="P77" s="33" t="n"/>
      <c r="Q77" s="33" t="n"/>
      <c r="R77" s="33" t="n"/>
      <c r="S77" s="33" t="n"/>
      <c r="T77" s="33" t="n"/>
      <c r="U77" s="33" t="n"/>
      <c r="V77" s="33" t="n"/>
      <c r="W77" s="34" t="n"/>
      <c r="X77" s="33" t="n"/>
      <c r="Y77" s="35" t="n"/>
      <c r="Z77" s="157">
        <f>IF(OR(Y77="",X77=""),"",IFERROR(Y77*INDEX(FXRates[USD per unit],MATCH(X77,FXRates[Currency],0)),"No rate"))</f>
        <v/>
      </c>
      <c r="AA77" s="32" t="n"/>
      <c r="AB77" s="32" t="n"/>
      <c r="AC77" s="36">
        <f>IF(A77="","",IF(COUNTIF($A$6:$A$504,A77)&gt;1,"⚠ Duplicate",""))</f>
        <v/>
      </c>
      <c r="AD77" s="43" t="n"/>
      <c r="AE77" s="43" t="n"/>
      <c r="AF77" s="43" t="n"/>
      <c r="AG77" s="43" t="n"/>
      <c r="AH77" s="43" t="n"/>
      <c r="AI77" s="43" t="n"/>
      <c r="AJ77" s="43" t="n"/>
      <c r="AK77" s="43" t="n"/>
      <c r="AL77" s="43" t="n"/>
      <c r="AM77" s="43" t="n"/>
      <c r="AN77" s="43" t="n"/>
      <c r="AO77" s="43" t="n"/>
      <c r="AP77" s="43" t="n"/>
      <c r="AQ77" s="43" t="n"/>
    </row>
    <row r="78" ht="18" customHeight="1" s="74">
      <c r="A78" s="38" t="n"/>
      <c r="B78" s="38" t="n"/>
      <c r="C78" s="38" t="n"/>
      <c r="D78" s="38" t="n"/>
      <c r="E78" s="39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4" t="n"/>
      <c r="X78" s="39" t="n"/>
      <c r="Y78" s="40" t="n"/>
      <c r="Z78" s="158">
        <f>IF(OR(Y78="",X78=""),"",IFERROR(Y78*INDEX(FXRates[USD per unit],MATCH(X78,FXRates[Currency],0)),"No rate"))</f>
        <v/>
      </c>
      <c r="AA78" s="38" t="n"/>
      <c r="AB78" s="38" t="n"/>
      <c r="AC78" s="41">
        <f>IF(A78="","",IF(COUNTIF($A$6:$A$504,A78)&gt;1,"⚠ Duplicate",""))</f>
        <v/>
      </c>
      <c r="AD78" s="42" t="n"/>
      <c r="AE78" s="42" t="n"/>
      <c r="AF78" s="42" t="n"/>
      <c r="AG78" s="42" t="n"/>
      <c r="AH78" s="42" t="n"/>
      <c r="AI78" s="42" t="n"/>
      <c r="AJ78" s="42" t="n"/>
      <c r="AK78" s="42" t="n"/>
      <c r="AL78" s="42" t="n"/>
      <c r="AM78" s="42" t="n"/>
      <c r="AN78" s="42" t="n"/>
      <c r="AO78" s="42" t="n"/>
      <c r="AP78" s="42" t="n"/>
      <c r="AQ78" s="42" t="n"/>
    </row>
    <row r="79" ht="18" customHeight="1" s="74">
      <c r="A79" s="32" t="n"/>
      <c r="B79" s="32" t="n"/>
      <c r="C79" s="32" t="n"/>
      <c r="D79" s="32" t="n"/>
      <c r="E79" s="33" t="n"/>
      <c r="F79" s="33" t="n"/>
      <c r="G79" s="33" t="n"/>
      <c r="H79" s="33" t="n"/>
      <c r="I79" s="33" t="n"/>
      <c r="J79" s="33" t="n"/>
      <c r="K79" s="33" t="n"/>
      <c r="L79" s="33" t="n"/>
      <c r="M79" s="33" t="n"/>
      <c r="N79" s="33" t="n"/>
      <c r="O79" s="33" t="n"/>
      <c r="P79" s="33" t="n"/>
      <c r="Q79" s="33" t="n"/>
      <c r="R79" s="33" t="n"/>
      <c r="S79" s="33" t="n"/>
      <c r="T79" s="33" t="n"/>
      <c r="U79" s="33" t="n"/>
      <c r="V79" s="33" t="n"/>
      <c r="W79" s="34" t="n"/>
      <c r="X79" s="33" t="n"/>
      <c r="Y79" s="35" t="n"/>
      <c r="Z79" s="157">
        <f>IF(OR(Y79="",X79=""),"",IFERROR(Y79*INDEX(FXRates[USD per unit],MATCH(X79,FXRates[Currency],0)),"No rate"))</f>
        <v/>
      </c>
      <c r="AA79" s="32" t="n"/>
      <c r="AB79" s="32" t="n"/>
      <c r="AC79" s="36">
        <f>IF(A79="","",IF(COUNTIF($A$6:$A$504,A79)&gt;1,"⚠ Duplicate",""))</f>
        <v/>
      </c>
      <c r="AD79" s="43" t="n"/>
      <c r="AE79" s="43" t="n"/>
      <c r="AF79" s="43" t="n"/>
      <c r="AG79" s="43" t="n"/>
      <c r="AH79" s="43" t="n"/>
      <c r="AI79" s="43" t="n"/>
      <c r="AJ79" s="43" t="n"/>
      <c r="AK79" s="43" t="n"/>
      <c r="AL79" s="43" t="n"/>
      <c r="AM79" s="43" t="n"/>
      <c r="AN79" s="43" t="n"/>
      <c r="AO79" s="43" t="n"/>
      <c r="AP79" s="43" t="n"/>
      <c r="AQ79" s="43" t="n"/>
    </row>
    <row r="80" ht="18" customHeight="1" s="74">
      <c r="A80" s="38" t="n"/>
      <c r="B80" s="38" t="n"/>
      <c r="C80" s="38" t="n"/>
      <c r="D80" s="38" t="n"/>
      <c r="E80" s="39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4" t="n"/>
      <c r="X80" s="39" t="n"/>
      <c r="Y80" s="40" t="n"/>
      <c r="Z80" s="158">
        <f>IF(OR(Y80="",X80=""),"",IFERROR(Y80*INDEX(FXRates[USD per unit],MATCH(X80,FXRates[Currency],0)),"No rate"))</f>
        <v/>
      </c>
      <c r="AA80" s="38" t="n"/>
      <c r="AB80" s="38" t="n"/>
      <c r="AC80" s="41">
        <f>IF(A80="","",IF(COUNTIF($A$6:$A$504,A80)&gt;1,"⚠ Duplicate",""))</f>
        <v/>
      </c>
      <c r="AD80" s="42" t="n"/>
      <c r="AE80" s="42" t="n"/>
      <c r="AF80" s="42" t="n"/>
      <c r="AG80" s="42" t="n"/>
      <c r="AH80" s="42" t="n"/>
      <c r="AI80" s="42" t="n"/>
      <c r="AJ80" s="42" t="n"/>
      <c r="AK80" s="42" t="n"/>
      <c r="AL80" s="42" t="n"/>
      <c r="AM80" s="42" t="n"/>
      <c r="AN80" s="42" t="n"/>
      <c r="AO80" s="42" t="n"/>
      <c r="AP80" s="42" t="n"/>
      <c r="AQ80" s="42" t="n"/>
    </row>
    <row r="81" ht="18" customHeight="1" s="74">
      <c r="A81" s="32" t="n"/>
      <c r="B81" s="32" t="n"/>
      <c r="C81" s="32" t="n"/>
      <c r="D81" s="32" t="n"/>
      <c r="E81" s="33" t="n"/>
      <c r="F81" s="33" t="n"/>
      <c r="G81" s="33" t="n"/>
      <c r="H81" s="33" t="n"/>
      <c r="I81" s="33" t="n"/>
      <c r="J81" s="33" t="n"/>
      <c r="K81" s="33" t="n"/>
      <c r="L81" s="33" t="n"/>
      <c r="M81" s="33" t="n"/>
      <c r="N81" s="33" t="n"/>
      <c r="O81" s="33" t="n"/>
      <c r="P81" s="33" t="n"/>
      <c r="Q81" s="33" t="n"/>
      <c r="R81" s="33" t="n"/>
      <c r="S81" s="33" t="n"/>
      <c r="T81" s="33" t="n"/>
      <c r="U81" s="33" t="n"/>
      <c r="V81" s="33" t="n"/>
      <c r="W81" s="34" t="n"/>
      <c r="X81" s="33" t="n"/>
      <c r="Y81" s="35" t="n"/>
      <c r="Z81" s="157">
        <f>IF(OR(Y81="",X81=""),"",IFERROR(Y81*INDEX(FXRates[USD per unit],MATCH(X81,FXRates[Currency],0)),"No rate"))</f>
        <v/>
      </c>
      <c r="AA81" s="32" t="n"/>
      <c r="AB81" s="32" t="n"/>
      <c r="AC81" s="36">
        <f>IF(A81="","",IF(COUNTIF($A$6:$A$504,A81)&gt;1,"⚠ Duplicate",""))</f>
        <v/>
      </c>
      <c r="AD81" s="43" t="n"/>
      <c r="AE81" s="43" t="n"/>
      <c r="AF81" s="43" t="n"/>
      <c r="AG81" s="43" t="n"/>
      <c r="AH81" s="43" t="n"/>
      <c r="AI81" s="43" t="n"/>
      <c r="AJ81" s="43" t="n"/>
      <c r="AK81" s="43" t="n"/>
      <c r="AL81" s="43" t="n"/>
      <c r="AM81" s="43" t="n"/>
      <c r="AN81" s="43" t="n"/>
      <c r="AO81" s="43" t="n"/>
      <c r="AP81" s="43" t="n"/>
      <c r="AQ81" s="43" t="n"/>
    </row>
    <row r="82" ht="18" customHeight="1" s="74">
      <c r="A82" s="38" t="n"/>
      <c r="B82" s="38" t="n"/>
      <c r="C82" s="38" t="n"/>
      <c r="D82" s="38" t="n"/>
      <c r="E82" s="39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4" t="n"/>
      <c r="X82" s="39" t="n"/>
      <c r="Y82" s="40" t="n"/>
      <c r="Z82" s="158">
        <f>IF(OR(Y82="",X82=""),"",IFERROR(Y82*INDEX(FXRates[USD per unit],MATCH(X82,FXRates[Currency],0)),"No rate"))</f>
        <v/>
      </c>
      <c r="AA82" s="38" t="n"/>
      <c r="AB82" s="38" t="n"/>
      <c r="AC82" s="41">
        <f>IF(A82="","",IF(COUNTIF($A$6:$A$504,A82)&gt;1,"⚠ Duplicate",""))</f>
        <v/>
      </c>
      <c r="AD82" s="42" t="n"/>
      <c r="AE82" s="42" t="n"/>
      <c r="AF82" s="42" t="n"/>
      <c r="AG82" s="42" t="n"/>
      <c r="AH82" s="42" t="n"/>
      <c r="AI82" s="42" t="n"/>
      <c r="AJ82" s="42" t="n"/>
      <c r="AK82" s="42" t="n"/>
      <c r="AL82" s="42" t="n"/>
      <c r="AM82" s="42" t="n"/>
      <c r="AN82" s="42" t="n"/>
      <c r="AO82" s="42" t="n"/>
      <c r="AP82" s="42" t="n"/>
      <c r="AQ82" s="42" t="n"/>
    </row>
    <row r="83" ht="18" customHeight="1" s="74">
      <c r="A83" s="32" t="n"/>
      <c r="B83" s="32" t="n"/>
      <c r="C83" s="32" t="n"/>
      <c r="D83" s="32" t="n"/>
      <c r="E83" s="33" t="n"/>
      <c r="F83" s="33" t="n"/>
      <c r="G83" s="33" t="n"/>
      <c r="H83" s="33" t="n"/>
      <c r="I83" s="33" t="n"/>
      <c r="J83" s="33" t="n"/>
      <c r="K83" s="33" t="n"/>
      <c r="L83" s="33" t="n"/>
      <c r="M83" s="33" t="n"/>
      <c r="N83" s="33" t="n"/>
      <c r="O83" s="33" t="n"/>
      <c r="P83" s="33" t="n"/>
      <c r="Q83" s="33" t="n"/>
      <c r="R83" s="33" t="n"/>
      <c r="S83" s="33" t="n"/>
      <c r="T83" s="33" t="n"/>
      <c r="U83" s="33" t="n"/>
      <c r="V83" s="33" t="n"/>
      <c r="W83" s="34" t="n"/>
      <c r="X83" s="33" t="n"/>
      <c r="Y83" s="35" t="n"/>
      <c r="Z83" s="157">
        <f>IF(OR(Y83="",X83=""),"",IFERROR(Y83*INDEX(FXRates[USD per unit],MATCH(X83,FXRates[Currency],0)),"No rate"))</f>
        <v/>
      </c>
      <c r="AA83" s="32" t="n"/>
      <c r="AB83" s="32" t="n"/>
      <c r="AC83" s="36">
        <f>IF(A83="","",IF(COUNTIF($A$6:$A$504,A83)&gt;1,"⚠ Duplicate",""))</f>
        <v/>
      </c>
      <c r="AD83" s="43" t="n"/>
      <c r="AE83" s="43" t="n"/>
      <c r="AF83" s="43" t="n"/>
      <c r="AG83" s="43" t="n"/>
      <c r="AH83" s="43" t="n"/>
      <c r="AI83" s="43" t="n"/>
      <c r="AJ83" s="43" t="n"/>
      <c r="AK83" s="43" t="n"/>
      <c r="AL83" s="43" t="n"/>
      <c r="AM83" s="43" t="n"/>
      <c r="AN83" s="43" t="n"/>
      <c r="AO83" s="43" t="n"/>
      <c r="AP83" s="43" t="n"/>
      <c r="AQ83" s="43" t="n"/>
    </row>
    <row r="84" ht="18" customHeight="1" s="74">
      <c r="A84" s="38" t="n"/>
      <c r="B84" s="38" t="n"/>
      <c r="C84" s="38" t="n"/>
      <c r="D84" s="38" t="n"/>
      <c r="E84" s="39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4" t="n"/>
      <c r="X84" s="39" t="n"/>
      <c r="Y84" s="40" t="n"/>
      <c r="Z84" s="158">
        <f>IF(OR(Y84="",X84=""),"",IFERROR(Y84*INDEX(FXRates[USD per unit],MATCH(X84,FXRates[Currency],0)),"No rate"))</f>
        <v/>
      </c>
      <c r="AA84" s="38" t="n"/>
      <c r="AB84" s="38" t="n"/>
      <c r="AC84" s="41">
        <f>IF(A84="","",IF(COUNTIF($A$6:$A$504,A84)&gt;1,"⚠ Duplicate",""))</f>
        <v/>
      </c>
      <c r="AD84" s="42" t="n"/>
      <c r="AE84" s="42" t="n"/>
      <c r="AF84" s="42" t="n"/>
      <c r="AG84" s="42" t="n"/>
      <c r="AH84" s="42" t="n"/>
      <c r="AI84" s="42" t="n"/>
      <c r="AJ84" s="42" t="n"/>
      <c r="AK84" s="42" t="n"/>
      <c r="AL84" s="42" t="n"/>
      <c r="AM84" s="42" t="n"/>
      <c r="AN84" s="42" t="n"/>
      <c r="AO84" s="42" t="n"/>
      <c r="AP84" s="42" t="n"/>
      <c r="AQ84" s="42" t="n"/>
    </row>
    <row r="85" ht="18" customHeight="1" s="74">
      <c r="A85" s="32" t="n"/>
      <c r="B85" s="32" t="n"/>
      <c r="C85" s="32" t="n"/>
      <c r="D85" s="32" t="n"/>
      <c r="E85" s="33" t="n"/>
      <c r="F85" s="33" t="n"/>
      <c r="G85" s="33" t="n"/>
      <c r="H85" s="33" t="n"/>
      <c r="I85" s="33" t="n"/>
      <c r="J85" s="33" t="n"/>
      <c r="K85" s="33" t="n"/>
      <c r="L85" s="33" t="n"/>
      <c r="M85" s="33" t="n"/>
      <c r="N85" s="33" t="n"/>
      <c r="O85" s="33" t="n"/>
      <c r="P85" s="33" t="n"/>
      <c r="Q85" s="33" t="n"/>
      <c r="R85" s="33" t="n"/>
      <c r="S85" s="33" t="n"/>
      <c r="T85" s="33" t="n"/>
      <c r="U85" s="33" t="n"/>
      <c r="V85" s="33" t="n"/>
      <c r="W85" s="34" t="n"/>
      <c r="X85" s="33" t="n"/>
      <c r="Y85" s="35" t="n"/>
      <c r="Z85" s="157">
        <f>IF(OR(Y85="",X85=""),"",IFERROR(Y85*INDEX(FXRates[USD per unit],MATCH(X85,FXRates[Currency],0)),"No rate"))</f>
        <v/>
      </c>
      <c r="AA85" s="32" t="n"/>
      <c r="AB85" s="32" t="n"/>
      <c r="AC85" s="36">
        <f>IF(A85="","",IF(COUNTIF($A$6:$A$504,A85)&gt;1,"⚠ Duplicate",""))</f>
        <v/>
      </c>
      <c r="AD85" s="43" t="n"/>
      <c r="AE85" s="43" t="n"/>
      <c r="AF85" s="43" t="n"/>
      <c r="AG85" s="43" t="n"/>
      <c r="AH85" s="43" t="n"/>
      <c r="AI85" s="43" t="n"/>
      <c r="AJ85" s="43" t="n"/>
      <c r="AK85" s="43" t="n"/>
      <c r="AL85" s="43" t="n"/>
      <c r="AM85" s="43" t="n"/>
      <c r="AN85" s="43" t="n"/>
      <c r="AO85" s="43" t="n"/>
      <c r="AP85" s="43" t="n"/>
      <c r="AQ85" s="43" t="n"/>
    </row>
    <row r="86" ht="18" customHeight="1" s="74">
      <c r="A86" s="38" t="n"/>
      <c r="B86" s="38" t="n"/>
      <c r="C86" s="38" t="n"/>
      <c r="D86" s="38" t="n"/>
      <c r="E86" s="39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4" t="n"/>
      <c r="X86" s="39" t="n"/>
      <c r="Y86" s="40" t="n"/>
      <c r="Z86" s="158">
        <f>IF(OR(Y86="",X86=""),"",IFERROR(Y86*INDEX(FXRates[USD per unit],MATCH(X86,FXRates[Currency],0)),"No rate"))</f>
        <v/>
      </c>
      <c r="AA86" s="38" t="n"/>
      <c r="AB86" s="38" t="n"/>
      <c r="AC86" s="41">
        <f>IF(A86="","",IF(COUNTIF($A$6:$A$504,A86)&gt;1,"⚠ Duplicate",""))</f>
        <v/>
      </c>
      <c r="AD86" s="42" t="n"/>
      <c r="AE86" s="42" t="n"/>
      <c r="AF86" s="42" t="n"/>
      <c r="AG86" s="42" t="n"/>
      <c r="AH86" s="42" t="n"/>
      <c r="AI86" s="42" t="n"/>
      <c r="AJ86" s="42" t="n"/>
      <c r="AK86" s="42" t="n"/>
      <c r="AL86" s="42" t="n"/>
      <c r="AM86" s="42" t="n"/>
      <c r="AN86" s="42" t="n"/>
      <c r="AO86" s="42" t="n"/>
      <c r="AP86" s="42" t="n"/>
      <c r="AQ86" s="42" t="n"/>
    </row>
    <row r="87" ht="18" customHeight="1" s="74">
      <c r="A87" s="32" t="n"/>
      <c r="B87" s="32" t="n"/>
      <c r="C87" s="32" t="n"/>
      <c r="D87" s="32" t="n"/>
      <c r="E87" s="33" t="n"/>
      <c r="F87" s="33" t="n"/>
      <c r="G87" s="33" t="n"/>
      <c r="H87" s="33" t="n"/>
      <c r="I87" s="33" t="n"/>
      <c r="J87" s="33" t="n"/>
      <c r="K87" s="33" t="n"/>
      <c r="L87" s="33" t="n"/>
      <c r="M87" s="33" t="n"/>
      <c r="N87" s="33" t="n"/>
      <c r="O87" s="33" t="n"/>
      <c r="P87" s="33" t="n"/>
      <c r="Q87" s="33" t="n"/>
      <c r="R87" s="33" t="n"/>
      <c r="S87" s="33" t="n"/>
      <c r="T87" s="33" t="n"/>
      <c r="U87" s="33" t="n"/>
      <c r="V87" s="33" t="n"/>
      <c r="W87" s="34" t="n"/>
      <c r="X87" s="33" t="n"/>
      <c r="Y87" s="35" t="n"/>
      <c r="Z87" s="157">
        <f>IF(OR(Y87="",X87=""),"",IFERROR(Y87*INDEX(FXRates[USD per unit],MATCH(X87,FXRates[Currency],0)),"No rate"))</f>
        <v/>
      </c>
      <c r="AA87" s="32" t="n"/>
      <c r="AB87" s="32" t="n"/>
      <c r="AC87" s="36">
        <f>IF(A87="","",IF(COUNTIF($A$6:$A$504,A87)&gt;1,"⚠ Duplicate",""))</f>
        <v/>
      </c>
      <c r="AD87" s="43" t="n"/>
      <c r="AE87" s="43" t="n"/>
      <c r="AF87" s="43" t="n"/>
      <c r="AG87" s="43" t="n"/>
      <c r="AH87" s="43" t="n"/>
      <c r="AI87" s="43" t="n"/>
      <c r="AJ87" s="43" t="n"/>
      <c r="AK87" s="43" t="n"/>
      <c r="AL87" s="43" t="n"/>
      <c r="AM87" s="43" t="n"/>
      <c r="AN87" s="43" t="n"/>
      <c r="AO87" s="43" t="n"/>
      <c r="AP87" s="43" t="n"/>
      <c r="AQ87" s="43" t="n"/>
    </row>
    <row r="88" ht="18" customHeight="1" s="74">
      <c r="A88" s="38" t="n"/>
      <c r="B88" s="38" t="n"/>
      <c r="C88" s="38" t="n"/>
      <c r="D88" s="38" t="n"/>
      <c r="E88" s="39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4" t="n"/>
      <c r="X88" s="39" t="n"/>
      <c r="Y88" s="40" t="n"/>
      <c r="Z88" s="158">
        <f>IF(OR(Y88="",X88=""),"",IFERROR(Y88*INDEX(FXRates[USD per unit],MATCH(X88,FXRates[Currency],0)),"No rate"))</f>
        <v/>
      </c>
      <c r="AA88" s="38" t="n"/>
      <c r="AB88" s="38" t="n"/>
      <c r="AC88" s="41">
        <f>IF(A88="","",IF(COUNTIF($A$6:$A$504,A88)&gt;1,"⚠ Duplicate",""))</f>
        <v/>
      </c>
      <c r="AD88" s="42" t="n"/>
      <c r="AE88" s="42" t="n"/>
      <c r="AF88" s="42" t="n"/>
      <c r="AG88" s="42" t="n"/>
      <c r="AH88" s="42" t="n"/>
      <c r="AI88" s="42" t="n"/>
      <c r="AJ88" s="42" t="n"/>
      <c r="AK88" s="42" t="n"/>
      <c r="AL88" s="42" t="n"/>
      <c r="AM88" s="42" t="n"/>
      <c r="AN88" s="42" t="n"/>
      <c r="AO88" s="42" t="n"/>
      <c r="AP88" s="42" t="n"/>
      <c r="AQ88" s="42" t="n"/>
    </row>
    <row r="89" ht="18" customHeight="1" s="74">
      <c r="A89" s="32" t="n"/>
      <c r="B89" s="32" t="n"/>
      <c r="C89" s="32" t="n"/>
      <c r="D89" s="32" t="n"/>
      <c r="E89" s="33" t="n"/>
      <c r="F89" s="33" t="n"/>
      <c r="G89" s="33" t="n"/>
      <c r="H89" s="33" t="n"/>
      <c r="I89" s="33" t="n"/>
      <c r="J89" s="33" t="n"/>
      <c r="K89" s="33" t="n"/>
      <c r="L89" s="33" t="n"/>
      <c r="M89" s="33" t="n"/>
      <c r="N89" s="33" t="n"/>
      <c r="O89" s="33" t="n"/>
      <c r="P89" s="33" t="n"/>
      <c r="Q89" s="33" t="n"/>
      <c r="R89" s="33" t="n"/>
      <c r="S89" s="33" t="n"/>
      <c r="T89" s="33" t="n"/>
      <c r="U89" s="33" t="n"/>
      <c r="V89" s="33" t="n"/>
      <c r="W89" s="34" t="n"/>
      <c r="X89" s="33" t="n"/>
      <c r="Y89" s="35" t="n"/>
      <c r="Z89" s="157">
        <f>IF(OR(Y89="",X89=""),"",IFERROR(Y89*INDEX(FXRates[USD per unit],MATCH(X89,FXRates[Currency],0)),"No rate"))</f>
        <v/>
      </c>
      <c r="AA89" s="32" t="n"/>
      <c r="AB89" s="32" t="n"/>
      <c r="AC89" s="36">
        <f>IF(A89="","",IF(COUNTIF($A$6:$A$504,A89)&gt;1,"⚠ Duplicate",""))</f>
        <v/>
      </c>
      <c r="AD89" s="43" t="n"/>
      <c r="AE89" s="43" t="n"/>
      <c r="AF89" s="43" t="n"/>
      <c r="AG89" s="43" t="n"/>
      <c r="AH89" s="43" t="n"/>
      <c r="AI89" s="43" t="n"/>
      <c r="AJ89" s="43" t="n"/>
      <c r="AK89" s="43" t="n"/>
      <c r="AL89" s="43" t="n"/>
      <c r="AM89" s="43" t="n"/>
      <c r="AN89" s="43" t="n"/>
      <c r="AO89" s="43" t="n"/>
      <c r="AP89" s="43" t="n"/>
      <c r="AQ89" s="43" t="n"/>
    </row>
    <row r="90" ht="18" customHeight="1" s="74">
      <c r="A90" s="38" t="n"/>
      <c r="B90" s="38" t="n"/>
      <c r="C90" s="38" t="n"/>
      <c r="D90" s="38" t="n"/>
      <c r="E90" s="39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4" t="n"/>
      <c r="X90" s="39" t="n"/>
      <c r="Y90" s="40" t="n"/>
      <c r="Z90" s="158">
        <f>IF(OR(Y90="",X90=""),"",IFERROR(Y90*INDEX(FXRates[USD per unit],MATCH(X90,FXRates[Currency],0)),"No rate"))</f>
        <v/>
      </c>
      <c r="AA90" s="38" t="n"/>
      <c r="AB90" s="38" t="n"/>
      <c r="AC90" s="41">
        <f>IF(A90="","",IF(COUNTIF($A$6:$A$504,A90)&gt;1,"⚠ Duplicate",""))</f>
        <v/>
      </c>
      <c r="AD90" s="42" t="n"/>
      <c r="AE90" s="42" t="n"/>
      <c r="AF90" s="42" t="n"/>
      <c r="AG90" s="42" t="n"/>
      <c r="AH90" s="42" t="n"/>
      <c r="AI90" s="42" t="n"/>
      <c r="AJ90" s="42" t="n"/>
      <c r="AK90" s="42" t="n"/>
      <c r="AL90" s="42" t="n"/>
      <c r="AM90" s="42" t="n"/>
      <c r="AN90" s="42" t="n"/>
      <c r="AO90" s="42" t="n"/>
      <c r="AP90" s="42" t="n"/>
      <c r="AQ90" s="42" t="n"/>
    </row>
    <row r="91" ht="18" customHeight="1" s="74">
      <c r="A91" s="32" t="n"/>
      <c r="B91" s="32" t="n"/>
      <c r="C91" s="32" t="n"/>
      <c r="D91" s="32" t="n"/>
      <c r="E91" s="33" t="n"/>
      <c r="F91" s="33" t="n"/>
      <c r="G91" s="33" t="n"/>
      <c r="H91" s="33" t="n"/>
      <c r="I91" s="33" t="n"/>
      <c r="J91" s="33" t="n"/>
      <c r="K91" s="33" t="n"/>
      <c r="L91" s="33" t="n"/>
      <c r="M91" s="33" t="n"/>
      <c r="N91" s="33" t="n"/>
      <c r="O91" s="33" t="n"/>
      <c r="P91" s="33" t="n"/>
      <c r="Q91" s="33" t="n"/>
      <c r="R91" s="33" t="n"/>
      <c r="S91" s="33" t="n"/>
      <c r="T91" s="33" t="n"/>
      <c r="U91" s="33" t="n"/>
      <c r="V91" s="33" t="n"/>
      <c r="W91" s="34" t="n"/>
      <c r="X91" s="33" t="n"/>
      <c r="Y91" s="35" t="n"/>
      <c r="Z91" s="157">
        <f>IF(OR(Y91="",X91=""),"",IFERROR(Y91*INDEX(FXRates[USD per unit],MATCH(X91,FXRates[Currency],0)),"No rate"))</f>
        <v/>
      </c>
      <c r="AA91" s="32" t="n"/>
      <c r="AB91" s="32" t="n"/>
      <c r="AC91" s="36">
        <f>IF(A91="","",IF(COUNTIF($A$6:$A$504,A91)&gt;1,"⚠ Duplicate",""))</f>
        <v/>
      </c>
      <c r="AD91" s="43" t="n"/>
      <c r="AE91" s="43" t="n"/>
      <c r="AF91" s="43" t="n"/>
      <c r="AG91" s="43" t="n"/>
      <c r="AH91" s="43" t="n"/>
      <c r="AI91" s="43" t="n"/>
      <c r="AJ91" s="43" t="n"/>
      <c r="AK91" s="43" t="n"/>
      <c r="AL91" s="43" t="n"/>
      <c r="AM91" s="43" t="n"/>
      <c r="AN91" s="43" t="n"/>
      <c r="AO91" s="43" t="n"/>
      <c r="AP91" s="43" t="n"/>
      <c r="AQ91" s="43" t="n"/>
    </row>
    <row r="92" ht="18" customHeight="1" s="74">
      <c r="A92" s="38" t="n"/>
      <c r="B92" s="38" t="n"/>
      <c r="C92" s="38" t="n"/>
      <c r="D92" s="38" t="n"/>
      <c r="E92" s="39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4" t="n"/>
      <c r="X92" s="39" t="n"/>
      <c r="Y92" s="40" t="n"/>
      <c r="Z92" s="158">
        <f>IF(OR(Y92="",X92=""),"",IFERROR(Y92*INDEX(FXRates[USD per unit],MATCH(X92,FXRates[Currency],0)),"No rate"))</f>
        <v/>
      </c>
      <c r="AA92" s="38" t="n"/>
      <c r="AB92" s="38" t="n"/>
      <c r="AC92" s="41">
        <f>IF(A92="","",IF(COUNTIF($A$6:$A$504,A92)&gt;1,"⚠ Duplicate",""))</f>
        <v/>
      </c>
      <c r="AD92" s="42" t="n"/>
      <c r="AE92" s="42" t="n"/>
      <c r="AF92" s="42" t="n"/>
      <c r="AG92" s="42" t="n"/>
      <c r="AH92" s="42" t="n"/>
      <c r="AI92" s="42" t="n"/>
      <c r="AJ92" s="42" t="n"/>
      <c r="AK92" s="42" t="n"/>
      <c r="AL92" s="42" t="n"/>
      <c r="AM92" s="42" t="n"/>
      <c r="AN92" s="42" t="n"/>
      <c r="AO92" s="42" t="n"/>
      <c r="AP92" s="42" t="n"/>
      <c r="AQ92" s="42" t="n"/>
    </row>
    <row r="93" ht="18" customHeight="1" s="74">
      <c r="A93" s="32" t="n"/>
      <c r="B93" s="32" t="n"/>
      <c r="C93" s="32" t="n"/>
      <c r="D93" s="32" t="n"/>
      <c r="E93" s="33" t="n"/>
      <c r="F93" s="33" t="n"/>
      <c r="G93" s="33" t="n"/>
      <c r="H93" s="33" t="n"/>
      <c r="I93" s="33" t="n"/>
      <c r="J93" s="33" t="n"/>
      <c r="K93" s="33" t="n"/>
      <c r="L93" s="33" t="n"/>
      <c r="M93" s="33" t="n"/>
      <c r="N93" s="33" t="n"/>
      <c r="O93" s="33" t="n"/>
      <c r="P93" s="33" t="n"/>
      <c r="Q93" s="33" t="n"/>
      <c r="R93" s="33" t="n"/>
      <c r="S93" s="33" t="n"/>
      <c r="T93" s="33" t="n"/>
      <c r="U93" s="33" t="n"/>
      <c r="V93" s="33" t="n"/>
      <c r="W93" s="34" t="n"/>
      <c r="X93" s="33" t="n"/>
      <c r="Y93" s="35" t="n"/>
      <c r="Z93" s="157">
        <f>IF(OR(Y93="",X93=""),"",IFERROR(Y93*INDEX(FXRates[USD per unit],MATCH(X93,FXRates[Currency],0)),"No rate"))</f>
        <v/>
      </c>
      <c r="AA93" s="32" t="n"/>
      <c r="AB93" s="32" t="n"/>
      <c r="AC93" s="36">
        <f>IF(A93="","",IF(COUNTIF($A$6:$A$504,A93)&gt;1,"⚠ Duplicate",""))</f>
        <v/>
      </c>
      <c r="AD93" s="43" t="n"/>
      <c r="AE93" s="43" t="n"/>
      <c r="AF93" s="43" t="n"/>
      <c r="AG93" s="43" t="n"/>
      <c r="AH93" s="43" t="n"/>
      <c r="AI93" s="43" t="n"/>
      <c r="AJ93" s="43" t="n"/>
      <c r="AK93" s="43" t="n"/>
      <c r="AL93" s="43" t="n"/>
      <c r="AM93" s="43" t="n"/>
      <c r="AN93" s="43" t="n"/>
      <c r="AO93" s="43" t="n"/>
      <c r="AP93" s="43" t="n"/>
      <c r="AQ93" s="43" t="n"/>
    </row>
    <row r="94" ht="18" customHeight="1" s="74">
      <c r="A94" s="38" t="n"/>
      <c r="B94" s="38" t="n"/>
      <c r="C94" s="38" t="n"/>
      <c r="D94" s="38" t="n"/>
      <c r="E94" s="39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4" t="n"/>
      <c r="X94" s="39" t="n"/>
      <c r="Y94" s="40" t="n"/>
      <c r="Z94" s="158">
        <f>IF(OR(Y94="",X94=""),"",IFERROR(Y94*INDEX(FXRates[USD per unit],MATCH(X94,FXRates[Currency],0)),"No rate"))</f>
        <v/>
      </c>
      <c r="AA94" s="38" t="n"/>
      <c r="AB94" s="38" t="n"/>
      <c r="AC94" s="41">
        <f>IF(A94="","",IF(COUNTIF($A$6:$A$504,A94)&gt;1,"⚠ Duplicate",""))</f>
        <v/>
      </c>
      <c r="AD94" s="42" t="n"/>
      <c r="AE94" s="42" t="n"/>
      <c r="AF94" s="42" t="n"/>
      <c r="AG94" s="42" t="n"/>
      <c r="AH94" s="42" t="n"/>
      <c r="AI94" s="42" t="n"/>
      <c r="AJ94" s="42" t="n"/>
      <c r="AK94" s="42" t="n"/>
      <c r="AL94" s="42" t="n"/>
      <c r="AM94" s="42" t="n"/>
      <c r="AN94" s="42" t="n"/>
      <c r="AO94" s="42" t="n"/>
      <c r="AP94" s="42" t="n"/>
      <c r="AQ94" s="42" t="n"/>
    </row>
    <row r="95" ht="18" customHeight="1" s="74">
      <c r="A95" s="32" t="n"/>
      <c r="B95" s="32" t="n"/>
      <c r="C95" s="32" t="n"/>
      <c r="D95" s="32" t="n"/>
      <c r="E95" s="33" t="n"/>
      <c r="F95" s="33" t="n"/>
      <c r="G95" s="33" t="n"/>
      <c r="H95" s="33" t="n"/>
      <c r="I95" s="33" t="n"/>
      <c r="J95" s="33" t="n"/>
      <c r="K95" s="33" t="n"/>
      <c r="L95" s="33" t="n"/>
      <c r="M95" s="33" t="n"/>
      <c r="N95" s="33" t="n"/>
      <c r="O95" s="33" t="n"/>
      <c r="P95" s="33" t="n"/>
      <c r="Q95" s="33" t="n"/>
      <c r="R95" s="33" t="n"/>
      <c r="S95" s="33" t="n"/>
      <c r="T95" s="33" t="n"/>
      <c r="U95" s="33" t="n"/>
      <c r="V95" s="33" t="n"/>
      <c r="W95" s="34" t="n"/>
      <c r="X95" s="33" t="n"/>
      <c r="Y95" s="35" t="n"/>
      <c r="Z95" s="157">
        <f>IF(OR(Y95="",X95=""),"",IFERROR(Y95*INDEX(FXRates[USD per unit],MATCH(X95,FXRates[Currency],0)),"No rate"))</f>
        <v/>
      </c>
      <c r="AA95" s="32" t="n"/>
      <c r="AB95" s="32" t="n"/>
      <c r="AC95" s="36">
        <f>IF(A95="","",IF(COUNTIF($A$6:$A$504,A95)&gt;1,"⚠ Duplicate",""))</f>
        <v/>
      </c>
      <c r="AD95" s="43" t="n"/>
      <c r="AE95" s="43" t="n"/>
      <c r="AF95" s="43" t="n"/>
      <c r="AG95" s="43" t="n"/>
      <c r="AH95" s="43" t="n"/>
      <c r="AI95" s="43" t="n"/>
      <c r="AJ95" s="43" t="n"/>
      <c r="AK95" s="43" t="n"/>
      <c r="AL95" s="43" t="n"/>
      <c r="AM95" s="43" t="n"/>
      <c r="AN95" s="43" t="n"/>
      <c r="AO95" s="43" t="n"/>
      <c r="AP95" s="43" t="n"/>
      <c r="AQ95" s="43" t="n"/>
    </row>
    <row r="96" ht="18" customHeight="1" s="74">
      <c r="A96" s="38" t="n"/>
      <c r="B96" s="38" t="n"/>
      <c r="C96" s="38" t="n"/>
      <c r="D96" s="38" t="n"/>
      <c r="E96" s="39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4" t="n"/>
      <c r="X96" s="39" t="n"/>
      <c r="Y96" s="40" t="n"/>
      <c r="Z96" s="158">
        <f>IF(OR(Y96="",X96=""),"",IFERROR(Y96*INDEX(FXRates[USD per unit],MATCH(X96,FXRates[Currency],0)),"No rate"))</f>
        <v/>
      </c>
      <c r="AA96" s="38" t="n"/>
      <c r="AB96" s="38" t="n"/>
      <c r="AC96" s="41">
        <f>IF(A96="","",IF(COUNTIF($A$6:$A$504,A96)&gt;1,"⚠ Duplicate",""))</f>
        <v/>
      </c>
      <c r="AD96" s="42" t="n"/>
      <c r="AE96" s="42" t="n"/>
      <c r="AF96" s="42" t="n"/>
      <c r="AG96" s="42" t="n"/>
      <c r="AH96" s="42" t="n"/>
      <c r="AI96" s="42" t="n"/>
      <c r="AJ96" s="42" t="n"/>
      <c r="AK96" s="42" t="n"/>
      <c r="AL96" s="42" t="n"/>
      <c r="AM96" s="42" t="n"/>
      <c r="AN96" s="42" t="n"/>
      <c r="AO96" s="42" t="n"/>
      <c r="AP96" s="42" t="n"/>
      <c r="AQ96" s="42" t="n"/>
    </row>
    <row r="97" ht="18" customHeight="1" s="74">
      <c r="A97" s="32" t="n"/>
      <c r="B97" s="32" t="n"/>
      <c r="C97" s="32" t="n"/>
      <c r="D97" s="32" t="n"/>
      <c r="E97" s="33" t="n"/>
      <c r="F97" s="33" t="n"/>
      <c r="G97" s="33" t="n"/>
      <c r="H97" s="33" t="n"/>
      <c r="I97" s="33" t="n"/>
      <c r="J97" s="33" t="n"/>
      <c r="K97" s="33" t="n"/>
      <c r="L97" s="33" t="n"/>
      <c r="M97" s="33" t="n"/>
      <c r="N97" s="33" t="n"/>
      <c r="O97" s="33" t="n"/>
      <c r="P97" s="33" t="n"/>
      <c r="Q97" s="33" t="n"/>
      <c r="R97" s="33" t="n"/>
      <c r="S97" s="33" t="n"/>
      <c r="T97" s="33" t="n"/>
      <c r="U97" s="33" t="n"/>
      <c r="V97" s="33" t="n"/>
      <c r="W97" s="34" t="n"/>
      <c r="X97" s="33" t="n"/>
      <c r="Y97" s="35" t="n"/>
      <c r="Z97" s="157">
        <f>IF(OR(Y97="",X97=""),"",IFERROR(Y97*INDEX(FXRates[USD per unit],MATCH(X97,FXRates[Currency],0)),"No rate"))</f>
        <v/>
      </c>
      <c r="AA97" s="32" t="n"/>
      <c r="AB97" s="32" t="n"/>
      <c r="AC97" s="36">
        <f>IF(A97="","",IF(COUNTIF($A$6:$A$504,A97)&gt;1,"⚠ Duplicate",""))</f>
        <v/>
      </c>
      <c r="AD97" s="43" t="n"/>
      <c r="AE97" s="43" t="n"/>
      <c r="AF97" s="43" t="n"/>
      <c r="AG97" s="43" t="n"/>
      <c r="AH97" s="43" t="n"/>
      <c r="AI97" s="43" t="n"/>
      <c r="AJ97" s="43" t="n"/>
      <c r="AK97" s="43" t="n"/>
      <c r="AL97" s="43" t="n"/>
      <c r="AM97" s="43" t="n"/>
      <c r="AN97" s="43" t="n"/>
      <c r="AO97" s="43" t="n"/>
      <c r="AP97" s="43" t="n"/>
      <c r="AQ97" s="43" t="n"/>
    </row>
    <row r="98" ht="18" customHeight="1" s="74">
      <c r="A98" s="38" t="n"/>
      <c r="B98" s="38" t="n"/>
      <c r="C98" s="38" t="n"/>
      <c r="D98" s="38" t="n"/>
      <c r="E98" s="39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4" t="n"/>
      <c r="X98" s="39" t="n"/>
      <c r="Y98" s="40" t="n"/>
      <c r="Z98" s="158">
        <f>IF(OR(Y98="",X98=""),"",IFERROR(Y98*INDEX(FXRates[USD per unit],MATCH(X98,FXRates[Currency],0)),"No rate"))</f>
        <v/>
      </c>
      <c r="AA98" s="38" t="n"/>
      <c r="AB98" s="38" t="n"/>
      <c r="AC98" s="41">
        <f>IF(A98="","",IF(COUNTIF($A$6:$A$504,A98)&gt;1,"⚠ Duplicate",""))</f>
        <v/>
      </c>
      <c r="AD98" s="42" t="n"/>
      <c r="AE98" s="42" t="n"/>
      <c r="AF98" s="42" t="n"/>
      <c r="AG98" s="42" t="n"/>
      <c r="AH98" s="42" t="n"/>
      <c r="AI98" s="42" t="n"/>
      <c r="AJ98" s="42" t="n"/>
      <c r="AK98" s="42" t="n"/>
      <c r="AL98" s="42" t="n"/>
      <c r="AM98" s="42" t="n"/>
      <c r="AN98" s="42" t="n"/>
      <c r="AO98" s="42" t="n"/>
      <c r="AP98" s="42" t="n"/>
      <c r="AQ98" s="42" t="n"/>
    </row>
    <row r="99" ht="18" customHeight="1" s="74">
      <c r="A99" s="32" t="n"/>
      <c r="B99" s="32" t="n"/>
      <c r="C99" s="32" t="n"/>
      <c r="D99" s="32" t="n"/>
      <c r="E99" s="33" t="n"/>
      <c r="F99" s="33" t="n"/>
      <c r="G99" s="33" t="n"/>
      <c r="H99" s="33" t="n"/>
      <c r="I99" s="33" t="n"/>
      <c r="J99" s="33" t="n"/>
      <c r="K99" s="33" t="n"/>
      <c r="L99" s="33" t="n"/>
      <c r="M99" s="33" t="n"/>
      <c r="N99" s="33" t="n"/>
      <c r="O99" s="33" t="n"/>
      <c r="P99" s="33" t="n"/>
      <c r="Q99" s="33" t="n"/>
      <c r="R99" s="33" t="n"/>
      <c r="S99" s="33" t="n"/>
      <c r="T99" s="33" t="n"/>
      <c r="U99" s="33" t="n"/>
      <c r="V99" s="33" t="n"/>
      <c r="W99" s="34" t="n"/>
      <c r="X99" s="33" t="n"/>
      <c r="Y99" s="35" t="n"/>
      <c r="Z99" s="157">
        <f>IF(OR(Y99="",X99=""),"",IFERROR(Y99*INDEX(FXRates[USD per unit],MATCH(X99,FXRates[Currency],0)),"No rate"))</f>
        <v/>
      </c>
      <c r="AA99" s="32" t="n"/>
      <c r="AB99" s="32" t="n"/>
      <c r="AC99" s="36">
        <f>IF(A99="","",IF(COUNTIF($A$6:$A$504,A99)&gt;1,"⚠ Duplicate",""))</f>
        <v/>
      </c>
      <c r="AD99" s="43" t="n"/>
      <c r="AE99" s="43" t="n"/>
      <c r="AF99" s="43" t="n"/>
      <c r="AG99" s="43" t="n"/>
      <c r="AH99" s="43" t="n"/>
      <c r="AI99" s="43" t="n"/>
      <c r="AJ99" s="43" t="n"/>
      <c r="AK99" s="43" t="n"/>
      <c r="AL99" s="43" t="n"/>
      <c r="AM99" s="43" t="n"/>
      <c r="AN99" s="43" t="n"/>
      <c r="AO99" s="43" t="n"/>
      <c r="AP99" s="43" t="n"/>
      <c r="AQ99" s="43" t="n"/>
    </row>
    <row r="100" ht="18" customHeight="1" s="74">
      <c r="A100" s="38" t="n"/>
      <c r="B100" s="38" t="n"/>
      <c r="C100" s="38" t="n"/>
      <c r="D100" s="38" t="n"/>
      <c r="E100" s="39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4" t="n"/>
      <c r="X100" s="39" t="n"/>
      <c r="Y100" s="40" t="n"/>
      <c r="Z100" s="158">
        <f>IF(OR(Y100="",X100=""),"",IFERROR(Y100*INDEX(FXRates[USD per unit],MATCH(X100,FXRates[Currency],0)),"No rate"))</f>
        <v/>
      </c>
      <c r="AA100" s="38" t="n"/>
      <c r="AB100" s="38" t="n"/>
      <c r="AC100" s="41">
        <f>IF(A100="","",IF(COUNTIF($A$6:$A$504,A100)&gt;1,"⚠ Duplicate",""))</f>
        <v/>
      </c>
      <c r="AD100" s="42" t="n"/>
      <c r="AE100" s="42" t="n"/>
      <c r="AF100" s="42" t="n"/>
      <c r="AG100" s="42" t="n"/>
      <c r="AH100" s="42" t="n"/>
      <c r="AI100" s="42" t="n"/>
      <c r="AJ100" s="42" t="n"/>
      <c r="AK100" s="42" t="n"/>
      <c r="AL100" s="42" t="n"/>
      <c r="AM100" s="42" t="n"/>
      <c r="AN100" s="42" t="n"/>
      <c r="AO100" s="42" t="n"/>
      <c r="AP100" s="42" t="n"/>
      <c r="AQ100" s="42" t="n"/>
    </row>
    <row r="101" ht="18" customHeight="1" s="74">
      <c r="A101" s="32" t="n"/>
      <c r="B101" s="32" t="n"/>
      <c r="C101" s="32" t="n"/>
      <c r="D101" s="32" t="n"/>
      <c r="E101" s="33" t="n"/>
      <c r="F101" s="33" t="n"/>
      <c r="G101" s="33" t="n"/>
      <c r="H101" s="33" t="n"/>
      <c r="I101" s="33" t="n"/>
      <c r="J101" s="33" t="n"/>
      <c r="K101" s="33" t="n"/>
      <c r="L101" s="33" t="n"/>
      <c r="M101" s="33" t="n"/>
      <c r="N101" s="33" t="n"/>
      <c r="O101" s="33" t="n"/>
      <c r="P101" s="33" t="n"/>
      <c r="Q101" s="33" t="n"/>
      <c r="R101" s="33" t="n"/>
      <c r="S101" s="33" t="n"/>
      <c r="T101" s="33" t="n"/>
      <c r="U101" s="33" t="n"/>
      <c r="V101" s="33" t="n"/>
      <c r="W101" s="34" t="n"/>
      <c r="X101" s="33" t="n"/>
      <c r="Y101" s="35" t="n"/>
      <c r="Z101" s="157">
        <f>IF(OR(Y101="",X101=""),"",IFERROR(Y101*INDEX(FXRates[USD per unit],MATCH(X101,FXRates[Currency],0)),"No rate"))</f>
        <v/>
      </c>
      <c r="AA101" s="32" t="n"/>
      <c r="AB101" s="32" t="n"/>
      <c r="AC101" s="36">
        <f>IF(A101="","",IF(COUNTIF($A$6:$A$504,A101)&gt;1,"⚠ Duplicate",""))</f>
        <v/>
      </c>
      <c r="AD101" s="43" t="n"/>
      <c r="AE101" s="43" t="n"/>
      <c r="AF101" s="43" t="n"/>
      <c r="AG101" s="43" t="n"/>
      <c r="AH101" s="43" t="n"/>
      <c r="AI101" s="43" t="n"/>
      <c r="AJ101" s="43" t="n"/>
      <c r="AK101" s="43" t="n"/>
      <c r="AL101" s="43" t="n"/>
      <c r="AM101" s="43" t="n"/>
      <c r="AN101" s="43" t="n"/>
      <c r="AO101" s="43" t="n"/>
      <c r="AP101" s="43" t="n"/>
      <c r="AQ101" s="43" t="n"/>
    </row>
    <row r="102" ht="18" customHeight="1" s="74">
      <c r="A102" s="38" t="n"/>
      <c r="B102" s="38" t="n"/>
      <c r="C102" s="38" t="n"/>
      <c r="D102" s="38" t="n"/>
      <c r="E102" s="39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4" t="n"/>
      <c r="X102" s="39" t="n"/>
      <c r="Y102" s="40" t="n"/>
      <c r="Z102" s="158">
        <f>IF(OR(Y102="",X102=""),"",IFERROR(Y102*INDEX(FXRates[USD per unit],MATCH(X102,FXRates[Currency],0)),"No rate"))</f>
        <v/>
      </c>
      <c r="AA102" s="38" t="n"/>
      <c r="AB102" s="38" t="n"/>
      <c r="AC102" s="41">
        <f>IF(A102="","",IF(COUNTIF($A$6:$A$504,A102)&gt;1,"⚠ Duplicate",""))</f>
        <v/>
      </c>
      <c r="AD102" s="42" t="n"/>
      <c r="AE102" s="42" t="n"/>
      <c r="AF102" s="42" t="n"/>
      <c r="AG102" s="42" t="n"/>
      <c r="AH102" s="42" t="n"/>
      <c r="AI102" s="42" t="n"/>
      <c r="AJ102" s="42" t="n"/>
      <c r="AK102" s="42" t="n"/>
      <c r="AL102" s="42" t="n"/>
      <c r="AM102" s="42" t="n"/>
      <c r="AN102" s="42" t="n"/>
      <c r="AO102" s="42" t="n"/>
      <c r="AP102" s="42" t="n"/>
      <c r="AQ102" s="42" t="n"/>
    </row>
    <row r="103" ht="18" customHeight="1" s="74">
      <c r="A103" s="32" t="n"/>
      <c r="B103" s="32" t="n"/>
      <c r="C103" s="32" t="n"/>
      <c r="D103" s="32" t="n"/>
      <c r="E103" s="33" t="n"/>
      <c r="F103" s="33" t="n"/>
      <c r="G103" s="33" t="n"/>
      <c r="H103" s="33" t="n"/>
      <c r="I103" s="33" t="n"/>
      <c r="J103" s="33" t="n"/>
      <c r="K103" s="33" t="n"/>
      <c r="L103" s="33" t="n"/>
      <c r="M103" s="33" t="n"/>
      <c r="N103" s="33" t="n"/>
      <c r="O103" s="33" t="n"/>
      <c r="P103" s="33" t="n"/>
      <c r="Q103" s="33" t="n"/>
      <c r="R103" s="33" t="n"/>
      <c r="S103" s="33" t="n"/>
      <c r="T103" s="33" t="n"/>
      <c r="U103" s="33" t="n"/>
      <c r="V103" s="33" t="n"/>
      <c r="W103" s="34" t="n"/>
      <c r="X103" s="33" t="n"/>
      <c r="Y103" s="35" t="n"/>
      <c r="Z103" s="157">
        <f>IF(OR(Y103="",X103=""),"",IFERROR(Y103*INDEX(FXRates[USD per unit],MATCH(X103,FXRates[Currency],0)),"No rate"))</f>
        <v/>
      </c>
      <c r="AA103" s="32" t="n"/>
      <c r="AB103" s="32" t="n"/>
      <c r="AC103" s="36">
        <f>IF(A103="","",IF(COUNTIF($A$6:$A$504,A103)&gt;1,"⚠ Duplicate",""))</f>
        <v/>
      </c>
      <c r="AD103" s="43" t="n"/>
      <c r="AE103" s="43" t="n"/>
      <c r="AF103" s="43" t="n"/>
      <c r="AG103" s="43" t="n"/>
      <c r="AH103" s="43" t="n"/>
      <c r="AI103" s="43" t="n"/>
      <c r="AJ103" s="43" t="n"/>
      <c r="AK103" s="43" t="n"/>
      <c r="AL103" s="43" t="n"/>
      <c r="AM103" s="43" t="n"/>
      <c r="AN103" s="43" t="n"/>
      <c r="AO103" s="43" t="n"/>
      <c r="AP103" s="43" t="n"/>
      <c r="AQ103" s="43" t="n"/>
    </row>
    <row r="104" ht="18" customHeight="1" s="74">
      <c r="A104" s="38" t="n"/>
      <c r="B104" s="38" t="n"/>
      <c r="C104" s="38" t="n"/>
      <c r="D104" s="38" t="n"/>
      <c r="E104" s="39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4" t="n"/>
      <c r="X104" s="39" t="n"/>
      <c r="Y104" s="40" t="n"/>
      <c r="Z104" s="158">
        <f>IF(OR(Y104="",X104=""),"",IFERROR(Y104*INDEX(FXRates[USD per unit],MATCH(X104,FXRates[Currency],0)),"No rate"))</f>
        <v/>
      </c>
      <c r="AA104" s="38" t="n"/>
      <c r="AB104" s="38" t="n"/>
      <c r="AC104" s="41">
        <f>IF(A104="","",IF(COUNTIF($A$6:$A$504,A104)&gt;1,"⚠ Duplicate",""))</f>
        <v/>
      </c>
      <c r="AD104" s="42" t="n"/>
      <c r="AE104" s="42" t="n"/>
      <c r="AF104" s="42" t="n"/>
      <c r="AG104" s="42" t="n"/>
      <c r="AH104" s="42" t="n"/>
      <c r="AI104" s="42" t="n"/>
      <c r="AJ104" s="42" t="n"/>
      <c r="AK104" s="42" t="n"/>
      <c r="AL104" s="42" t="n"/>
      <c r="AM104" s="42" t="n"/>
      <c r="AN104" s="42" t="n"/>
      <c r="AO104" s="42" t="n"/>
      <c r="AP104" s="42" t="n"/>
      <c r="AQ104" s="42" t="n"/>
    </row>
    <row r="105" ht="18" customHeight="1" s="74">
      <c r="A105" s="32" t="n"/>
      <c r="B105" s="32" t="n"/>
      <c r="C105" s="32" t="n"/>
      <c r="D105" s="32" t="n"/>
      <c r="E105" s="33" t="n"/>
      <c r="F105" s="33" t="n"/>
      <c r="G105" s="33" t="n"/>
      <c r="H105" s="33" t="n"/>
      <c r="I105" s="33" t="n"/>
      <c r="J105" s="33" t="n"/>
      <c r="K105" s="33" t="n"/>
      <c r="L105" s="33" t="n"/>
      <c r="M105" s="33" t="n"/>
      <c r="N105" s="33" t="n"/>
      <c r="O105" s="33" t="n"/>
      <c r="P105" s="33" t="n"/>
      <c r="Q105" s="33" t="n"/>
      <c r="R105" s="33" t="n"/>
      <c r="S105" s="33" t="n"/>
      <c r="T105" s="33" t="n"/>
      <c r="U105" s="33" t="n"/>
      <c r="V105" s="33" t="n"/>
      <c r="W105" s="34" t="n"/>
      <c r="X105" s="33" t="n"/>
      <c r="Y105" s="35" t="n"/>
      <c r="Z105" s="157">
        <f>IF(OR(Y105="",X105=""),"",IFERROR(Y105*INDEX(FXRates[USD per unit],MATCH(X105,FXRates[Currency],0)),"No rate"))</f>
        <v/>
      </c>
      <c r="AA105" s="32" t="n"/>
      <c r="AB105" s="32" t="n"/>
      <c r="AC105" s="36">
        <f>IF(A105="","",IF(COUNTIF($A$6:$A$504,A105)&gt;1,"⚠ Duplicate",""))</f>
        <v/>
      </c>
      <c r="AD105" s="43" t="n"/>
      <c r="AE105" s="43" t="n"/>
      <c r="AF105" s="43" t="n"/>
      <c r="AG105" s="43" t="n"/>
      <c r="AH105" s="43" t="n"/>
      <c r="AI105" s="43" t="n"/>
      <c r="AJ105" s="43" t="n"/>
      <c r="AK105" s="43" t="n"/>
      <c r="AL105" s="43" t="n"/>
      <c r="AM105" s="43" t="n"/>
      <c r="AN105" s="43" t="n"/>
      <c r="AO105" s="43" t="n"/>
      <c r="AP105" s="43" t="n"/>
      <c r="AQ105" s="43" t="n"/>
    </row>
    <row r="106" ht="18" customHeight="1" s="74">
      <c r="A106" s="38" t="n"/>
      <c r="B106" s="38" t="n"/>
      <c r="C106" s="38" t="n"/>
      <c r="D106" s="38" t="n"/>
      <c r="E106" s="39" t="n"/>
      <c r="F106" s="39" t="n"/>
      <c r="G106" s="39" t="n"/>
      <c r="H106" s="39" t="n"/>
      <c r="I106" s="39" t="n"/>
      <c r="J106" s="39" t="n"/>
      <c r="K106" s="39" t="n"/>
      <c r="L106" s="39" t="n"/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4" t="n"/>
      <c r="X106" s="39" t="n"/>
      <c r="Y106" s="40" t="n"/>
      <c r="Z106" s="158">
        <f>IF(OR(Y106="",X106=""),"",IFERROR(Y106*INDEX(FXRates[USD per unit],MATCH(X106,FXRates[Currency],0)),"No rate"))</f>
        <v/>
      </c>
      <c r="AA106" s="38" t="n"/>
      <c r="AB106" s="38" t="n"/>
      <c r="AC106" s="41">
        <f>IF(A106="","",IF(COUNTIF($A$6:$A$504,A106)&gt;1,"⚠ Duplicate",""))</f>
        <v/>
      </c>
      <c r="AD106" s="42" t="n"/>
      <c r="AE106" s="42" t="n"/>
      <c r="AF106" s="42" t="n"/>
      <c r="AG106" s="42" t="n"/>
      <c r="AH106" s="42" t="n"/>
      <c r="AI106" s="42" t="n"/>
      <c r="AJ106" s="42" t="n"/>
      <c r="AK106" s="42" t="n"/>
      <c r="AL106" s="42" t="n"/>
      <c r="AM106" s="42" t="n"/>
      <c r="AN106" s="42" t="n"/>
      <c r="AO106" s="42" t="n"/>
      <c r="AP106" s="42" t="n"/>
      <c r="AQ106" s="42" t="n"/>
    </row>
    <row r="107" ht="18" customHeight="1" s="74">
      <c r="A107" s="32" t="n"/>
      <c r="B107" s="32" t="n"/>
      <c r="C107" s="32" t="n"/>
      <c r="D107" s="32" t="n"/>
      <c r="E107" s="33" t="n"/>
      <c r="F107" s="33" t="n"/>
      <c r="G107" s="33" t="n"/>
      <c r="H107" s="33" t="n"/>
      <c r="I107" s="33" t="n"/>
      <c r="J107" s="33" t="n"/>
      <c r="K107" s="33" t="n"/>
      <c r="L107" s="33" t="n"/>
      <c r="M107" s="33" t="n"/>
      <c r="N107" s="33" t="n"/>
      <c r="O107" s="33" t="n"/>
      <c r="P107" s="33" t="n"/>
      <c r="Q107" s="33" t="n"/>
      <c r="R107" s="33" t="n"/>
      <c r="S107" s="33" t="n"/>
      <c r="T107" s="33" t="n"/>
      <c r="U107" s="33" t="n"/>
      <c r="V107" s="33" t="n"/>
      <c r="W107" s="34" t="n"/>
      <c r="X107" s="33" t="n"/>
      <c r="Y107" s="35" t="n"/>
      <c r="Z107" s="157">
        <f>IF(OR(Y107="",X107=""),"",IFERROR(Y107*INDEX(FXRates[USD per unit],MATCH(X107,FXRates[Currency],0)),"No rate"))</f>
        <v/>
      </c>
      <c r="AA107" s="32" t="n"/>
      <c r="AB107" s="32" t="n"/>
      <c r="AC107" s="36">
        <f>IF(A107="","",IF(COUNTIF($A$6:$A$504,A107)&gt;1,"⚠ Duplicate",""))</f>
        <v/>
      </c>
      <c r="AD107" s="43" t="n"/>
      <c r="AE107" s="43" t="n"/>
      <c r="AF107" s="43" t="n"/>
      <c r="AG107" s="43" t="n"/>
      <c r="AH107" s="43" t="n"/>
      <c r="AI107" s="43" t="n"/>
      <c r="AJ107" s="43" t="n"/>
      <c r="AK107" s="43" t="n"/>
      <c r="AL107" s="43" t="n"/>
      <c r="AM107" s="43" t="n"/>
      <c r="AN107" s="43" t="n"/>
      <c r="AO107" s="43" t="n"/>
      <c r="AP107" s="43" t="n"/>
      <c r="AQ107" s="43" t="n"/>
    </row>
    <row r="108" ht="18" customHeight="1" s="74">
      <c r="A108" s="38" t="n"/>
      <c r="B108" s="38" t="n"/>
      <c r="C108" s="38" t="n"/>
      <c r="D108" s="38" t="n"/>
      <c r="E108" s="39" t="n"/>
      <c r="F108" s="39" t="n"/>
      <c r="G108" s="39" t="n"/>
      <c r="H108" s="39" t="n"/>
      <c r="I108" s="39" t="n"/>
      <c r="J108" s="39" t="n"/>
      <c r="K108" s="39" t="n"/>
      <c r="L108" s="39" t="n"/>
      <c r="M108" s="39" t="n"/>
      <c r="N108" s="39" t="n"/>
      <c r="O108" s="39" t="n"/>
      <c r="P108" s="39" t="n"/>
      <c r="Q108" s="39" t="n"/>
      <c r="R108" s="39" t="n"/>
      <c r="S108" s="39" t="n"/>
      <c r="T108" s="39" t="n"/>
      <c r="U108" s="39" t="n"/>
      <c r="V108" s="39" t="n"/>
      <c r="W108" s="34" t="n"/>
      <c r="X108" s="39" t="n"/>
      <c r="Y108" s="40" t="n"/>
      <c r="Z108" s="158">
        <f>IF(OR(Y108="",X108=""),"",IFERROR(Y108*INDEX(FXRates[USD per unit],MATCH(X108,FXRates[Currency],0)),"No rate"))</f>
        <v/>
      </c>
      <c r="AA108" s="38" t="n"/>
      <c r="AB108" s="38" t="n"/>
      <c r="AC108" s="41">
        <f>IF(A108="","",IF(COUNTIF($A$6:$A$504,A108)&gt;1,"⚠ Duplicate",""))</f>
        <v/>
      </c>
      <c r="AD108" s="42" t="n"/>
      <c r="AE108" s="42" t="n"/>
      <c r="AF108" s="42" t="n"/>
      <c r="AG108" s="42" t="n"/>
      <c r="AH108" s="42" t="n"/>
      <c r="AI108" s="42" t="n"/>
      <c r="AJ108" s="42" t="n"/>
      <c r="AK108" s="42" t="n"/>
      <c r="AL108" s="42" t="n"/>
      <c r="AM108" s="42" t="n"/>
      <c r="AN108" s="42" t="n"/>
      <c r="AO108" s="42" t="n"/>
      <c r="AP108" s="42" t="n"/>
      <c r="AQ108" s="42" t="n"/>
    </row>
    <row r="109" ht="18" customHeight="1" s="74">
      <c r="A109" s="32" t="n"/>
      <c r="B109" s="32" t="n"/>
      <c r="C109" s="32" t="n"/>
      <c r="D109" s="32" t="n"/>
      <c r="E109" s="33" t="n"/>
      <c r="F109" s="33" t="n"/>
      <c r="G109" s="33" t="n"/>
      <c r="H109" s="33" t="n"/>
      <c r="I109" s="33" t="n"/>
      <c r="J109" s="33" t="n"/>
      <c r="K109" s="33" t="n"/>
      <c r="L109" s="33" t="n"/>
      <c r="M109" s="33" t="n"/>
      <c r="N109" s="33" t="n"/>
      <c r="O109" s="33" t="n"/>
      <c r="P109" s="33" t="n"/>
      <c r="Q109" s="33" t="n"/>
      <c r="R109" s="33" t="n"/>
      <c r="S109" s="33" t="n"/>
      <c r="T109" s="33" t="n"/>
      <c r="U109" s="33" t="n"/>
      <c r="V109" s="33" t="n"/>
      <c r="W109" s="34" t="n"/>
      <c r="X109" s="33" t="n"/>
      <c r="Y109" s="35" t="n"/>
      <c r="Z109" s="157">
        <f>IF(OR(Y109="",X109=""),"",IFERROR(Y109*INDEX(FXRates[USD per unit],MATCH(X109,FXRates[Currency],0)),"No rate"))</f>
        <v/>
      </c>
      <c r="AA109" s="32" t="n"/>
      <c r="AB109" s="32" t="n"/>
      <c r="AC109" s="36">
        <f>IF(A109="","",IF(COUNTIF($A$6:$A$504,A109)&gt;1,"⚠ Duplicate",""))</f>
        <v/>
      </c>
      <c r="AD109" s="43" t="n"/>
      <c r="AE109" s="43" t="n"/>
      <c r="AF109" s="43" t="n"/>
      <c r="AG109" s="43" t="n"/>
      <c r="AH109" s="43" t="n"/>
      <c r="AI109" s="43" t="n"/>
      <c r="AJ109" s="43" t="n"/>
      <c r="AK109" s="43" t="n"/>
      <c r="AL109" s="43" t="n"/>
      <c r="AM109" s="43" t="n"/>
      <c r="AN109" s="43" t="n"/>
      <c r="AO109" s="43" t="n"/>
      <c r="AP109" s="43" t="n"/>
      <c r="AQ109" s="43" t="n"/>
    </row>
    <row r="110" ht="18" customHeight="1" s="74">
      <c r="A110" s="38" t="n"/>
      <c r="B110" s="38" t="n"/>
      <c r="C110" s="38" t="n"/>
      <c r="D110" s="38" t="n"/>
      <c r="E110" s="39" t="n"/>
      <c r="F110" s="39" t="n"/>
      <c r="G110" s="39" t="n"/>
      <c r="H110" s="39" t="n"/>
      <c r="I110" s="39" t="n"/>
      <c r="J110" s="39" t="n"/>
      <c r="K110" s="39" t="n"/>
      <c r="L110" s="39" t="n"/>
      <c r="M110" s="39" t="n"/>
      <c r="N110" s="39" t="n"/>
      <c r="O110" s="39" t="n"/>
      <c r="P110" s="39" t="n"/>
      <c r="Q110" s="39" t="n"/>
      <c r="R110" s="39" t="n"/>
      <c r="S110" s="39" t="n"/>
      <c r="T110" s="39" t="n"/>
      <c r="U110" s="39" t="n"/>
      <c r="V110" s="39" t="n"/>
      <c r="W110" s="34" t="n"/>
      <c r="X110" s="39" t="n"/>
      <c r="Y110" s="40" t="n"/>
      <c r="Z110" s="158">
        <f>IF(OR(Y110="",X110=""),"",IFERROR(Y110*INDEX(FXRates[USD per unit],MATCH(X110,FXRates[Currency],0)),"No rate"))</f>
        <v/>
      </c>
      <c r="AA110" s="38" t="n"/>
      <c r="AB110" s="38" t="n"/>
      <c r="AC110" s="41">
        <f>IF(A110="","",IF(COUNTIF($A$6:$A$504,A110)&gt;1,"⚠ Duplicate",""))</f>
        <v/>
      </c>
      <c r="AD110" s="42" t="n"/>
      <c r="AE110" s="42" t="n"/>
      <c r="AF110" s="42" t="n"/>
      <c r="AG110" s="42" t="n"/>
      <c r="AH110" s="42" t="n"/>
      <c r="AI110" s="42" t="n"/>
      <c r="AJ110" s="42" t="n"/>
      <c r="AK110" s="42" t="n"/>
      <c r="AL110" s="42" t="n"/>
      <c r="AM110" s="42" t="n"/>
      <c r="AN110" s="42" t="n"/>
      <c r="AO110" s="42" t="n"/>
      <c r="AP110" s="42" t="n"/>
      <c r="AQ110" s="42" t="n"/>
    </row>
    <row r="111" ht="18" customHeight="1" s="74">
      <c r="A111" s="32" t="n"/>
      <c r="B111" s="32" t="n"/>
      <c r="C111" s="32" t="n"/>
      <c r="D111" s="32" t="n"/>
      <c r="E111" s="33" t="n"/>
      <c r="F111" s="33" t="n"/>
      <c r="G111" s="33" t="n"/>
      <c r="H111" s="33" t="n"/>
      <c r="I111" s="33" t="n"/>
      <c r="J111" s="33" t="n"/>
      <c r="K111" s="33" t="n"/>
      <c r="L111" s="33" t="n"/>
      <c r="M111" s="33" t="n"/>
      <c r="N111" s="33" t="n"/>
      <c r="O111" s="33" t="n"/>
      <c r="P111" s="33" t="n"/>
      <c r="Q111" s="33" t="n"/>
      <c r="R111" s="33" t="n"/>
      <c r="S111" s="33" t="n"/>
      <c r="T111" s="33" t="n"/>
      <c r="U111" s="33" t="n"/>
      <c r="V111" s="33" t="n"/>
      <c r="W111" s="34" t="n"/>
      <c r="X111" s="33" t="n"/>
      <c r="Y111" s="35" t="n"/>
      <c r="Z111" s="157">
        <f>IF(OR(Y111="",X111=""),"",IFERROR(Y111*INDEX(FXRates[USD per unit],MATCH(X111,FXRates[Currency],0)),"No rate"))</f>
        <v/>
      </c>
      <c r="AA111" s="32" t="n"/>
      <c r="AB111" s="32" t="n"/>
      <c r="AC111" s="36">
        <f>IF(A111="","",IF(COUNTIF($A$6:$A$504,A111)&gt;1,"⚠ Duplicate",""))</f>
        <v/>
      </c>
      <c r="AD111" s="43" t="n"/>
      <c r="AE111" s="43" t="n"/>
      <c r="AF111" s="43" t="n"/>
      <c r="AG111" s="43" t="n"/>
      <c r="AH111" s="43" t="n"/>
      <c r="AI111" s="43" t="n"/>
      <c r="AJ111" s="43" t="n"/>
      <c r="AK111" s="43" t="n"/>
      <c r="AL111" s="43" t="n"/>
      <c r="AM111" s="43" t="n"/>
      <c r="AN111" s="43" t="n"/>
      <c r="AO111" s="43" t="n"/>
      <c r="AP111" s="43" t="n"/>
      <c r="AQ111" s="43" t="n"/>
    </row>
    <row r="112" ht="18" customHeight="1" s="74">
      <c r="A112" s="38" t="n"/>
      <c r="B112" s="38" t="n"/>
      <c r="C112" s="38" t="n"/>
      <c r="D112" s="38" t="n"/>
      <c r="E112" s="39" t="n"/>
      <c r="F112" s="39" t="n"/>
      <c r="G112" s="39" t="n"/>
      <c r="H112" s="39" t="n"/>
      <c r="I112" s="39" t="n"/>
      <c r="J112" s="39" t="n"/>
      <c r="K112" s="39" t="n"/>
      <c r="L112" s="39" t="n"/>
      <c r="M112" s="39" t="n"/>
      <c r="N112" s="39" t="n"/>
      <c r="O112" s="39" t="n"/>
      <c r="P112" s="39" t="n"/>
      <c r="Q112" s="39" t="n"/>
      <c r="R112" s="39" t="n"/>
      <c r="S112" s="39" t="n"/>
      <c r="T112" s="39" t="n"/>
      <c r="U112" s="39" t="n"/>
      <c r="V112" s="39" t="n"/>
      <c r="W112" s="34" t="n"/>
      <c r="X112" s="39" t="n"/>
      <c r="Y112" s="40" t="n"/>
      <c r="Z112" s="158">
        <f>IF(OR(Y112="",X112=""),"",IFERROR(Y112*INDEX(FXRates[USD per unit],MATCH(X112,FXRates[Currency],0)),"No rate"))</f>
        <v/>
      </c>
      <c r="AA112" s="38" t="n"/>
      <c r="AB112" s="38" t="n"/>
      <c r="AC112" s="41">
        <f>IF(A112="","",IF(COUNTIF($A$6:$A$504,A112)&gt;1,"⚠ Duplicate",""))</f>
        <v/>
      </c>
      <c r="AD112" s="42" t="n"/>
      <c r="AE112" s="42" t="n"/>
      <c r="AF112" s="42" t="n"/>
      <c r="AG112" s="42" t="n"/>
      <c r="AH112" s="42" t="n"/>
      <c r="AI112" s="42" t="n"/>
      <c r="AJ112" s="42" t="n"/>
      <c r="AK112" s="42" t="n"/>
      <c r="AL112" s="42" t="n"/>
      <c r="AM112" s="42" t="n"/>
      <c r="AN112" s="42" t="n"/>
      <c r="AO112" s="42" t="n"/>
      <c r="AP112" s="42" t="n"/>
      <c r="AQ112" s="42" t="n"/>
    </row>
    <row r="113" ht="18" customHeight="1" s="74">
      <c r="A113" s="32" t="n"/>
      <c r="B113" s="32" t="n"/>
      <c r="C113" s="32" t="n"/>
      <c r="D113" s="32" t="n"/>
      <c r="E113" s="33" t="n"/>
      <c r="F113" s="33" t="n"/>
      <c r="G113" s="33" t="n"/>
      <c r="H113" s="33" t="n"/>
      <c r="I113" s="33" t="n"/>
      <c r="J113" s="33" t="n"/>
      <c r="K113" s="33" t="n"/>
      <c r="L113" s="33" t="n"/>
      <c r="M113" s="33" t="n"/>
      <c r="N113" s="33" t="n"/>
      <c r="O113" s="33" t="n"/>
      <c r="P113" s="33" t="n"/>
      <c r="Q113" s="33" t="n"/>
      <c r="R113" s="33" t="n"/>
      <c r="S113" s="33" t="n"/>
      <c r="T113" s="33" t="n"/>
      <c r="U113" s="33" t="n"/>
      <c r="V113" s="33" t="n"/>
      <c r="W113" s="34" t="n"/>
      <c r="X113" s="33" t="n"/>
      <c r="Y113" s="35" t="n"/>
      <c r="Z113" s="157">
        <f>IF(OR(Y113="",X113=""),"",IFERROR(Y113*INDEX(FXRates[USD per unit],MATCH(X113,FXRates[Currency],0)),"No rate"))</f>
        <v/>
      </c>
      <c r="AA113" s="32" t="n"/>
      <c r="AB113" s="32" t="n"/>
      <c r="AC113" s="36">
        <f>IF(A113="","",IF(COUNTIF($A$6:$A$504,A113)&gt;1,"⚠ Duplicate",""))</f>
        <v/>
      </c>
      <c r="AD113" s="43" t="n"/>
      <c r="AE113" s="43" t="n"/>
      <c r="AF113" s="43" t="n"/>
      <c r="AG113" s="43" t="n"/>
      <c r="AH113" s="43" t="n"/>
      <c r="AI113" s="43" t="n"/>
      <c r="AJ113" s="43" t="n"/>
      <c r="AK113" s="43" t="n"/>
      <c r="AL113" s="43" t="n"/>
      <c r="AM113" s="43" t="n"/>
      <c r="AN113" s="43" t="n"/>
      <c r="AO113" s="43" t="n"/>
      <c r="AP113" s="43" t="n"/>
      <c r="AQ113" s="43" t="n"/>
    </row>
    <row r="114" ht="18" customHeight="1" s="74">
      <c r="A114" s="38" t="n"/>
      <c r="B114" s="38" t="n"/>
      <c r="C114" s="38" t="n"/>
      <c r="D114" s="38" t="n"/>
      <c r="E114" s="39" t="n"/>
      <c r="F114" s="39" t="n"/>
      <c r="G114" s="39" t="n"/>
      <c r="H114" s="39" t="n"/>
      <c r="I114" s="39" t="n"/>
      <c r="J114" s="39" t="n"/>
      <c r="K114" s="39" t="n"/>
      <c r="L114" s="39" t="n"/>
      <c r="M114" s="39" t="n"/>
      <c r="N114" s="39" t="n"/>
      <c r="O114" s="39" t="n"/>
      <c r="P114" s="39" t="n"/>
      <c r="Q114" s="39" t="n"/>
      <c r="R114" s="39" t="n"/>
      <c r="S114" s="39" t="n"/>
      <c r="T114" s="39" t="n"/>
      <c r="U114" s="39" t="n"/>
      <c r="V114" s="39" t="n"/>
      <c r="W114" s="34" t="n"/>
      <c r="X114" s="39" t="n"/>
      <c r="Y114" s="40" t="n"/>
      <c r="Z114" s="158">
        <f>IF(OR(Y114="",X114=""),"",IFERROR(Y114*INDEX(FXRates[USD per unit],MATCH(X114,FXRates[Currency],0)),"No rate"))</f>
        <v/>
      </c>
      <c r="AA114" s="38" t="n"/>
      <c r="AB114" s="38" t="n"/>
      <c r="AC114" s="41">
        <f>IF(A114="","",IF(COUNTIF($A$6:$A$504,A114)&gt;1,"⚠ Duplicate",""))</f>
        <v/>
      </c>
      <c r="AD114" s="42" t="n"/>
      <c r="AE114" s="42" t="n"/>
      <c r="AF114" s="42" t="n"/>
      <c r="AG114" s="42" t="n"/>
      <c r="AH114" s="42" t="n"/>
      <c r="AI114" s="42" t="n"/>
      <c r="AJ114" s="42" t="n"/>
      <c r="AK114" s="42" t="n"/>
      <c r="AL114" s="42" t="n"/>
      <c r="AM114" s="42" t="n"/>
      <c r="AN114" s="42" t="n"/>
      <c r="AO114" s="42" t="n"/>
      <c r="AP114" s="42" t="n"/>
      <c r="AQ114" s="42" t="n"/>
    </row>
    <row r="115" ht="18" customHeight="1" s="74">
      <c r="A115" s="32" t="n"/>
      <c r="B115" s="32" t="n"/>
      <c r="C115" s="32" t="n"/>
      <c r="D115" s="32" t="n"/>
      <c r="E115" s="33" t="n"/>
      <c r="F115" s="33" t="n"/>
      <c r="G115" s="33" t="n"/>
      <c r="H115" s="33" t="n"/>
      <c r="I115" s="33" t="n"/>
      <c r="J115" s="33" t="n"/>
      <c r="K115" s="33" t="n"/>
      <c r="L115" s="33" t="n"/>
      <c r="M115" s="33" t="n"/>
      <c r="N115" s="33" t="n"/>
      <c r="O115" s="33" t="n"/>
      <c r="P115" s="33" t="n"/>
      <c r="Q115" s="33" t="n"/>
      <c r="R115" s="33" t="n"/>
      <c r="S115" s="33" t="n"/>
      <c r="T115" s="33" t="n"/>
      <c r="U115" s="33" t="n"/>
      <c r="V115" s="33" t="n"/>
      <c r="W115" s="34" t="n"/>
      <c r="X115" s="33" t="n"/>
      <c r="Y115" s="35" t="n"/>
      <c r="Z115" s="157">
        <f>IF(OR(Y115="",X115=""),"",IFERROR(Y115*INDEX(FXRates[USD per unit],MATCH(X115,FXRates[Currency],0)),"No rate"))</f>
        <v/>
      </c>
      <c r="AA115" s="32" t="n"/>
      <c r="AB115" s="32" t="n"/>
      <c r="AC115" s="36">
        <f>IF(A115="","",IF(COUNTIF($A$6:$A$504,A115)&gt;1,"⚠ Duplicate",""))</f>
        <v/>
      </c>
      <c r="AD115" s="43" t="n"/>
      <c r="AE115" s="43" t="n"/>
      <c r="AF115" s="43" t="n"/>
      <c r="AG115" s="43" t="n"/>
      <c r="AH115" s="43" t="n"/>
      <c r="AI115" s="43" t="n"/>
      <c r="AJ115" s="43" t="n"/>
      <c r="AK115" s="43" t="n"/>
      <c r="AL115" s="43" t="n"/>
      <c r="AM115" s="43" t="n"/>
      <c r="AN115" s="43" t="n"/>
      <c r="AO115" s="43" t="n"/>
      <c r="AP115" s="43" t="n"/>
      <c r="AQ115" s="43" t="n"/>
    </row>
    <row r="116" ht="18" customHeight="1" s="74">
      <c r="A116" s="38" t="n"/>
      <c r="B116" s="38" t="n"/>
      <c r="C116" s="38" t="n"/>
      <c r="D116" s="38" t="n"/>
      <c r="E116" s="39" t="n"/>
      <c r="F116" s="39" t="n"/>
      <c r="G116" s="39" t="n"/>
      <c r="H116" s="39" t="n"/>
      <c r="I116" s="39" t="n"/>
      <c r="J116" s="39" t="n"/>
      <c r="K116" s="39" t="n"/>
      <c r="L116" s="39" t="n"/>
      <c r="M116" s="39" t="n"/>
      <c r="N116" s="39" t="n"/>
      <c r="O116" s="39" t="n"/>
      <c r="P116" s="39" t="n"/>
      <c r="Q116" s="39" t="n"/>
      <c r="R116" s="39" t="n"/>
      <c r="S116" s="39" t="n"/>
      <c r="T116" s="39" t="n"/>
      <c r="U116" s="39" t="n"/>
      <c r="V116" s="39" t="n"/>
      <c r="W116" s="34" t="n"/>
      <c r="X116" s="39" t="n"/>
      <c r="Y116" s="40" t="n"/>
      <c r="Z116" s="158">
        <f>IF(OR(Y116="",X116=""),"",IFERROR(Y116*INDEX(FXRates[USD per unit],MATCH(X116,FXRates[Currency],0)),"No rate"))</f>
        <v/>
      </c>
      <c r="AA116" s="38" t="n"/>
      <c r="AB116" s="38" t="n"/>
      <c r="AC116" s="41">
        <f>IF(A116="","",IF(COUNTIF($A$6:$A$504,A116)&gt;1,"⚠ Duplicate",""))</f>
        <v/>
      </c>
      <c r="AD116" s="42" t="n"/>
      <c r="AE116" s="42" t="n"/>
      <c r="AF116" s="42" t="n"/>
      <c r="AG116" s="42" t="n"/>
      <c r="AH116" s="42" t="n"/>
      <c r="AI116" s="42" t="n"/>
      <c r="AJ116" s="42" t="n"/>
      <c r="AK116" s="42" t="n"/>
      <c r="AL116" s="42" t="n"/>
      <c r="AM116" s="42" t="n"/>
      <c r="AN116" s="42" t="n"/>
      <c r="AO116" s="42" t="n"/>
      <c r="AP116" s="42" t="n"/>
      <c r="AQ116" s="42" t="n"/>
    </row>
    <row r="117" ht="18" customHeight="1" s="74">
      <c r="A117" s="32" t="n"/>
      <c r="B117" s="32" t="n"/>
      <c r="C117" s="32" t="n"/>
      <c r="D117" s="32" t="n"/>
      <c r="E117" s="33" t="n"/>
      <c r="F117" s="33" t="n"/>
      <c r="G117" s="33" t="n"/>
      <c r="H117" s="33" t="n"/>
      <c r="I117" s="33" t="n"/>
      <c r="J117" s="33" t="n"/>
      <c r="K117" s="33" t="n"/>
      <c r="L117" s="33" t="n"/>
      <c r="M117" s="33" t="n"/>
      <c r="N117" s="33" t="n"/>
      <c r="O117" s="33" t="n"/>
      <c r="P117" s="33" t="n"/>
      <c r="Q117" s="33" t="n"/>
      <c r="R117" s="33" t="n"/>
      <c r="S117" s="33" t="n"/>
      <c r="T117" s="33" t="n"/>
      <c r="U117" s="33" t="n"/>
      <c r="V117" s="33" t="n"/>
      <c r="W117" s="34" t="n"/>
      <c r="X117" s="33" t="n"/>
      <c r="Y117" s="35" t="n"/>
      <c r="Z117" s="157">
        <f>IF(OR(Y117="",X117=""),"",IFERROR(Y117*INDEX(FXRates[USD per unit],MATCH(X117,FXRates[Currency],0)),"No rate"))</f>
        <v/>
      </c>
      <c r="AA117" s="32" t="n"/>
      <c r="AB117" s="32" t="n"/>
      <c r="AC117" s="36">
        <f>IF(A117="","",IF(COUNTIF($A$6:$A$504,A117)&gt;1,"⚠ Duplicate",""))</f>
        <v/>
      </c>
      <c r="AD117" s="43" t="n"/>
      <c r="AE117" s="43" t="n"/>
      <c r="AF117" s="43" t="n"/>
      <c r="AG117" s="43" t="n"/>
      <c r="AH117" s="43" t="n"/>
      <c r="AI117" s="43" t="n"/>
      <c r="AJ117" s="43" t="n"/>
      <c r="AK117" s="43" t="n"/>
      <c r="AL117" s="43" t="n"/>
      <c r="AM117" s="43" t="n"/>
      <c r="AN117" s="43" t="n"/>
      <c r="AO117" s="43" t="n"/>
      <c r="AP117" s="43" t="n"/>
      <c r="AQ117" s="43" t="n"/>
    </row>
    <row r="118" ht="18" customHeight="1" s="74">
      <c r="A118" s="38" t="n"/>
      <c r="B118" s="38" t="n"/>
      <c r="C118" s="38" t="n"/>
      <c r="D118" s="38" t="n"/>
      <c r="E118" s="39" t="n"/>
      <c r="F118" s="39" t="n"/>
      <c r="G118" s="39" t="n"/>
      <c r="H118" s="39" t="n"/>
      <c r="I118" s="39" t="n"/>
      <c r="J118" s="39" t="n"/>
      <c r="K118" s="39" t="n"/>
      <c r="L118" s="39" t="n"/>
      <c r="M118" s="39" t="n"/>
      <c r="N118" s="39" t="n"/>
      <c r="O118" s="39" t="n"/>
      <c r="P118" s="39" t="n"/>
      <c r="Q118" s="39" t="n"/>
      <c r="R118" s="39" t="n"/>
      <c r="S118" s="39" t="n"/>
      <c r="T118" s="39" t="n"/>
      <c r="U118" s="39" t="n"/>
      <c r="V118" s="39" t="n"/>
      <c r="W118" s="34" t="n"/>
      <c r="X118" s="39" t="n"/>
      <c r="Y118" s="40" t="n"/>
      <c r="Z118" s="158">
        <f>IF(OR(Y118="",X118=""),"",IFERROR(Y118*INDEX(FXRates[USD per unit],MATCH(X118,FXRates[Currency],0)),"No rate"))</f>
        <v/>
      </c>
      <c r="AA118" s="38" t="n"/>
      <c r="AB118" s="38" t="n"/>
      <c r="AC118" s="41">
        <f>IF(A118="","",IF(COUNTIF($A$6:$A$504,A118)&gt;1,"⚠ Duplicate",""))</f>
        <v/>
      </c>
      <c r="AD118" s="42" t="n"/>
      <c r="AE118" s="42" t="n"/>
      <c r="AF118" s="42" t="n"/>
      <c r="AG118" s="42" t="n"/>
      <c r="AH118" s="42" t="n"/>
      <c r="AI118" s="42" t="n"/>
      <c r="AJ118" s="42" t="n"/>
      <c r="AK118" s="42" t="n"/>
      <c r="AL118" s="42" t="n"/>
      <c r="AM118" s="42" t="n"/>
      <c r="AN118" s="42" t="n"/>
      <c r="AO118" s="42" t="n"/>
      <c r="AP118" s="42" t="n"/>
      <c r="AQ118" s="42" t="n"/>
    </row>
    <row r="119" ht="18" customHeight="1" s="74">
      <c r="A119" s="32" t="n"/>
      <c r="B119" s="32" t="n"/>
      <c r="C119" s="32" t="n"/>
      <c r="D119" s="32" t="n"/>
      <c r="E119" s="33" t="n"/>
      <c r="F119" s="33" t="n"/>
      <c r="G119" s="33" t="n"/>
      <c r="H119" s="33" t="n"/>
      <c r="I119" s="33" t="n"/>
      <c r="J119" s="33" t="n"/>
      <c r="K119" s="33" t="n"/>
      <c r="L119" s="33" t="n"/>
      <c r="M119" s="33" t="n"/>
      <c r="N119" s="33" t="n"/>
      <c r="O119" s="33" t="n"/>
      <c r="P119" s="33" t="n"/>
      <c r="Q119" s="33" t="n"/>
      <c r="R119" s="33" t="n"/>
      <c r="S119" s="33" t="n"/>
      <c r="T119" s="33" t="n"/>
      <c r="U119" s="33" t="n"/>
      <c r="V119" s="33" t="n"/>
      <c r="W119" s="34" t="n"/>
      <c r="X119" s="33" t="n"/>
      <c r="Y119" s="35" t="n"/>
      <c r="Z119" s="157">
        <f>IF(OR(Y119="",X119=""),"",IFERROR(Y119*INDEX(FXRates[USD per unit],MATCH(X119,FXRates[Currency],0)),"No rate"))</f>
        <v/>
      </c>
      <c r="AA119" s="32" t="n"/>
      <c r="AB119" s="32" t="n"/>
      <c r="AC119" s="36">
        <f>IF(A119="","",IF(COUNTIF($A$6:$A$504,A119)&gt;1,"⚠ Duplicate",""))</f>
        <v/>
      </c>
      <c r="AD119" s="43" t="n"/>
      <c r="AE119" s="43" t="n"/>
      <c r="AF119" s="43" t="n"/>
      <c r="AG119" s="43" t="n"/>
      <c r="AH119" s="43" t="n"/>
      <c r="AI119" s="43" t="n"/>
      <c r="AJ119" s="43" t="n"/>
      <c r="AK119" s="43" t="n"/>
      <c r="AL119" s="43" t="n"/>
      <c r="AM119" s="43" t="n"/>
      <c r="AN119" s="43" t="n"/>
      <c r="AO119" s="43" t="n"/>
      <c r="AP119" s="43" t="n"/>
      <c r="AQ119" s="43" t="n"/>
    </row>
    <row r="120" ht="18" customHeight="1" s="74">
      <c r="A120" s="38" t="n"/>
      <c r="B120" s="38" t="n"/>
      <c r="C120" s="38" t="n"/>
      <c r="D120" s="38" t="n"/>
      <c r="E120" s="39" t="n"/>
      <c r="F120" s="39" t="n"/>
      <c r="G120" s="39" t="n"/>
      <c r="H120" s="39" t="n"/>
      <c r="I120" s="39" t="n"/>
      <c r="J120" s="39" t="n"/>
      <c r="K120" s="39" t="n"/>
      <c r="L120" s="39" t="n"/>
      <c r="M120" s="39" t="n"/>
      <c r="N120" s="39" t="n"/>
      <c r="O120" s="39" t="n"/>
      <c r="P120" s="39" t="n"/>
      <c r="Q120" s="39" t="n"/>
      <c r="R120" s="39" t="n"/>
      <c r="S120" s="39" t="n"/>
      <c r="T120" s="39" t="n"/>
      <c r="U120" s="39" t="n"/>
      <c r="V120" s="39" t="n"/>
      <c r="W120" s="34" t="n"/>
      <c r="X120" s="39" t="n"/>
      <c r="Y120" s="40" t="n"/>
      <c r="Z120" s="158">
        <f>IF(OR(Y120="",X120=""),"",IFERROR(Y120*INDEX(FXRates[USD per unit],MATCH(X120,FXRates[Currency],0)),"No rate"))</f>
        <v/>
      </c>
      <c r="AA120" s="38" t="n"/>
      <c r="AB120" s="38" t="n"/>
      <c r="AC120" s="41">
        <f>IF(A120="","",IF(COUNTIF($A$6:$A$504,A120)&gt;1,"⚠ Duplicate",""))</f>
        <v/>
      </c>
      <c r="AD120" s="42" t="n"/>
      <c r="AE120" s="42" t="n"/>
      <c r="AF120" s="42" t="n"/>
      <c r="AG120" s="42" t="n"/>
      <c r="AH120" s="42" t="n"/>
      <c r="AI120" s="42" t="n"/>
      <c r="AJ120" s="42" t="n"/>
      <c r="AK120" s="42" t="n"/>
      <c r="AL120" s="42" t="n"/>
      <c r="AM120" s="42" t="n"/>
      <c r="AN120" s="42" t="n"/>
      <c r="AO120" s="42" t="n"/>
      <c r="AP120" s="42" t="n"/>
      <c r="AQ120" s="42" t="n"/>
    </row>
    <row r="121" ht="18" customHeight="1" s="74">
      <c r="A121" s="32" t="n"/>
      <c r="B121" s="32" t="n"/>
      <c r="C121" s="32" t="n"/>
      <c r="D121" s="32" t="n"/>
      <c r="E121" s="33" t="n"/>
      <c r="F121" s="33" t="n"/>
      <c r="G121" s="33" t="n"/>
      <c r="H121" s="33" t="n"/>
      <c r="I121" s="33" t="n"/>
      <c r="J121" s="33" t="n"/>
      <c r="K121" s="33" t="n"/>
      <c r="L121" s="33" t="n"/>
      <c r="M121" s="33" t="n"/>
      <c r="N121" s="33" t="n"/>
      <c r="O121" s="33" t="n"/>
      <c r="P121" s="33" t="n"/>
      <c r="Q121" s="33" t="n"/>
      <c r="R121" s="33" t="n"/>
      <c r="S121" s="33" t="n"/>
      <c r="T121" s="33" t="n"/>
      <c r="U121" s="33" t="n"/>
      <c r="V121" s="33" t="n"/>
      <c r="W121" s="34" t="n"/>
      <c r="X121" s="33" t="n"/>
      <c r="Y121" s="35" t="n"/>
      <c r="Z121" s="157">
        <f>IF(OR(Y121="",X121=""),"",IFERROR(Y121*INDEX(FXRates[USD per unit],MATCH(X121,FXRates[Currency],0)),"No rate"))</f>
        <v/>
      </c>
      <c r="AA121" s="32" t="n"/>
      <c r="AB121" s="32" t="n"/>
      <c r="AC121" s="36">
        <f>IF(A121="","",IF(COUNTIF($A$6:$A$504,A121)&gt;1,"⚠ Duplicate",""))</f>
        <v/>
      </c>
      <c r="AD121" s="43" t="n"/>
      <c r="AE121" s="43" t="n"/>
      <c r="AF121" s="43" t="n"/>
      <c r="AG121" s="43" t="n"/>
      <c r="AH121" s="43" t="n"/>
      <c r="AI121" s="43" t="n"/>
      <c r="AJ121" s="43" t="n"/>
      <c r="AK121" s="43" t="n"/>
      <c r="AL121" s="43" t="n"/>
      <c r="AM121" s="43" t="n"/>
      <c r="AN121" s="43" t="n"/>
      <c r="AO121" s="43" t="n"/>
      <c r="AP121" s="43" t="n"/>
      <c r="AQ121" s="43" t="n"/>
    </row>
    <row r="122" ht="18" customHeight="1" s="74">
      <c r="A122" s="38" t="n"/>
      <c r="B122" s="38" t="n"/>
      <c r="C122" s="38" t="n"/>
      <c r="D122" s="38" t="n"/>
      <c r="E122" s="39" t="n"/>
      <c r="F122" s="39" t="n"/>
      <c r="G122" s="39" t="n"/>
      <c r="H122" s="39" t="n"/>
      <c r="I122" s="39" t="n"/>
      <c r="J122" s="39" t="n"/>
      <c r="K122" s="39" t="n"/>
      <c r="L122" s="39" t="n"/>
      <c r="M122" s="39" t="n"/>
      <c r="N122" s="39" t="n"/>
      <c r="O122" s="39" t="n"/>
      <c r="P122" s="39" t="n"/>
      <c r="Q122" s="39" t="n"/>
      <c r="R122" s="39" t="n"/>
      <c r="S122" s="39" t="n"/>
      <c r="T122" s="39" t="n"/>
      <c r="U122" s="39" t="n"/>
      <c r="V122" s="39" t="n"/>
      <c r="W122" s="34" t="n"/>
      <c r="X122" s="39" t="n"/>
      <c r="Y122" s="40" t="n"/>
      <c r="Z122" s="158">
        <f>IF(OR(Y122="",X122=""),"",IFERROR(Y122*INDEX(FXRates[USD per unit],MATCH(X122,FXRates[Currency],0)),"No rate"))</f>
        <v/>
      </c>
      <c r="AA122" s="38" t="n"/>
      <c r="AB122" s="38" t="n"/>
      <c r="AC122" s="41">
        <f>IF(A122="","",IF(COUNTIF($A$6:$A$504,A122)&gt;1,"⚠ Duplicate",""))</f>
        <v/>
      </c>
      <c r="AD122" s="42" t="n"/>
      <c r="AE122" s="42" t="n"/>
      <c r="AF122" s="42" t="n"/>
      <c r="AG122" s="42" t="n"/>
      <c r="AH122" s="42" t="n"/>
      <c r="AI122" s="42" t="n"/>
      <c r="AJ122" s="42" t="n"/>
      <c r="AK122" s="42" t="n"/>
      <c r="AL122" s="42" t="n"/>
      <c r="AM122" s="42" t="n"/>
      <c r="AN122" s="42" t="n"/>
      <c r="AO122" s="42" t="n"/>
      <c r="AP122" s="42" t="n"/>
      <c r="AQ122" s="42" t="n"/>
    </row>
    <row r="123" ht="18" customHeight="1" s="74">
      <c r="A123" s="32" t="n"/>
      <c r="B123" s="32" t="n"/>
      <c r="C123" s="32" t="n"/>
      <c r="D123" s="32" t="n"/>
      <c r="E123" s="33" t="n"/>
      <c r="F123" s="33" t="n"/>
      <c r="G123" s="33" t="n"/>
      <c r="H123" s="33" t="n"/>
      <c r="I123" s="33" t="n"/>
      <c r="J123" s="33" t="n"/>
      <c r="K123" s="33" t="n"/>
      <c r="L123" s="33" t="n"/>
      <c r="M123" s="33" t="n"/>
      <c r="N123" s="33" t="n"/>
      <c r="O123" s="33" t="n"/>
      <c r="P123" s="33" t="n"/>
      <c r="Q123" s="33" t="n"/>
      <c r="R123" s="33" t="n"/>
      <c r="S123" s="33" t="n"/>
      <c r="T123" s="33" t="n"/>
      <c r="U123" s="33" t="n"/>
      <c r="V123" s="33" t="n"/>
      <c r="W123" s="34" t="n"/>
      <c r="X123" s="33" t="n"/>
      <c r="Y123" s="35" t="n"/>
      <c r="Z123" s="157">
        <f>IF(OR(Y123="",X123=""),"",IFERROR(Y123*INDEX(FXRates[USD per unit],MATCH(X123,FXRates[Currency],0)),"No rate"))</f>
        <v/>
      </c>
      <c r="AA123" s="32" t="n"/>
      <c r="AB123" s="32" t="n"/>
      <c r="AC123" s="36">
        <f>IF(A123="","",IF(COUNTIF($A$6:$A$504,A123)&gt;1,"⚠ Duplicate",""))</f>
        <v/>
      </c>
      <c r="AD123" s="43" t="n"/>
      <c r="AE123" s="43" t="n"/>
      <c r="AF123" s="43" t="n"/>
      <c r="AG123" s="43" t="n"/>
      <c r="AH123" s="43" t="n"/>
      <c r="AI123" s="43" t="n"/>
      <c r="AJ123" s="43" t="n"/>
      <c r="AK123" s="43" t="n"/>
      <c r="AL123" s="43" t="n"/>
      <c r="AM123" s="43" t="n"/>
      <c r="AN123" s="43" t="n"/>
      <c r="AO123" s="43" t="n"/>
      <c r="AP123" s="43" t="n"/>
      <c r="AQ123" s="43" t="n"/>
    </row>
    <row r="124" ht="18" customHeight="1" s="74">
      <c r="A124" s="38" t="n"/>
      <c r="B124" s="38" t="n"/>
      <c r="C124" s="38" t="n"/>
      <c r="D124" s="38" t="n"/>
      <c r="E124" s="39" t="n"/>
      <c r="F124" s="39" t="n"/>
      <c r="G124" s="39" t="n"/>
      <c r="H124" s="39" t="n"/>
      <c r="I124" s="39" t="n"/>
      <c r="J124" s="39" t="n"/>
      <c r="K124" s="39" t="n"/>
      <c r="L124" s="39" t="n"/>
      <c r="M124" s="39" t="n"/>
      <c r="N124" s="39" t="n"/>
      <c r="O124" s="39" t="n"/>
      <c r="P124" s="39" t="n"/>
      <c r="Q124" s="39" t="n"/>
      <c r="R124" s="39" t="n"/>
      <c r="S124" s="39" t="n"/>
      <c r="T124" s="39" t="n"/>
      <c r="U124" s="39" t="n"/>
      <c r="V124" s="39" t="n"/>
      <c r="W124" s="34" t="n"/>
      <c r="X124" s="39" t="n"/>
      <c r="Y124" s="40" t="n"/>
      <c r="Z124" s="158">
        <f>IF(OR(Y124="",X124=""),"",IFERROR(Y124*INDEX(FXRates[USD per unit],MATCH(X124,FXRates[Currency],0)),"No rate"))</f>
        <v/>
      </c>
      <c r="AA124" s="38" t="n"/>
      <c r="AB124" s="38" t="n"/>
      <c r="AC124" s="41">
        <f>IF(A124="","",IF(COUNTIF($A$6:$A$504,A124)&gt;1,"⚠ Duplicate",""))</f>
        <v/>
      </c>
      <c r="AD124" s="42" t="n"/>
      <c r="AE124" s="42" t="n"/>
      <c r="AF124" s="42" t="n"/>
      <c r="AG124" s="42" t="n"/>
      <c r="AH124" s="42" t="n"/>
      <c r="AI124" s="42" t="n"/>
      <c r="AJ124" s="42" t="n"/>
      <c r="AK124" s="42" t="n"/>
      <c r="AL124" s="42" t="n"/>
      <c r="AM124" s="42" t="n"/>
      <c r="AN124" s="42" t="n"/>
      <c r="AO124" s="42" t="n"/>
      <c r="AP124" s="42" t="n"/>
      <c r="AQ124" s="42" t="n"/>
    </row>
    <row r="125" ht="18" customHeight="1" s="74">
      <c r="A125" s="32" t="n"/>
      <c r="B125" s="32" t="n"/>
      <c r="C125" s="32" t="n"/>
      <c r="D125" s="32" t="n"/>
      <c r="E125" s="33" t="n"/>
      <c r="F125" s="33" t="n"/>
      <c r="G125" s="33" t="n"/>
      <c r="H125" s="33" t="n"/>
      <c r="I125" s="33" t="n"/>
      <c r="J125" s="33" t="n"/>
      <c r="K125" s="33" t="n"/>
      <c r="L125" s="33" t="n"/>
      <c r="M125" s="33" t="n"/>
      <c r="N125" s="33" t="n"/>
      <c r="O125" s="33" t="n"/>
      <c r="P125" s="33" t="n"/>
      <c r="Q125" s="33" t="n"/>
      <c r="R125" s="33" t="n"/>
      <c r="S125" s="33" t="n"/>
      <c r="T125" s="33" t="n"/>
      <c r="U125" s="33" t="n"/>
      <c r="V125" s="33" t="n"/>
      <c r="W125" s="34" t="n"/>
      <c r="X125" s="33" t="n"/>
      <c r="Y125" s="35" t="n"/>
      <c r="Z125" s="157">
        <f>IF(OR(Y125="",X125=""),"",IFERROR(Y125*INDEX(FXRates[USD per unit],MATCH(X125,FXRates[Currency],0)),"No rate"))</f>
        <v/>
      </c>
      <c r="AA125" s="32" t="n"/>
      <c r="AB125" s="32" t="n"/>
      <c r="AC125" s="36">
        <f>IF(A125="","",IF(COUNTIF($A$6:$A$504,A125)&gt;1,"⚠ Duplicate",""))</f>
        <v/>
      </c>
      <c r="AD125" s="43" t="n"/>
      <c r="AE125" s="43" t="n"/>
      <c r="AF125" s="43" t="n"/>
      <c r="AG125" s="43" t="n"/>
      <c r="AH125" s="43" t="n"/>
      <c r="AI125" s="43" t="n"/>
      <c r="AJ125" s="43" t="n"/>
      <c r="AK125" s="43" t="n"/>
      <c r="AL125" s="43" t="n"/>
      <c r="AM125" s="43" t="n"/>
      <c r="AN125" s="43" t="n"/>
      <c r="AO125" s="43" t="n"/>
      <c r="AP125" s="43" t="n"/>
      <c r="AQ125" s="43" t="n"/>
    </row>
    <row r="126" ht="18" customHeight="1" s="74">
      <c r="A126" s="38" t="n"/>
      <c r="B126" s="38" t="n"/>
      <c r="C126" s="38" t="n"/>
      <c r="D126" s="38" t="n"/>
      <c r="E126" s="39" t="n"/>
      <c r="F126" s="39" t="n"/>
      <c r="G126" s="39" t="n"/>
      <c r="H126" s="39" t="n"/>
      <c r="I126" s="39" t="n"/>
      <c r="J126" s="39" t="n"/>
      <c r="K126" s="39" t="n"/>
      <c r="L126" s="39" t="n"/>
      <c r="M126" s="39" t="n"/>
      <c r="N126" s="39" t="n"/>
      <c r="O126" s="39" t="n"/>
      <c r="P126" s="39" t="n"/>
      <c r="Q126" s="39" t="n"/>
      <c r="R126" s="39" t="n"/>
      <c r="S126" s="39" t="n"/>
      <c r="T126" s="39" t="n"/>
      <c r="U126" s="39" t="n"/>
      <c r="V126" s="39" t="n"/>
      <c r="W126" s="34" t="n"/>
      <c r="X126" s="39" t="n"/>
      <c r="Y126" s="40" t="n"/>
      <c r="Z126" s="158">
        <f>IF(OR(Y126="",X126=""),"",IFERROR(Y126*INDEX(FXRates[USD per unit],MATCH(X126,FXRates[Currency],0)),"No rate"))</f>
        <v/>
      </c>
      <c r="AA126" s="38" t="n"/>
      <c r="AB126" s="38" t="n"/>
      <c r="AC126" s="41">
        <f>IF(A126="","",IF(COUNTIF($A$6:$A$504,A126)&gt;1,"⚠ Duplicate",""))</f>
        <v/>
      </c>
      <c r="AD126" s="42" t="n"/>
      <c r="AE126" s="42" t="n"/>
      <c r="AF126" s="42" t="n"/>
      <c r="AG126" s="42" t="n"/>
      <c r="AH126" s="42" t="n"/>
      <c r="AI126" s="42" t="n"/>
      <c r="AJ126" s="42" t="n"/>
      <c r="AK126" s="42" t="n"/>
      <c r="AL126" s="42" t="n"/>
      <c r="AM126" s="42" t="n"/>
      <c r="AN126" s="42" t="n"/>
      <c r="AO126" s="42" t="n"/>
      <c r="AP126" s="42" t="n"/>
      <c r="AQ126" s="42" t="n"/>
    </row>
    <row r="127" ht="18" customHeight="1" s="74">
      <c r="A127" s="32" t="n"/>
      <c r="B127" s="32" t="n"/>
      <c r="C127" s="32" t="n"/>
      <c r="D127" s="32" t="n"/>
      <c r="E127" s="33" t="n"/>
      <c r="F127" s="33" t="n"/>
      <c r="G127" s="33" t="n"/>
      <c r="H127" s="33" t="n"/>
      <c r="I127" s="33" t="n"/>
      <c r="J127" s="33" t="n"/>
      <c r="K127" s="33" t="n"/>
      <c r="L127" s="33" t="n"/>
      <c r="M127" s="33" t="n"/>
      <c r="N127" s="33" t="n"/>
      <c r="O127" s="33" t="n"/>
      <c r="P127" s="33" t="n"/>
      <c r="Q127" s="33" t="n"/>
      <c r="R127" s="33" t="n"/>
      <c r="S127" s="33" t="n"/>
      <c r="T127" s="33" t="n"/>
      <c r="U127" s="33" t="n"/>
      <c r="V127" s="33" t="n"/>
      <c r="W127" s="34" t="n"/>
      <c r="X127" s="33" t="n"/>
      <c r="Y127" s="35" t="n"/>
      <c r="Z127" s="157">
        <f>IF(OR(Y127="",X127=""),"",IFERROR(Y127*INDEX(FXRates[USD per unit],MATCH(X127,FXRates[Currency],0)),"No rate"))</f>
        <v/>
      </c>
      <c r="AA127" s="32" t="n"/>
      <c r="AB127" s="32" t="n"/>
      <c r="AC127" s="36">
        <f>IF(A127="","",IF(COUNTIF($A$6:$A$504,A127)&gt;1,"⚠ Duplicate",""))</f>
        <v/>
      </c>
      <c r="AD127" s="43" t="n"/>
      <c r="AE127" s="43" t="n"/>
      <c r="AF127" s="43" t="n"/>
      <c r="AG127" s="43" t="n"/>
      <c r="AH127" s="43" t="n"/>
      <c r="AI127" s="43" t="n"/>
      <c r="AJ127" s="43" t="n"/>
      <c r="AK127" s="43" t="n"/>
      <c r="AL127" s="43" t="n"/>
      <c r="AM127" s="43" t="n"/>
      <c r="AN127" s="43" t="n"/>
      <c r="AO127" s="43" t="n"/>
      <c r="AP127" s="43" t="n"/>
      <c r="AQ127" s="43" t="n"/>
    </row>
    <row r="128" ht="18" customHeight="1" s="74">
      <c r="A128" s="38" t="n"/>
      <c r="B128" s="38" t="n"/>
      <c r="C128" s="38" t="n"/>
      <c r="D128" s="38" t="n"/>
      <c r="E128" s="39" t="n"/>
      <c r="F128" s="39" t="n"/>
      <c r="G128" s="39" t="n"/>
      <c r="H128" s="39" t="n"/>
      <c r="I128" s="39" t="n"/>
      <c r="J128" s="39" t="n"/>
      <c r="K128" s="39" t="n"/>
      <c r="L128" s="39" t="n"/>
      <c r="M128" s="39" t="n"/>
      <c r="N128" s="39" t="n"/>
      <c r="O128" s="39" t="n"/>
      <c r="P128" s="39" t="n"/>
      <c r="Q128" s="39" t="n"/>
      <c r="R128" s="39" t="n"/>
      <c r="S128" s="39" t="n"/>
      <c r="T128" s="39" t="n"/>
      <c r="U128" s="39" t="n"/>
      <c r="V128" s="39" t="n"/>
      <c r="W128" s="34" t="n"/>
      <c r="X128" s="39" t="n"/>
      <c r="Y128" s="40" t="n"/>
      <c r="Z128" s="158">
        <f>IF(OR(Y128="",X128=""),"",IFERROR(Y128*INDEX(FXRates[USD per unit],MATCH(X128,FXRates[Currency],0)),"No rate"))</f>
        <v/>
      </c>
      <c r="AA128" s="38" t="n"/>
      <c r="AB128" s="38" t="n"/>
      <c r="AC128" s="41">
        <f>IF(A128="","",IF(COUNTIF($A$6:$A$504,A128)&gt;1,"⚠ Duplicate",""))</f>
        <v/>
      </c>
      <c r="AD128" s="42" t="n"/>
      <c r="AE128" s="42" t="n"/>
      <c r="AF128" s="42" t="n"/>
      <c r="AG128" s="42" t="n"/>
      <c r="AH128" s="42" t="n"/>
      <c r="AI128" s="42" t="n"/>
      <c r="AJ128" s="42" t="n"/>
      <c r="AK128" s="42" t="n"/>
      <c r="AL128" s="42" t="n"/>
      <c r="AM128" s="42" t="n"/>
      <c r="AN128" s="42" t="n"/>
      <c r="AO128" s="42" t="n"/>
      <c r="AP128" s="42" t="n"/>
      <c r="AQ128" s="42" t="n"/>
    </row>
    <row r="129" ht="18" customHeight="1" s="74">
      <c r="A129" s="32" t="n"/>
      <c r="B129" s="32" t="n"/>
      <c r="C129" s="32" t="n"/>
      <c r="D129" s="32" t="n"/>
      <c r="E129" s="33" t="n"/>
      <c r="F129" s="33" t="n"/>
      <c r="G129" s="33" t="n"/>
      <c r="H129" s="33" t="n"/>
      <c r="I129" s="33" t="n"/>
      <c r="J129" s="33" t="n"/>
      <c r="K129" s="33" t="n"/>
      <c r="L129" s="33" t="n"/>
      <c r="M129" s="33" t="n"/>
      <c r="N129" s="33" t="n"/>
      <c r="O129" s="33" t="n"/>
      <c r="P129" s="33" t="n"/>
      <c r="Q129" s="33" t="n"/>
      <c r="R129" s="33" t="n"/>
      <c r="S129" s="33" t="n"/>
      <c r="T129" s="33" t="n"/>
      <c r="U129" s="33" t="n"/>
      <c r="V129" s="33" t="n"/>
      <c r="W129" s="34" t="n"/>
      <c r="X129" s="33" t="n"/>
      <c r="Y129" s="35" t="n"/>
      <c r="Z129" s="157">
        <f>IF(OR(Y129="",X129=""),"",IFERROR(Y129*INDEX(FXRates[USD per unit],MATCH(X129,FXRates[Currency],0)),"No rate"))</f>
        <v/>
      </c>
      <c r="AA129" s="32" t="n"/>
      <c r="AB129" s="32" t="n"/>
      <c r="AC129" s="36">
        <f>IF(A129="","",IF(COUNTIF($A$6:$A$504,A129)&gt;1,"⚠ Duplicate",""))</f>
        <v/>
      </c>
      <c r="AD129" s="43" t="n"/>
      <c r="AE129" s="43" t="n"/>
      <c r="AF129" s="43" t="n"/>
      <c r="AG129" s="43" t="n"/>
      <c r="AH129" s="43" t="n"/>
      <c r="AI129" s="43" t="n"/>
      <c r="AJ129" s="43" t="n"/>
      <c r="AK129" s="43" t="n"/>
      <c r="AL129" s="43" t="n"/>
      <c r="AM129" s="43" t="n"/>
      <c r="AN129" s="43" t="n"/>
      <c r="AO129" s="43" t="n"/>
      <c r="AP129" s="43" t="n"/>
      <c r="AQ129" s="43" t="n"/>
    </row>
    <row r="130" ht="18" customHeight="1" s="74">
      <c r="A130" s="38" t="n"/>
      <c r="B130" s="38" t="n"/>
      <c r="C130" s="38" t="n"/>
      <c r="D130" s="38" t="n"/>
      <c r="E130" s="39" t="n"/>
      <c r="F130" s="39" t="n"/>
      <c r="G130" s="39" t="n"/>
      <c r="H130" s="39" t="n"/>
      <c r="I130" s="39" t="n"/>
      <c r="J130" s="39" t="n"/>
      <c r="K130" s="39" t="n"/>
      <c r="L130" s="39" t="n"/>
      <c r="M130" s="39" t="n"/>
      <c r="N130" s="39" t="n"/>
      <c r="O130" s="39" t="n"/>
      <c r="P130" s="39" t="n"/>
      <c r="Q130" s="39" t="n"/>
      <c r="R130" s="39" t="n"/>
      <c r="S130" s="39" t="n"/>
      <c r="T130" s="39" t="n"/>
      <c r="U130" s="39" t="n"/>
      <c r="V130" s="39" t="n"/>
      <c r="W130" s="34" t="n"/>
      <c r="X130" s="39" t="n"/>
      <c r="Y130" s="40" t="n"/>
      <c r="Z130" s="158">
        <f>IF(OR(Y130="",X130=""),"",IFERROR(Y130*INDEX(FXRates[USD per unit],MATCH(X130,FXRates[Currency],0)),"No rate"))</f>
        <v/>
      </c>
      <c r="AA130" s="38" t="n"/>
      <c r="AB130" s="38" t="n"/>
      <c r="AC130" s="41">
        <f>IF(A130="","",IF(COUNTIF($A$6:$A$504,A130)&gt;1,"⚠ Duplicate",""))</f>
        <v/>
      </c>
      <c r="AD130" s="42" t="n"/>
      <c r="AE130" s="42" t="n"/>
      <c r="AF130" s="42" t="n"/>
      <c r="AG130" s="42" t="n"/>
      <c r="AH130" s="42" t="n"/>
      <c r="AI130" s="42" t="n"/>
      <c r="AJ130" s="42" t="n"/>
      <c r="AK130" s="42" t="n"/>
      <c r="AL130" s="42" t="n"/>
      <c r="AM130" s="42" t="n"/>
      <c r="AN130" s="42" t="n"/>
      <c r="AO130" s="42" t="n"/>
      <c r="AP130" s="42" t="n"/>
      <c r="AQ130" s="42" t="n"/>
    </row>
    <row r="131" ht="18" customHeight="1" s="74">
      <c r="A131" s="32" t="n"/>
      <c r="B131" s="32" t="n"/>
      <c r="C131" s="32" t="n"/>
      <c r="D131" s="32" t="n"/>
      <c r="E131" s="33" t="n"/>
      <c r="F131" s="33" t="n"/>
      <c r="G131" s="33" t="n"/>
      <c r="H131" s="33" t="n"/>
      <c r="I131" s="33" t="n"/>
      <c r="J131" s="33" t="n"/>
      <c r="K131" s="33" t="n"/>
      <c r="L131" s="33" t="n"/>
      <c r="M131" s="33" t="n"/>
      <c r="N131" s="33" t="n"/>
      <c r="O131" s="33" t="n"/>
      <c r="P131" s="33" t="n"/>
      <c r="Q131" s="33" t="n"/>
      <c r="R131" s="33" t="n"/>
      <c r="S131" s="33" t="n"/>
      <c r="T131" s="33" t="n"/>
      <c r="U131" s="33" t="n"/>
      <c r="V131" s="33" t="n"/>
      <c r="W131" s="34" t="n"/>
      <c r="X131" s="33" t="n"/>
      <c r="Y131" s="35" t="n"/>
      <c r="Z131" s="157">
        <f>IF(OR(Y131="",X131=""),"",IFERROR(Y131*INDEX(FXRates[USD per unit],MATCH(X131,FXRates[Currency],0)),"No rate"))</f>
        <v/>
      </c>
      <c r="AA131" s="32" t="n"/>
      <c r="AB131" s="32" t="n"/>
      <c r="AC131" s="36">
        <f>IF(A131="","",IF(COUNTIF($A$6:$A$504,A131)&gt;1,"⚠ Duplicate",""))</f>
        <v/>
      </c>
      <c r="AD131" s="43" t="n"/>
      <c r="AE131" s="43" t="n"/>
      <c r="AF131" s="43" t="n"/>
      <c r="AG131" s="43" t="n"/>
      <c r="AH131" s="43" t="n"/>
      <c r="AI131" s="43" t="n"/>
      <c r="AJ131" s="43" t="n"/>
      <c r="AK131" s="43" t="n"/>
      <c r="AL131" s="43" t="n"/>
      <c r="AM131" s="43" t="n"/>
      <c r="AN131" s="43" t="n"/>
      <c r="AO131" s="43" t="n"/>
      <c r="AP131" s="43" t="n"/>
      <c r="AQ131" s="43" t="n"/>
    </row>
    <row r="132" ht="18" customHeight="1" s="74">
      <c r="A132" s="38" t="n"/>
      <c r="B132" s="38" t="n"/>
      <c r="C132" s="38" t="n"/>
      <c r="D132" s="38" t="n"/>
      <c r="E132" s="39" t="n"/>
      <c r="F132" s="39" t="n"/>
      <c r="G132" s="39" t="n"/>
      <c r="H132" s="39" t="n"/>
      <c r="I132" s="39" t="n"/>
      <c r="J132" s="39" t="n"/>
      <c r="K132" s="39" t="n"/>
      <c r="L132" s="39" t="n"/>
      <c r="M132" s="39" t="n"/>
      <c r="N132" s="39" t="n"/>
      <c r="O132" s="39" t="n"/>
      <c r="P132" s="39" t="n"/>
      <c r="Q132" s="39" t="n"/>
      <c r="R132" s="39" t="n"/>
      <c r="S132" s="39" t="n"/>
      <c r="T132" s="39" t="n"/>
      <c r="U132" s="39" t="n"/>
      <c r="V132" s="39" t="n"/>
      <c r="W132" s="34" t="n"/>
      <c r="X132" s="39" t="n"/>
      <c r="Y132" s="40" t="n"/>
      <c r="Z132" s="158">
        <f>IF(OR(Y132="",X132=""),"",IFERROR(Y132*INDEX(FXRates[USD per unit],MATCH(X132,FXRates[Currency],0)),"No rate"))</f>
        <v/>
      </c>
      <c r="AA132" s="38" t="n"/>
      <c r="AB132" s="38" t="n"/>
      <c r="AC132" s="41">
        <f>IF(A132="","",IF(COUNTIF($A$6:$A$504,A132)&gt;1,"⚠ Duplicate",""))</f>
        <v/>
      </c>
      <c r="AD132" s="42" t="n"/>
      <c r="AE132" s="42" t="n"/>
      <c r="AF132" s="42" t="n"/>
      <c r="AG132" s="42" t="n"/>
      <c r="AH132" s="42" t="n"/>
      <c r="AI132" s="42" t="n"/>
      <c r="AJ132" s="42" t="n"/>
      <c r="AK132" s="42" t="n"/>
      <c r="AL132" s="42" t="n"/>
      <c r="AM132" s="42" t="n"/>
      <c r="AN132" s="42" t="n"/>
      <c r="AO132" s="42" t="n"/>
      <c r="AP132" s="42" t="n"/>
      <c r="AQ132" s="42" t="n"/>
    </row>
    <row r="133" ht="18" customHeight="1" s="74">
      <c r="A133" s="32" t="n"/>
      <c r="B133" s="32" t="n"/>
      <c r="C133" s="32" t="n"/>
      <c r="D133" s="32" t="n"/>
      <c r="E133" s="33" t="n"/>
      <c r="F133" s="33" t="n"/>
      <c r="G133" s="33" t="n"/>
      <c r="H133" s="33" t="n"/>
      <c r="I133" s="33" t="n"/>
      <c r="J133" s="33" t="n"/>
      <c r="K133" s="33" t="n"/>
      <c r="L133" s="33" t="n"/>
      <c r="M133" s="33" t="n"/>
      <c r="N133" s="33" t="n"/>
      <c r="O133" s="33" t="n"/>
      <c r="P133" s="33" t="n"/>
      <c r="Q133" s="33" t="n"/>
      <c r="R133" s="33" t="n"/>
      <c r="S133" s="33" t="n"/>
      <c r="T133" s="33" t="n"/>
      <c r="U133" s="33" t="n"/>
      <c r="V133" s="33" t="n"/>
      <c r="W133" s="34" t="n"/>
      <c r="X133" s="33" t="n"/>
      <c r="Y133" s="35" t="n"/>
      <c r="Z133" s="157">
        <f>IF(OR(Y133="",X133=""),"",IFERROR(Y133*INDEX(FXRates[USD per unit],MATCH(X133,FXRates[Currency],0)),"No rate"))</f>
        <v/>
      </c>
      <c r="AA133" s="32" t="n"/>
      <c r="AB133" s="32" t="n"/>
      <c r="AC133" s="36">
        <f>IF(A133="","",IF(COUNTIF($A$6:$A$504,A133)&gt;1,"⚠ Duplicate",""))</f>
        <v/>
      </c>
      <c r="AD133" s="43" t="n"/>
      <c r="AE133" s="43" t="n"/>
      <c r="AF133" s="43" t="n"/>
      <c r="AG133" s="43" t="n"/>
      <c r="AH133" s="43" t="n"/>
      <c r="AI133" s="43" t="n"/>
      <c r="AJ133" s="43" t="n"/>
      <c r="AK133" s="43" t="n"/>
      <c r="AL133" s="43" t="n"/>
      <c r="AM133" s="43" t="n"/>
      <c r="AN133" s="43" t="n"/>
      <c r="AO133" s="43" t="n"/>
      <c r="AP133" s="43" t="n"/>
      <c r="AQ133" s="43" t="n"/>
    </row>
    <row r="134" ht="18" customHeight="1" s="74">
      <c r="A134" s="38" t="n"/>
      <c r="B134" s="38" t="n"/>
      <c r="C134" s="38" t="n"/>
      <c r="D134" s="38" t="n"/>
      <c r="E134" s="39" t="n"/>
      <c r="F134" s="39" t="n"/>
      <c r="G134" s="39" t="n"/>
      <c r="H134" s="39" t="n"/>
      <c r="I134" s="39" t="n"/>
      <c r="J134" s="39" t="n"/>
      <c r="K134" s="39" t="n"/>
      <c r="L134" s="39" t="n"/>
      <c r="M134" s="39" t="n"/>
      <c r="N134" s="39" t="n"/>
      <c r="O134" s="39" t="n"/>
      <c r="P134" s="39" t="n"/>
      <c r="Q134" s="39" t="n"/>
      <c r="R134" s="39" t="n"/>
      <c r="S134" s="39" t="n"/>
      <c r="T134" s="39" t="n"/>
      <c r="U134" s="39" t="n"/>
      <c r="V134" s="39" t="n"/>
      <c r="W134" s="34" t="n"/>
      <c r="X134" s="39" t="n"/>
      <c r="Y134" s="40" t="n"/>
      <c r="Z134" s="158">
        <f>IF(OR(Y134="",X134=""),"",IFERROR(Y134*INDEX(FXRates[USD per unit],MATCH(X134,FXRates[Currency],0)),"No rate"))</f>
        <v/>
      </c>
      <c r="AA134" s="38" t="n"/>
      <c r="AB134" s="38" t="n"/>
      <c r="AC134" s="41">
        <f>IF(A134="","",IF(COUNTIF($A$6:$A$504,A134)&gt;1,"⚠ Duplicate",""))</f>
        <v/>
      </c>
      <c r="AD134" s="42" t="n"/>
      <c r="AE134" s="42" t="n"/>
      <c r="AF134" s="42" t="n"/>
      <c r="AG134" s="42" t="n"/>
      <c r="AH134" s="42" t="n"/>
      <c r="AI134" s="42" t="n"/>
      <c r="AJ134" s="42" t="n"/>
      <c r="AK134" s="42" t="n"/>
      <c r="AL134" s="42" t="n"/>
      <c r="AM134" s="42" t="n"/>
      <c r="AN134" s="42" t="n"/>
      <c r="AO134" s="42" t="n"/>
      <c r="AP134" s="42" t="n"/>
      <c r="AQ134" s="42" t="n"/>
    </row>
    <row r="135" ht="18" customHeight="1" s="74">
      <c r="A135" s="32" t="n"/>
      <c r="B135" s="32" t="n"/>
      <c r="C135" s="32" t="n"/>
      <c r="D135" s="32" t="n"/>
      <c r="E135" s="33" t="n"/>
      <c r="F135" s="33" t="n"/>
      <c r="G135" s="33" t="n"/>
      <c r="H135" s="33" t="n"/>
      <c r="I135" s="33" t="n"/>
      <c r="J135" s="33" t="n"/>
      <c r="K135" s="33" t="n"/>
      <c r="L135" s="33" t="n"/>
      <c r="M135" s="33" t="n"/>
      <c r="N135" s="33" t="n"/>
      <c r="O135" s="33" t="n"/>
      <c r="P135" s="33" t="n"/>
      <c r="Q135" s="33" t="n"/>
      <c r="R135" s="33" t="n"/>
      <c r="S135" s="33" t="n"/>
      <c r="T135" s="33" t="n"/>
      <c r="U135" s="33" t="n"/>
      <c r="V135" s="33" t="n"/>
      <c r="W135" s="34" t="n"/>
      <c r="X135" s="33" t="n"/>
      <c r="Y135" s="35" t="n"/>
      <c r="Z135" s="157">
        <f>IF(OR(Y135="",X135=""),"",IFERROR(Y135*INDEX(FXRates[USD per unit],MATCH(X135,FXRates[Currency],0)),"No rate"))</f>
        <v/>
      </c>
      <c r="AA135" s="32" t="n"/>
      <c r="AB135" s="32" t="n"/>
      <c r="AC135" s="36">
        <f>IF(A135="","",IF(COUNTIF($A$6:$A$504,A135)&gt;1,"⚠ Duplicate",""))</f>
        <v/>
      </c>
      <c r="AD135" s="43" t="n"/>
      <c r="AE135" s="43" t="n"/>
      <c r="AF135" s="43" t="n"/>
      <c r="AG135" s="43" t="n"/>
      <c r="AH135" s="43" t="n"/>
      <c r="AI135" s="43" t="n"/>
      <c r="AJ135" s="43" t="n"/>
      <c r="AK135" s="43" t="n"/>
      <c r="AL135" s="43" t="n"/>
      <c r="AM135" s="43" t="n"/>
      <c r="AN135" s="43" t="n"/>
      <c r="AO135" s="43" t="n"/>
      <c r="AP135" s="43" t="n"/>
      <c r="AQ135" s="43" t="n"/>
    </row>
    <row r="136" ht="18" customHeight="1" s="74">
      <c r="A136" s="38" t="n"/>
      <c r="B136" s="38" t="n"/>
      <c r="C136" s="38" t="n"/>
      <c r="D136" s="38" t="n"/>
      <c r="E136" s="39" t="n"/>
      <c r="F136" s="39" t="n"/>
      <c r="G136" s="39" t="n"/>
      <c r="H136" s="39" t="n"/>
      <c r="I136" s="39" t="n"/>
      <c r="J136" s="39" t="n"/>
      <c r="K136" s="39" t="n"/>
      <c r="L136" s="39" t="n"/>
      <c r="M136" s="39" t="n"/>
      <c r="N136" s="39" t="n"/>
      <c r="O136" s="39" t="n"/>
      <c r="P136" s="39" t="n"/>
      <c r="Q136" s="39" t="n"/>
      <c r="R136" s="39" t="n"/>
      <c r="S136" s="39" t="n"/>
      <c r="T136" s="39" t="n"/>
      <c r="U136" s="39" t="n"/>
      <c r="V136" s="39" t="n"/>
      <c r="W136" s="34" t="n"/>
      <c r="X136" s="39" t="n"/>
      <c r="Y136" s="40" t="n"/>
      <c r="Z136" s="158">
        <f>IF(OR(Y136="",X136=""),"",IFERROR(Y136*INDEX(FXRates[USD per unit],MATCH(X136,FXRates[Currency],0)),"No rate"))</f>
        <v/>
      </c>
      <c r="AA136" s="38" t="n"/>
      <c r="AB136" s="38" t="n"/>
      <c r="AC136" s="41">
        <f>IF(A136="","",IF(COUNTIF($A$6:$A$504,A136)&gt;1,"⚠ Duplicate",""))</f>
        <v/>
      </c>
      <c r="AD136" s="42" t="n"/>
      <c r="AE136" s="42" t="n"/>
      <c r="AF136" s="42" t="n"/>
      <c r="AG136" s="42" t="n"/>
      <c r="AH136" s="42" t="n"/>
      <c r="AI136" s="42" t="n"/>
      <c r="AJ136" s="42" t="n"/>
      <c r="AK136" s="42" t="n"/>
      <c r="AL136" s="42" t="n"/>
      <c r="AM136" s="42" t="n"/>
      <c r="AN136" s="42" t="n"/>
      <c r="AO136" s="42" t="n"/>
      <c r="AP136" s="42" t="n"/>
      <c r="AQ136" s="42" t="n"/>
    </row>
    <row r="137" ht="18" customHeight="1" s="74">
      <c r="A137" s="32" t="n"/>
      <c r="B137" s="32" t="n"/>
      <c r="C137" s="32" t="n"/>
      <c r="D137" s="32" t="n"/>
      <c r="E137" s="33" t="n"/>
      <c r="F137" s="33" t="n"/>
      <c r="G137" s="33" t="n"/>
      <c r="H137" s="33" t="n"/>
      <c r="I137" s="33" t="n"/>
      <c r="J137" s="33" t="n"/>
      <c r="K137" s="33" t="n"/>
      <c r="L137" s="33" t="n"/>
      <c r="M137" s="33" t="n"/>
      <c r="N137" s="33" t="n"/>
      <c r="O137" s="33" t="n"/>
      <c r="P137" s="33" t="n"/>
      <c r="Q137" s="33" t="n"/>
      <c r="R137" s="33" t="n"/>
      <c r="S137" s="33" t="n"/>
      <c r="T137" s="33" t="n"/>
      <c r="U137" s="33" t="n"/>
      <c r="V137" s="33" t="n"/>
      <c r="W137" s="34" t="n"/>
      <c r="X137" s="33" t="n"/>
      <c r="Y137" s="35" t="n"/>
      <c r="Z137" s="157">
        <f>IF(OR(Y137="",X137=""),"",IFERROR(Y137*INDEX(FXRates[USD per unit],MATCH(X137,FXRates[Currency],0)),"No rate"))</f>
        <v/>
      </c>
      <c r="AA137" s="32" t="n"/>
      <c r="AB137" s="32" t="n"/>
      <c r="AC137" s="36">
        <f>IF(A137="","",IF(COUNTIF($A$6:$A$504,A137)&gt;1,"⚠ Duplicate",""))</f>
        <v/>
      </c>
      <c r="AD137" s="43" t="n"/>
      <c r="AE137" s="43" t="n"/>
      <c r="AF137" s="43" t="n"/>
      <c r="AG137" s="43" t="n"/>
      <c r="AH137" s="43" t="n"/>
      <c r="AI137" s="43" t="n"/>
      <c r="AJ137" s="43" t="n"/>
      <c r="AK137" s="43" t="n"/>
      <c r="AL137" s="43" t="n"/>
      <c r="AM137" s="43" t="n"/>
      <c r="AN137" s="43" t="n"/>
      <c r="AO137" s="43" t="n"/>
      <c r="AP137" s="43" t="n"/>
      <c r="AQ137" s="43" t="n"/>
    </row>
    <row r="138" ht="18" customHeight="1" s="74">
      <c r="A138" s="38" t="n"/>
      <c r="B138" s="38" t="n"/>
      <c r="C138" s="38" t="n"/>
      <c r="D138" s="38" t="n"/>
      <c r="E138" s="39" t="n"/>
      <c r="F138" s="39" t="n"/>
      <c r="G138" s="39" t="n"/>
      <c r="H138" s="39" t="n"/>
      <c r="I138" s="39" t="n"/>
      <c r="J138" s="39" t="n"/>
      <c r="K138" s="39" t="n"/>
      <c r="L138" s="39" t="n"/>
      <c r="M138" s="39" t="n"/>
      <c r="N138" s="39" t="n"/>
      <c r="O138" s="39" t="n"/>
      <c r="P138" s="39" t="n"/>
      <c r="Q138" s="39" t="n"/>
      <c r="R138" s="39" t="n"/>
      <c r="S138" s="39" t="n"/>
      <c r="T138" s="39" t="n"/>
      <c r="U138" s="39" t="n"/>
      <c r="V138" s="39" t="n"/>
      <c r="W138" s="34" t="n"/>
      <c r="X138" s="39" t="n"/>
      <c r="Y138" s="40" t="n"/>
      <c r="Z138" s="158">
        <f>IF(OR(Y138="",X138=""),"",IFERROR(Y138*INDEX(FXRates[USD per unit],MATCH(X138,FXRates[Currency],0)),"No rate"))</f>
        <v/>
      </c>
      <c r="AA138" s="38" t="n"/>
      <c r="AB138" s="38" t="n"/>
      <c r="AC138" s="41">
        <f>IF(A138="","",IF(COUNTIF($A$6:$A$504,A138)&gt;1,"⚠ Duplicate",""))</f>
        <v/>
      </c>
      <c r="AD138" s="42" t="n"/>
      <c r="AE138" s="42" t="n"/>
      <c r="AF138" s="42" t="n"/>
      <c r="AG138" s="42" t="n"/>
      <c r="AH138" s="42" t="n"/>
      <c r="AI138" s="42" t="n"/>
      <c r="AJ138" s="42" t="n"/>
      <c r="AK138" s="42" t="n"/>
      <c r="AL138" s="42" t="n"/>
      <c r="AM138" s="42" t="n"/>
      <c r="AN138" s="42" t="n"/>
      <c r="AO138" s="42" t="n"/>
      <c r="AP138" s="42" t="n"/>
      <c r="AQ138" s="42" t="n"/>
    </row>
    <row r="139" ht="18" customHeight="1" s="74">
      <c r="A139" s="32" t="n"/>
      <c r="B139" s="32" t="n"/>
      <c r="C139" s="32" t="n"/>
      <c r="D139" s="32" t="n"/>
      <c r="E139" s="33" t="n"/>
      <c r="F139" s="33" t="n"/>
      <c r="G139" s="33" t="n"/>
      <c r="H139" s="33" t="n"/>
      <c r="I139" s="33" t="n"/>
      <c r="J139" s="33" t="n"/>
      <c r="K139" s="33" t="n"/>
      <c r="L139" s="33" t="n"/>
      <c r="M139" s="33" t="n"/>
      <c r="N139" s="33" t="n"/>
      <c r="O139" s="33" t="n"/>
      <c r="P139" s="33" t="n"/>
      <c r="Q139" s="33" t="n"/>
      <c r="R139" s="33" t="n"/>
      <c r="S139" s="33" t="n"/>
      <c r="T139" s="33" t="n"/>
      <c r="U139" s="33" t="n"/>
      <c r="V139" s="33" t="n"/>
      <c r="W139" s="34" t="n"/>
      <c r="X139" s="33" t="n"/>
      <c r="Y139" s="35" t="n"/>
      <c r="Z139" s="157">
        <f>IF(OR(Y139="",X139=""),"",IFERROR(Y139*INDEX(FXRates[USD per unit],MATCH(X139,FXRates[Currency],0)),"No rate"))</f>
        <v/>
      </c>
      <c r="AA139" s="32" t="n"/>
      <c r="AB139" s="32" t="n"/>
      <c r="AC139" s="36">
        <f>IF(A139="","",IF(COUNTIF($A$6:$A$504,A139)&gt;1,"⚠ Duplicate",""))</f>
        <v/>
      </c>
      <c r="AD139" s="43" t="n"/>
      <c r="AE139" s="43" t="n"/>
      <c r="AF139" s="43" t="n"/>
      <c r="AG139" s="43" t="n"/>
      <c r="AH139" s="43" t="n"/>
      <c r="AI139" s="43" t="n"/>
      <c r="AJ139" s="43" t="n"/>
      <c r="AK139" s="43" t="n"/>
      <c r="AL139" s="43" t="n"/>
      <c r="AM139" s="43" t="n"/>
      <c r="AN139" s="43" t="n"/>
      <c r="AO139" s="43" t="n"/>
      <c r="AP139" s="43" t="n"/>
      <c r="AQ139" s="43" t="n"/>
    </row>
    <row r="140" ht="18" customHeight="1" s="74">
      <c r="A140" s="38" t="n"/>
      <c r="B140" s="38" t="n"/>
      <c r="C140" s="38" t="n"/>
      <c r="D140" s="38" t="n"/>
      <c r="E140" s="39" t="n"/>
      <c r="F140" s="39" t="n"/>
      <c r="G140" s="39" t="n"/>
      <c r="H140" s="39" t="n"/>
      <c r="I140" s="39" t="n"/>
      <c r="J140" s="39" t="n"/>
      <c r="K140" s="39" t="n"/>
      <c r="L140" s="39" t="n"/>
      <c r="M140" s="39" t="n"/>
      <c r="N140" s="39" t="n"/>
      <c r="O140" s="39" t="n"/>
      <c r="P140" s="39" t="n"/>
      <c r="Q140" s="39" t="n"/>
      <c r="R140" s="39" t="n"/>
      <c r="S140" s="39" t="n"/>
      <c r="T140" s="39" t="n"/>
      <c r="U140" s="39" t="n"/>
      <c r="V140" s="39" t="n"/>
      <c r="W140" s="34" t="n"/>
      <c r="X140" s="39" t="n"/>
      <c r="Y140" s="40" t="n"/>
      <c r="Z140" s="158">
        <f>IF(OR(Y140="",X140=""),"",IFERROR(Y140*INDEX(FXRates[USD per unit],MATCH(X140,FXRates[Currency],0)),"No rate"))</f>
        <v/>
      </c>
      <c r="AA140" s="38" t="n"/>
      <c r="AB140" s="38" t="n"/>
      <c r="AC140" s="41">
        <f>IF(A140="","",IF(COUNTIF($A$6:$A$504,A140)&gt;1,"⚠ Duplicate",""))</f>
        <v/>
      </c>
      <c r="AD140" s="42" t="n"/>
      <c r="AE140" s="42" t="n"/>
      <c r="AF140" s="42" t="n"/>
      <c r="AG140" s="42" t="n"/>
      <c r="AH140" s="42" t="n"/>
      <c r="AI140" s="42" t="n"/>
      <c r="AJ140" s="42" t="n"/>
      <c r="AK140" s="42" t="n"/>
      <c r="AL140" s="42" t="n"/>
      <c r="AM140" s="42" t="n"/>
      <c r="AN140" s="42" t="n"/>
      <c r="AO140" s="42" t="n"/>
      <c r="AP140" s="42" t="n"/>
      <c r="AQ140" s="42" t="n"/>
    </row>
    <row r="141" ht="18" customHeight="1" s="74">
      <c r="A141" s="32" t="n"/>
      <c r="B141" s="32" t="n"/>
      <c r="C141" s="32" t="n"/>
      <c r="D141" s="32" t="n"/>
      <c r="E141" s="33" t="n"/>
      <c r="F141" s="33" t="n"/>
      <c r="G141" s="33" t="n"/>
      <c r="H141" s="33" t="n"/>
      <c r="I141" s="33" t="n"/>
      <c r="J141" s="33" t="n"/>
      <c r="K141" s="33" t="n"/>
      <c r="L141" s="33" t="n"/>
      <c r="M141" s="33" t="n"/>
      <c r="N141" s="33" t="n"/>
      <c r="O141" s="33" t="n"/>
      <c r="P141" s="33" t="n"/>
      <c r="Q141" s="33" t="n"/>
      <c r="R141" s="33" t="n"/>
      <c r="S141" s="33" t="n"/>
      <c r="T141" s="33" t="n"/>
      <c r="U141" s="33" t="n"/>
      <c r="V141" s="33" t="n"/>
      <c r="W141" s="34" t="n"/>
      <c r="X141" s="33" t="n"/>
      <c r="Y141" s="35" t="n"/>
      <c r="Z141" s="157">
        <f>IF(OR(Y141="",X141=""),"",IFERROR(Y141*INDEX(FXRates[USD per unit],MATCH(X141,FXRates[Currency],0)),"No rate"))</f>
        <v/>
      </c>
      <c r="AA141" s="32" t="n"/>
      <c r="AB141" s="32" t="n"/>
      <c r="AC141" s="36">
        <f>IF(A141="","",IF(COUNTIF($A$6:$A$504,A141)&gt;1,"⚠ Duplicate",""))</f>
        <v/>
      </c>
      <c r="AD141" s="43" t="n"/>
      <c r="AE141" s="43" t="n"/>
      <c r="AF141" s="43" t="n"/>
      <c r="AG141" s="43" t="n"/>
      <c r="AH141" s="43" t="n"/>
      <c r="AI141" s="43" t="n"/>
      <c r="AJ141" s="43" t="n"/>
      <c r="AK141" s="43" t="n"/>
      <c r="AL141" s="43" t="n"/>
      <c r="AM141" s="43" t="n"/>
      <c r="AN141" s="43" t="n"/>
      <c r="AO141" s="43" t="n"/>
      <c r="AP141" s="43" t="n"/>
      <c r="AQ141" s="43" t="n"/>
    </row>
    <row r="142" ht="18" customHeight="1" s="74">
      <c r="A142" s="38" t="n"/>
      <c r="B142" s="38" t="n"/>
      <c r="C142" s="38" t="n"/>
      <c r="D142" s="38" t="n"/>
      <c r="E142" s="39" t="n"/>
      <c r="F142" s="39" t="n"/>
      <c r="G142" s="39" t="n"/>
      <c r="H142" s="39" t="n"/>
      <c r="I142" s="39" t="n"/>
      <c r="J142" s="39" t="n"/>
      <c r="K142" s="39" t="n"/>
      <c r="L142" s="39" t="n"/>
      <c r="M142" s="39" t="n"/>
      <c r="N142" s="39" t="n"/>
      <c r="O142" s="39" t="n"/>
      <c r="P142" s="39" t="n"/>
      <c r="Q142" s="39" t="n"/>
      <c r="R142" s="39" t="n"/>
      <c r="S142" s="39" t="n"/>
      <c r="T142" s="39" t="n"/>
      <c r="U142" s="39" t="n"/>
      <c r="V142" s="39" t="n"/>
      <c r="W142" s="34" t="n"/>
      <c r="X142" s="39" t="n"/>
      <c r="Y142" s="40" t="n"/>
      <c r="Z142" s="158">
        <f>IF(OR(Y142="",X142=""),"",IFERROR(Y142*INDEX(FXRates[USD per unit],MATCH(X142,FXRates[Currency],0)),"No rate"))</f>
        <v/>
      </c>
      <c r="AA142" s="38" t="n"/>
      <c r="AB142" s="38" t="n"/>
      <c r="AC142" s="41">
        <f>IF(A142="","",IF(COUNTIF($A$6:$A$504,A142)&gt;1,"⚠ Duplicate",""))</f>
        <v/>
      </c>
      <c r="AD142" s="42" t="n"/>
      <c r="AE142" s="42" t="n"/>
      <c r="AF142" s="42" t="n"/>
      <c r="AG142" s="42" t="n"/>
      <c r="AH142" s="42" t="n"/>
      <c r="AI142" s="42" t="n"/>
      <c r="AJ142" s="42" t="n"/>
      <c r="AK142" s="42" t="n"/>
      <c r="AL142" s="42" t="n"/>
      <c r="AM142" s="42" t="n"/>
      <c r="AN142" s="42" t="n"/>
      <c r="AO142" s="42" t="n"/>
      <c r="AP142" s="42" t="n"/>
      <c r="AQ142" s="42" t="n"/>
    </row>
    <row r="143" ht="18" customHeight="1" s="74">
      <c r="A143" s="32" t="n"/>
      <c r="B143" s="32" t="n"/>
      <c r="C143" s="32" t="n"/>
      <c r="D143" s="32" t="n"/>
      <c r="E143" s="33" t="n"/>
      <c r="F143" s="33" t="n"/>
      <c r="G143" s="33" t="n"/>
      <c r="H143" s="33" t="n"/>
      <c r="I143" s="33" t="n"/>
      <c r="J143" s="33" t="n"/>
      <c r="K143" s="33" t="n"/>
      <c r="L143" s="33" t="n"/>
      <c r="M143" s="33" t="n"/>
      <c r="N143" s="33" t="n"/>
      <c r="O143" s="33" t="n"/>
      <c r="P143" s="33" t="n"/>
      <c r="Q143" s="33" t="n"/>
      <c r="R143" s="33" t="n"/>
      <c r="S143" s="33" t="n"/>
      <c r="T143" s="33" t="n"/>
      <c r="U143" s="33" t="n"/>
      <c r="V143" s="33" t="n"/>
      <c r="W143" s="34" t="n"/>
      <c r="X143" s="33" t="n"/>
      <c r="Y143" s="35" t="n"/>
      <c r="Z143" s="157">
        <f>IF(OR(Y143="",X143=""),"",IFERROR(Y143*INDEX(FXRates[USD per unit],MATCH(X143,FXRates[Currency],0)),"No rate"))</f>
        <v/>
      </c>
      <c r="AA143" s="32" t="n"/>
      <c r="AB143" s="32" t="n"/>
      <c r="AC143" s="36">
        <f>IF(A143="","",IF(COUNTIF($A$6:$A$504,A143)&gt;1,"⚠ Duplicate",""))</f>
        <v/>
      </c>
      <c r="AD143" s="43" t="n"/>
      <c r="AE143" s="43" t="n"/>
      <c r="AF143" s="43" t="n"/>
      <c r="AG143" s="43" t="n"/>
      <c r="AH143" s="43" t="n"/>
      <c r="AI143" s="43" t="n"/>
      <c r="AJ143" s="43" t="n"/>
      <c r="AK143" s="43" t="n"/>
      <c r="AL143" s="43" t="n"/>
      <c r="AM143" s="43" t="n"/>
      <c r="AN143" s="43" t="n"/>
      <c r="AO143" s="43" t="n"/>
      <c r="AP143" s="43" t="n"/>
      <c r="AQ143" s="43" t="n"/>
    </row>
    <row r="144" ht="18" customHeight="1" s="74">
      <c r="A144" s="38" t="n"/>
      <c r="B144" s="38" t="n"/>
      <c r="C144" s="38" t="n"/>
      <c r="D144" s="38" t="n"/>
      <c r="E144" s="39" t="n"/>
      <c r="F144" s="39" t="n"/>
      <c r="G144" s="39" t="n"/>
      <c r="H144" s="39" t="n"/>
      <c r="I144" s="39" t="n"/>
      <c r="J144" s="39" t="n"/>
      <c r="K144" s="39" t="n"/>
      <c r="L144" s="39" t="n"/>
      <c r="M144" s="39" t="n"/>
      <c r="N144" s="39" t="n"/>
      <c r="O144" s="39" t="n"/>
      <c r="P144" s="39" t="n"/>
      <c r="Q144" s="39" t="n"/>
      <c r="R144" s="39" t="n"/>
      <c r="S144" s="39" t="n"/>
      <c r="T144" s="39" t="n"/>
      <c r="U144" s="39" t="n"/>
      <c r="V144" s="39" t="n"/>
      <c r="W144" s="34" t="n"/>
      <c r="X144" s="39" t="n"/>
      <c r="Y144" s="40" t="n"/>
      <c r="Z144" s="158">
        <f>IF(OR(Y144="",X144=""),"",IFERROR(Y144*INDEX(FXRates[USD per unit],MATCH(X144,FXRates[Currency],0)),"No rate"))</f>
        <v/>
      </c>
      <c r="AA144" s="38" t="n"/>
      <c r="AB144" s="38" t="n"/>
      <c r="AC144" s="41">
        <f>IF(A144="","",IF(COUNTIF($A$6:$A$504,A144)&gt;1,"⚠ Duplicate",""))</f>
        <v/>
      </c>
      <c r="AD144" s="42" t="n"/>
      <c r="AE144" s="42" t="n"/>
      <c r="AF144" s="42" t="n"/>
      <c r="AG144" s="42" t="n"/>
      <c r="AH144" s="42" t="n"/>
      <c r="AI144" s="42" t="n"/>
      <c r="AJ144" s="42" t="n"/>
      <c r="AK144" s="42" t="n"/>
      <c r="AL144" s="42" t="n"/>
      <c r="AM144" s="42" t="n"/>
      <c r="AN144" s="42" t="n"/>
      <c r="AO144" s="42" t="n"/>
      <c r="AP144" s="42" t="n"/>
      <c r="AQ144" s="42" t="n"/>
    </row>
    <row r="145" ht="18" customHeight="1" s="74">
      <c r="A145" s="32" t="n"/>
      <c r="B145" s="32" t="n"/>
      <c r="C145" s="32" t="n"/>
      <c r="D145" s="32" t="n"/>
      <c r="E145" s="33" t="n"/>
      <c r="F145" s="33" t="n"/>
      <c r="G145" s="33" t="n"/>
      <c r="H145" s="33" t="n"/>
      <c r="I145" s="33" t="n"/>
      <c r="J145" s="33" t="n"/>
      <c r="K145" s="33" t="n"/>
      <c r="L145" s="33" t="n"/>
      <c r="M145" s="33" t="n"/>
      <c r="N145" s="33" t="n"/>
      <c r="O145" s="33" t="n"/>
      <c r="P145" s="33" t="n"/>
      <c r="Q145" s="33" t="n"/>
      <c r="R145" s="33" t="n"/>
      <c r="S145" s="33" t="n"/>
      <c r="T145" s="33" t="n"/>
      <c r="U145" s="33" t="n"/>
      <c r="V145" s="33" t="n"/>
      <c r="W145" s="34" t="n"/>
      <c r="X145" s="33" t="n"/>
      <c r="Y145" s="35" t="n"/>
      <c r="Z145" s="157">
        <f>IF(OR(Y145="",X145=""),"",IFERROR(Y145*INDEX(FXRates[USD per unit],MATCH(X145,FXRates[Currency],0)),"No rate"))</f>
        <v/>
      </c>
      <c r="AA145" s="32" t="n"/>
      <c r="AB145" s="32" t="n"/>
      <c r="AC145" s="36">
        <f>IF(A145="","",IF(COUNTIF($A$6:$A$504,A145)&gt;1,"⚠ Duplicate",""))</f>
        <v/>
      </c>
      <c r="AD145" s="43" t="n"/>
      <c r="AE145" s="43" t="n"/>
      <c r="AF145" s="43" t="n"/>
      <c r="AG145" s="43" t="n"/>
      <c r="AH145" s="43" t="n"/>
      <c r="AI145" s="43" t="n"/>
      <c r="AJ145" s="43" t="n"/>
      <c r="AK145" s="43" t="n"/>
      <c r="AL145" s="43" t="n"/>
      <c r="AM145" s="43" t="n"/>
      <c r="AN145" s="43" t="n"/>
      <c r="AO145" s="43" t="n"/>
      <c r="AP145" s="43" t="n"/>
      <c r="AQ145" s="43" t="n"/>
    </row>
    <row r="146" ht="18" customHeight="1" s="74">
      <c r="A146" s="38" t="n"/>
      <c r="B146" s="38" t="n"/>
      <c r="C146" s="38" t="n"/>
      <c r="D146" s="38" t="n"/>
      <c r="E146" s="39" t="n"/>
      <c r="F146" s="39" t="n"/>
      <c r="G146" s="39" t="n"/>
      <c r="H146" s="39" t="n"/>
      <c r="I146" s="39" t="n"/>
      <c r="J146" s="39" t="n"/>
      <c r="K146" s="39" t="n"/>
      <c r="L146" s="39" t="n"/>
      <c r="M146" s="39" t="n"/>
      <c r="N146" s="39" t="n"/>
      <c r="O146" s="39" t="n"/>
      <c r="P146" s="39" t="n"/>
      <c r="Q146" s="39" t="n"/>
      <c r="R146" s="39" t="n"/>
      <c r="S146" s="39" t="n"/>
      <c r="T146" s="39" t="n"/>
      <c r="U146" s="39" t="n"/>
      <c r="V146" s="39" t="n"/>
      <c r="W146" s="34" t="n"/>
      <c r="X146" s="39" t="n"/>
      <c r="Y146" s="40" t="n"/>
      <c r="Z146" s="158">
        <f>IF(OR(Y146="",X146=""),"",IFERROR(Y146*INDEX(FXRates[USD per unit],MATCH(X146,FXRates[Currency],0)),"No rate"))</f>
        <v/>
      </c>
      <c r="AA146" s="38" t="n"/>
      <c r="AB146" s="38" t="n"/>
      <c r="AC146" s="41">
        <f>IF(A146="","",IF(COUNTIF($A$6:$A$504,A146)&gt;1,"⚠ Duplicate",""))</f>
        <v/>
      </c>
      <c r="AD146" s="42" t="n"/>
      <c r="AE146" s="42" t="n"/>
      <c r="AF146" s="42" t="n"/>
      <c r="AG146" s="42" t="n"/>
      <c r="AH146" s="42" t="n"/>
      <c r="AI146" s="42" t="n"/>
      <c r="AJ146" s="42" t="n"/>
      <c r="AK146" s="42" t="n"/>
      <c r="AL146" s="42" t="n"/>
      <c r="AM146" s="42" t="n"/>
      <c r="AN146" s="42" t="n"/>
      <c r="AO146" s="42" t="n"/>
      <c r="AP146" s="42" t="n"/>
      <c r="AQ146" s="42" t="n"/>
    </row>
    <row r="147" ht="18" customHeight="1" s="74">
      <c r="A147" s="32" t="n"/>
      <c r="B147" s="32" t="n"/>
      <c r="C147" s="32" t="n"/>
      <c r="D147" s="32" t="n"/>
      <c r="E147" s="33" t="n"/>
      <c r="F147" s="33" t="n"/>
      <c r="G147" s="33" t="n"/>
      <c r="H147" s="33" t="n"/>
      <c r="I147" s="33" t="n"/>
      <c r="J147" s="33" t="n"/>
      <c r="K147" s="33" t="n"/>
      <c r="L147" s="33" t="n"/>
      <c r="M147" s="33" t="n"/>
      <c r="N147" s="33" t="n"/>
      <c r="O147" s="33" t="n"/>
      <c r="P147" s="33" t="n"/>
      <c r="Q147" s="33" t="n"/>
      <c r="R147" s="33" t="n"/>
      <c r="S147" s="33" t="n"/>
      <c r="T147" s="33" t="n"/>
      <c r="U147" s="33" t="n"/>
      <c r="V147" s="33" t="n"/>
      <c r="W147" s="34" t="n"/>
      <c r="X147" s="33" t="n"/>
      <c r="Y147" s="35" t="n"/>
      <c r="Z147" s="157">
        <f>IF(OR(Y147="",X147=""),"",IFERROR(Y147*INDEX(FXRates[USD per unit],MATCH(X147,FXRates[Currency],0)),"No rate"))</f>
        <v/>
      </c>
      <c r="AA147" s="32" t="n"/>
      <c r="AB147" s="32" t="n"/>
      <c r="AC147" s="36">
        <f>IF(A147="","",IF(COUNTIF($A$6:$A$504,A147)&gt;1,"⚠ Duplicate",""))</f>
        <v/>
      </c>
      <c r="AD147" s="43" t="n"/>
      <c r="AE147" s="43" t="n"/>
      <c r="AF147" s="43" t="n"/>
      <c r="AG147" s="43" t="n"/>
      <c r="AH147" s="43" t="n"/>
      <c r="AI147" s="43" t="n"/>
      <c r="AJ147" s="43" t="n"/>
      <c r="AK147" s="43" t="n"/>
      <c r="AL147" s="43" t="n"/>
      <c r="AM147" s="43" t="n"/>
      <c r="AN147" s="43" t="n"/>
      <c r="AO147" s="43" t="n"/>
      <c r="AP147" s="43" t="n"/>
      <c r="AQ147" s="43" t="n"/>
    </row>
    <row r="148" ht="18" customHeight="1" s="74">
      <c r="A148" s="38" t="n"/>
      <c r="B148" s="38" t="n"/>
      <c r="C148" s="38" t="n"/>
      <c r="D148" s="38" t="n"/>
      <c r="E148" s="39" t="n"/>
      <c r="F148" s="39" t="n"/>
      <c r="G148" s="39" t="n"/>
      <c r="H148" s="39" t="n"/>
      <c r="I148" s="39" t="n"/>
      <c r="J148" s="39" t="n"/>
      <c r="K148" s="39" t="n"/>
      <c r="L148" s="39" t="n"/>
      <c r="M148" s="39" t="n"/>
      <c r="N148" s="39" t="n"/>
      <c r="O148" s="39" t="n"/>
      <c r="P148" s="39" t="n"/>
      <c r="Q148" s="39" t="n"/>
      <c r="R148" s="39" t="n"/>
      <c r="S148" s="39" t="n"/>
      <c r="T148" s="39" t="n"/>
      <c r="U148" s="39" t="n"/>
      <c r="V148" s="39" t="n"/>
      <c r="W148" s="34" t="n"/>
      <c r="X148" s="39" t="n"/>
      <c r="Y148" s="40" t="n"/>
      <c r="Z148" s="158">
        <f>IF(OR(Y148="",X148=""),"",IFERROR(Y148*INDEX(FXRates[USD per unit],MATCH(X148,FXRates[Currency],0)),"No rate"))</f>
        <v/>
      </c>
      <c r="AA148" s="38" t="n"/>
      <c r="AB148" s="38" t="n"/>
      <c r="AC148" s="41">
        <f>IF(A148="","",IF(COUNTIF($A$6:$A$504,A148)&gt;1,"⚠ Duplicate",""))</f>
        <v/>
      </c>
      <c r="AD148" s="42" t="n"/>
      <c r="AE148" s="42" t="n"/>
      <c r="AF148" s="42" t="n"/>
      <c r="AG148" s="42" t="n"/>
      <c r="AH148" s="42" t="n"/>
      <c r="AI148" s="42" t="n"/>
      <c r="AJ148" s="42" t="n"/>
      <c r="AK148" s="42" t="n"/>
      <c r="AL148" s="42" t="n"/>
      <c r="AM148" s="42" t="n"/>
      <c r="AN148" s="42" t="n"/>
      <c r="AO148" s="42" t="n"/>
      <c r="AP148" s="42" t="n"/>
      <c r="AQ148" s="42" t="n"/>
    </row>
    <row r="149" ht="18" customHeight="1" s="74">
      <c r="A149" s="32" t="n"/>
      <c r="B149" s="32" t="n"/>
      <c r="C149" s="32" t="n"/>
      <c r="D149" s="32" t="n"/>
      <c r="E149" s="33" t="n"/>
      <c r="F149" s="33" t="n"/>
      <c r="G149" s="33" t="n"/>
      <c r="H149" s="33" t="n"/>
      <c r="I149" s="33" t="n"/>
      <c r="J149" s="33" t="n"/>
      <c r="K149" s="33" t="n"/>
      <c r="L149" s="33" t="n"/>
      <c r="M149" s="33" t="n"/>
      <c r="N149" s="33" t="n"/>
      <c r="O149" s="33" t="n"/>
      <c r="P149" s="33" t="n"/>
      <c r="Q149" s="33" t="n"/>
      <c r="R149" s="33" t="n"/>
      <c r="S149" s="33" t="n"/>
      <c r="T149" s="33" t="n"/>
      <c r="U149" s="33" t="n"/>
      <c r="V149" s="33" t="n"/>
      <c r="W149" s="34" t="n"/>
      <c r="X149" s="33" t="n"/>
      <c r="Y149" s="35" t="n"/>
      <c r="Z149" s="157">
        <f>IF(OR(Y149="",X149=""),"",IFERROR(Y149*INDEX(FXRates[USD per unit],MATCH(X149,FXRates[Currency],0)),"No rate"))</f>
        <v/>
      </c>
      <c r="AA149" s="32" t="n"/>
      <c r="AB149" s="32" t="n"/>
      <c r="AC149" s="36">
        <f>IF(A149="","",IF(COUNTIF($A$6:$A$504,A149)&gt;1,"⚠ Duplicate",""))</f>
        <v/>
      </c>
      <c r="AD149" s="43" t="n"/>
      <c r="AE149" s="43" t="n"/>
      <c r="AF149" s="43" t="n"/>
      <c r="AG149" s="43" t="n"/>
      <c r="AH149" s="43" t="n"/>
      <c r="AI149" s="43" t="n"/>
      <c r="AJ149" s="43" t="n"/>
      <c r="AK149" s="43" t="n"/>
      <c r="AL149" s="43" t="n"/>
      <c r="AM149" s="43" t="n"/>
      <c r="AN149" s="43" t="n"/>
      <c r="AO149" s="43" t="n"/>
      <c r="AP149" s="43" t="n"/>
      <c r="AQ149" s="43" t="n"/>
    </row>
    <row r="150" ht="18" customHeight="1" s="74">
      <c r="A150" s="38" t="n"/>
      <c r="B150" s="38" t="n"/>
      <c r="C150" s="38" t="n"/>
      <c r="D150" s="38" t="n"/>
      <c r="E150" s="39" t="n"/>
      <c r="F150" s="39" t="n"/>
      <c r="G150" s="39" t="n"/>
      <c r="H150" s="39" t="n"/>
      <c r="I150" s="39" t="n"/>
      <c r="J150" s="39" t="n"/>
      <c r="K150" s="39" t="n"/>
      <c r="L150" s="39" t="n"/>
      <c r="M150" s="39" t="n"/>
      <c r="N150" s="39" t="n"/>
      <c r="O150" s="39" t="n"/>
      <c r="P150" s="39" t="n"/>
      <c r="Q150" s="39" t="n"/>
      <c r="R150" s="39" t="n"/>
      <c r="S150" s="39" t="n"/>
      <c r="T150" s="39" t="n"/>
      <c r="U150" s="39" t="n"/>
      <c r="V150" s="39" t="n"/>
      <c r="W150" s="34" t="n"/>
      <c r="X150" s="39" t="n"/>
      <c r="Y150" s="40" t="n"/>
      <c r="Z150" s="158">
        <f>IF(OR(Y150="",X150=""),"",IFERROR(Y150*INDEX(FXRates[USD per unit],MATCH(X150,FXRates[Currency],0)),"No rate"))</f>
        <v/>
      </c>
      <c r="AA150" s="38" t="n"/>
      <c r="AB150" s="38" t="n"/>
      <c r="AC150" s="41">
        <f>IF(A150="","",IF(COUNTIF($A$6:$A$504,A150)&gt;1,"⚠ Duplicate",""))</f>
        <v/>
      </c>
      <c r="AD150" s="42" t="n"/>
      <c r="AE150" s="42" t="n"/>
      <c r="AF150" s="42" t="n"/>
      <c r="AG150" s="42" t="n"/>
      <c r="AH150" s="42" t="n"/>
      <c r="AI150" s="42" t="n"/>
      <c r="AJ150" s="42" t="n"/>
      <c r="AK150" s="42" t="n"/>
      <c r="AL150" s="42" t="n"/>
      <c r="AM150" s="42" t="n"/>
      <c r="AN150" s="42" t="n"/>
      <c r="AO150" s="42" t="n"/>
      <c r="AP150" s="42" t="n"/>
      <c r="AQ150" s="42" t="n"/>
    </row>
    <row r="151" ht="18" customHeight="1" s="74">
      <c r="A151" s="32" t="n"/>
      <c r="B151" s="32" t="n"/>
      <c r="C151" s="32" t="n"/>
      <c r="D151" s="32" t="n"/>
      <c r="E151" s="33" t="n"/>
      <c r="F151" s="33" t="n"/>
      <c r="G151" s="33" t="n"/>
      <c r="H151" s="33" t="n"/>
      <c r="I151" s="33" t="n"/>
      <c r="J151" s="33" t="n"/>
      <c r="K151" s="33" t="n"/>
      <c r="L151" s="33" t="n"/>
      <c r="M151" s="33" t="n"/>
      <c r="N151" s="33" t="n"/>
      <c r="O151" s="33" t="n"/>
      <c r="P151" s="33" t="n"/>
      <c r="Q151" s="33" t="n"/>
      <c r="R151" s="33" t="n"/>
      <c r="S151" s="33" t="n"/>
      <c r="T151" s="33" t="n"/>
      <c r="U151" s="33" t="n"/>
      <c r="V151" s="33" t="n"/>
      <c r="W151" s="34" t="n"/>
      <c r="X151" s="33" t="n"/>
      <c r="Y151" s="35" t="n"/>
      <c r="Z151" s="157">
        <f>IF(OR(Y151="",X151=""),"",IFERROR(Y151*INDEX(FXRates[USD per unit],MATCH(X151,FXRates[Currency],0)),"No rate"))</f>
        <v/>
      </c>
      <c r="AA151" s="32" t="n"/>
      <c r="AB151" s="32" t="n"/>
      <c r="AC151" s="36">
        <f>IF(A151="","",IF(COUNTIF($A$6:$A$504,A151)&gt;1,"⚠ Duplicate",""))</f>
        <v/>
      </c>
      <c r="AD151" s="43" t="n"/>
      <c r="AE151" s="43" t="n"/>
      <c r="AF151" s="43" t="n"/>
      <c r="AG151" s="43" t="n"/>
      <c r="AH151" s="43" t="n"/>
      <c r="AI151" s="43" t="n"/>
      <c r="AJ151" s="43" t="n"/>
      <c r="AK151" s="43" t="n"/>
      <c r="AL151" s="43" t="n"/>
      <c r="AM151" s="43" t="n"/>
      <c r="AN151" s="43" t="n"/>
      <c r="AO151" s="43" t="n"/>
      <c r="AP151" s="43" t="n"/>
      <c r="AQ151" s="43" t="n"/>
    </row>
    <row r="152" ht="18" customHeight="1" s="74">
      <c r="A152" s="38" t="n"/>
      <c r="B152" s="38" t="n"/>
      <c r="C152" s="38" t="n"/>
      <c r="D152" s="38" t="n"/>
      <c r="E152" s="39" t="n"/>
      <c r="F152" s="39" t="n"/>
      <c r="G152" s="39" t="n"/>
      <c r="H152" s="39" t="n"/>
      <c r="I152" s="39" t="n"/>
      <c r="J152" s="39" t="n"/>
      <c r="K152" s="39" t="n"/>
      <c r="L152" s="39" t="n"/>
      <c r="M152" s="39" t="n"/>
      <c r="N152" s="39" t="n"/>
      <c r="O152" s="39" t="n"/>
      <c r="P152" s="39" t="n"/>
      <c r="Q152" s="39" t="n"/>
      <c r="R152" s="39" t="n"/>
      <c r="S152" s="39" t="n"/>
      <c r="T152" s="39" t="n"/>
      <c r="U152" s="39" t="n"/>
      <c r="V152" s="39" t="n"/>
      <c r="W152" s="34" t="n"/>
      <c r="X152" s="39" t="n"/>
      <c r="Y152" s="40" t="n"/>
      <c r="Z152" s="158">
        <f>IF(OR(Y152="",X152=""),"",IFERROR(Y152*INDEX(FXRates[USD per unit],MATCH(X152,FXRates[Currency],0)),"No rate"))</f>
        <v/>
      </c>
      <c r="AA152" s="38" t="n"/>
      <c r="AB152" s="38" t="n"/>
      <c r="AC152" s="41">
        <f>IF(A152="","",IF(COUNTIF($A$6:$A$504,A152)&gt;1,"⚠ Duplicate",""))</f>
        <v/>
      </c>
      <c r="AD152" s="42" t="n"/>
      <c r="AE152" s="42" t="n"/>
      <c r="AF152" s="42" t="n"/>
      <c r="AG152" s="42" t="n"/>
      <c r="AH152" s="42" t="n"/>
      <c r="AI152" s="42" t="n"/>
      <c r="AJ152" s="42" t="n"/>
      <c r="AK152" s="42" t="n"/>
      <c r="AL152" s="42" t="n"/>
      <c r="AM152" s="42" t="n"/>
      <c r="AN152" s="42" t="n"/>
      <c r="AO152" s="42" t="n"/>
      <c r="AP152" s="42" t="n"/>
      <c r="AQ152" s="42" t="n"/>
    </row>
    <row r="153" ht="18" customHeight="1" s="74">
      <c r="A153" s="32" t="n"/>
      <c r="B153" s="32" t="n"/>
      <c r="C153" s="32" t="n"/>
      <c r="D153" s="32" t="n"/>
      <c r="E153" s="33" t="n"/>
      <c r="F153" s="33" t="n"/>
      <c r="G153" s="33" t="n"/>
      <c r="H153" s="33" t="n"/>
      <c r="I153" s="33" t="n"/>
      <c r="J153" s="33" t="n"/>
      <c r="K153" s="33" t="n"/>
      <c r="L153" s="33" t="n"/>
      <c r="M153" s="33" t="n"/>
      <c r="N153" s="33" t="n"/>
      <c r="O153" s="33" t="n"/>
      <c r="P153" s="33" t="n"/>
      <c r="Q153" s="33" t="n"/>
      <c r="R153" s="33" t="n"/>
      <c r="S153" s="33" t="n"/>
      <c r="T153" s="33" t="n"/>
      <c r="U153" s="33" t="n"/>
      <c r="V153" s="33" t="n"/>
      <c r="W153" s="34" t="n"/>
      <c r="X153" s="33" t="n"/>
      <c r="Y153" s="35" t="n"/>
      <c r="Z153" s="157">
        <f>IF(OR(Y153="",X153=""),"",IFERROR(Y153*INDEX(FXRates[USD per unit],MATCH(X153,FXRates[Currency],0)),"No rate"))</f>
        <v/>
      </c>
      <c r="AA153" s="32" t="n"/>
      <c r="AB153" s="32" t="n"/>
      <c r="AC153" s="36">
        <f>IF(A153="","",IF(COUNTIF($A$6:$A$504,A153)&gt;1,"⚠ Duplicate",""))</f>
        <v/>
      </c>
      <c r="AD153" s="43" t="n"/>
      <c r="AE153" s="43" t="n"/>
      <c r="AF153" s="43" t="n"/>
      <c r="AG153" s="43" t="n"/>
      <c r="AH153" s="43" t="n"/>
      <c r="AI153" s="43" t="n"/>
      <c r="AJ153" s="43" t="n"/>
      <c r="AK153" s="43" t="n"/>
      <c r="AL153" s="43" t="n"/>
      <c r="AM153" s="43" t="n"/>
      <c r="AN153" s="43" t="n"/>
      <c r="AO153" s="43" t="n"/>
      <c r="AP153" s="43" t="n"/>
      <c r="AQ153" s="43" t="n"/>
    </row>
    <row r="154" ht="18" customHeight="1" s="74">
      <c r="A154" s="38" t="n"/>
      <c r="B154" s="38" t="n"/>
      <c r="C154" s="38" t="n"/>
      <c r="D154" s="38" t="n"/>
      <c r="E154" s="39" t="n"/>
      <c r="F154" s="39" t="n"/>
      <c r="G154" s="39" t="n"/>
      <c r="H154" s="39" t="n"/>
      <c r="I154" s="39" t="n"/>
      <c r="J154" s="39" t="n"/>
      <c r="K154" s="39" t="n"/>
      <c r="L154" s="39" t="n"/>
      <c r="M154" s="39" t="n"/>
      <c r="N154" s="39" t="n"/>
      <c r="O154" s="39" t="n"/>
      <c r="P154" s="39" t="n"/>
      <c r="Q154" s="39" t="n"/>
      <c r="R154" s="39" t="n"/>
      <c r="S154" s="39" t="n"/>
      <c r="T154" s="39" t="n"/>
      <c r="U154" s="39" t="n"/>
      <c r="V154" s="39" t="n"/>
      <c r="W154" s="34" t="n"/>
      <c r="X154" s="39" t="n"/>
      <c r="Y154" s="40" t="n"/>
      <c r="Z154" s="158">
        <f>IF(OR(Y154="",X154=""),"",IFERROR(Y154*INDEX(FXRates[USD per unit],MATCH(X154,FXRates[Currency],0)),"No rate"))</f>
        <v/>
      </c>
      <c r="AA154" s="38" t="n"/>
      <c r="AB154" s="38" t="n"/>
      <c r="AC154" s="41">
        <f>IF(A154="","",IF(COUNTIF($A$6:$A$504,A154)&gt;1,"⚠ Duplicate",""))</f>
        <v/>
      </c>
      <c r="AD154" s="42" t="n"/>
      <c r="AE154" s="42" t="n"/>
      <c r="AF154" s="42" t="n"/>
      <c r="AG154" s="42" t="n"/>
      <c r="AH154" s="42" t="n"/>
      <c r="AI154" s="42" t="n"/>
      <c r="AJ154" s="42" t="n"/>
      <c r="AK154" s="42" t="n"/>
      <c r="AL154" s="42" t="n"/>
      <c r="AM154" s="42" t="n"/>
      <c r="AN154" s="42" t="n"/>
      <c r="AO154" s="42" t="n"/>
      <c r="AP154" s="42" t="n"/>
      <c r="AQ154" s="42" t="n"/>
    </row>
    <row r="155" ht="18" customHeight="1" s="74">
      <c r="A155" s="32" t="n"/>
      <c r="B155" s="32" t="n"/>
      <c r="C155" s="32" t="n"/>
      <c r="D155" s="32" t="n"/>
      <c r="E155" s="33" t="n"/>
      <c r="F155" s="33" t="n"/>
      <c r="G155" s="33" t="n"/>
      <c r="H155" s="33" t="n"/>
      <c r="I155" s="33" t="n"/>
      <c r="J155" s="33" t="n"/>
      <c r="K155" s="33" t="n"/>
      <c r="L155" s="33" t="n"/>
      <c r="M155" s="33" t="n"/>
      <c r="N155" s="33" t="n"/>
      <c r="O155" s="33" t="n"/>
      <c r="P155" s="33" t="n"/>
      <c r="Q155" s="33" t="n"/>
      <c r="R155" s="33" t="n"/>
      <c r="S155" s="33" t="n"/>
      <c r="T155" s="33" t="n"/>
      <c r="U155" s="33" t="n"/>
      <c r="V155" s="33" t="n"/>
      <c r="W155" s="34" t="n"/>
      <c r="X155" s="33" t="n"/>
      <c r="Y155" s="35" t="n"/>
      <c r="Z155" s="157">
        <f>IF(OR(Y155="",X155=""),"",IFERROR(Y155*INDEX(FXRates[USD per unit],MATCH(X155,FXRates[Currency],0)),"No rate"))</f>
        <v/>
      </c>
      <c r="AA155" s="32" t="n"/>
      <c r="AB155" s="32" t="n"/>
      <c r="AC155" s="36">
        <f>IF(A155="","",IF(COUNTIF($A$6:$A$504,A155)&gt;1,"⚠ Duplicate",""))</f>
        <v/>
      </c>
      <c r="AD155" s="43" t="n"/>
      <c r="AE155" s="43" t="n"/>
      <c r="AF155" s="43" t="n"/>
      <c r="AG155" s="43" t="n"/>
      <c r="AH155" s="43" t="n"/>
      <c r="AI155" s="43" t="n"/>
      <c r="AJ155" s="43" t="n"/>
      <c r="AK155" s="43" t="n"/>
      <c r="AL155" s="43" t="n"/>
      <c r="AM155" s="43" t="n"/>
      <c r="AN155" s="43" t="n"/>
      <c r="AO155" s="43" t="n"/>
      <c r="AP155" s="43" t="n"/>
      <c r="AQ155" s="43" t="n"/>
    </row>
    <row r="156" ht="18" customHeight="1" s="74">
      <c r="A156" s="38" t="n"/>
      <c r="B156" s="38" t="n"/>
      <c r="C156" s="38" t="n"/>
      <c r="D156" s="38" t="n"/>
      <c r="E156" s="39" t="n"/>
      <c r="F156" s="39" t="n"/>
      <c r="G156" s="39" t="n"/>
      <c r="H156" s="39" t="n"/>
      <c r="I156" s="39" t="n"/>
      <c r="J156" s="39" t="n"/>
      <c r="K156" s="39" t="n"/>
      <c r="L156" s="39" t="n"/>
      <c r="M156" s="39" t="n"/>
      <c r="N156" s="39" t="n"/>
      <c r="O156" s="39" t="n"/>
      <c r="P156" s="39" t="n"/>
      <c r="Q156" s="39" t="n"/>
      <c r="R156" s="39" t="n"/>
      <c r="S156" s="39" t="n"/>
      <c r="T156" s="39" t="n"/>
      <c r="U156" s="39" t="n"/>
      <c r="V156" s="39" t="n"/>
      <c r="W156" s="34" t="n"/>
      <c r="X156" s="39" t="n"/>
      <c r="Y156" s="40" t="n"/>
      <c r="Z156" s="158">
        <f>IF(OR(Y156="",X156=""),"",IFERROR(Y156*INDEX(FXRates[USD per unit],MATCH(X156,FXRates[Currency],0)),"No rate"))</f>
        <v/>
      </c>
      <c r="AA156" s="38" t="n"/>
      <c r="AB156" s="38" t="n"/>
      <c r="AC156" s="41">
        <f>IF(A156="","",IF(COUNTIF($A$6:$A$504,A156)&gt;1,"⚠ Duplicate",""))</f>
        <v/>
      </c>
      <c r="AD156" s="42" t="n"/>
      <c r="AE156" s="42" t="n"/>
      <c r="AF156" s="42" t="n"/>
      <c r="AG156" s="42" t="n"/>
      <c r="AH156" s="42" t="n"/>
      <c r="AI156" s="42" t="n"/>
      <c r="AJ156" s="42" t="n"/>
      <c r="AK156" s="42" t="n"/>
      <c r="AL156" s="42" t="n"/>
      <c r="AM156" s="42" t="n"/>
      <c r="AN156" s="42" t="n"/>
      <c r="AO156" s="42" t="n"/>
      <c r="AP156" s="42" t="n"/>
      <c r="AQ156" s="42" t="n"/>
    </row>
    <row r="157" ht="18" customHeight="1" s="74">
      <c r="A157" s="32" t="n"/>
      <c r="B157" s="32" t="n"/>
      <c r="C157" s="32" t="n"/>
      <c r="D157" s="32" t="n"/>
      <c r="E157" s="33" t="n"/>
      <c r="F157" s="33" t="n"/>
      <c r="G157" s="33" t="n"/>
      <c r="H157" s="33" t="n"/>
      <c r="I157" s="33" t="n"/>
      <c r="J157" s="33" t="n"/>
      <c r="K157" s="33" t="n"/>
      <c r="L157" s="33" t="n"/>
      <c r="M157" s="33" t="n"/>
      <c r="N157" s="33" t="n"/>
      <c r="O157" s="33" t="n"/>
      <c r="P157" s="33" t="n"/>
      <c r="Q157" s="33" t="n"/>
      <c r="R157" s="33" t="n"/>
      <c r="S157" s="33" t="n"/>
      <c r="T157" s="33" t="n"/>
      <c r="U157" s="33" t="n"/>
      <c r="V157" s="33" t="n"/>
      <c r="W157" s="34" t="n"/>
      <c r="X157" s="33" t="n"/>
      <c r="Y157" s="35" t="n"/>
      <c r="Z157" s="157">
        <f>IF(OR(Y157="",X157=""),"",IFERROR(Y157*INDEX(FXRates[USD per unit],MATCH(X157,FXRates[Currency],0)),"No rate"))</f>
        <v/>
      </c>
      <c r="AA157" s="32" t="n"/>
      <c r="AB157" s="32" t="n"/>
      <c r="AC157" s="36">
        <f>IF(A157="","",IF(COUNTIF($A$6:$A$504,A157)&gt;1,"⚠ Duplicate",""))</f>
        <v/>
      </c>
      <c r="AD157" s="43" t="n"/>
      <c r="AE157" s="43" t="n"/>
      <c r="AF157" s="43" t="n"/>
      <c r="AG157" s="43" t="n"/>
      <c r="AH157" s="43" t="n"/>
      <c r="AI157" s="43" t="n"/>
      <c r="AJ157" s="43" t="n"/>
      <c r="AK157" s="43" t="n"/>
      <c r="AL157" s="43" t="n"/>
      <c r="AM157" s="43" t="n"/>
      <c r="AN157" s="43" t="n"/>
      <c r="AO157" s="43" t="n"/>
      <c r="AP157" s="43" t="n"/>
      <c r="AQ157" s="43" t="n"/>
    </row>
    <row r="158" ht="18" customHeight="1" s="74">
      <c r="A158" s="38" t="n"/>
      <c r="B158" s="38" t="n"/>
      <c r="C158" s="38" t="n"/>
      <c r="D158" s="38" t="n"/>
      <c r="E158" s="39" t="n"/>
      <c r="F158" s="39" t="n"/>
      <c r="G158" s="39" t="n"/>
      <c r="H158" s="39" t="n"/>
      <c r="I158" s="39" t="n"/>
      <c r="J158" s="39" t="n"/>
      <c r="K158" s="39" t="n"/>
      <c r="L158" s="39" t="n"/>
      <c r="M158" s="39" t="n"/>
      <c r="N158" s="39" t="n"/>
      <c r="O158" s="39" t="n"/>
      <c r="P158" s="39" t="n"/>
      <c r="Q158" s="39" t="n"/>
      <c r="R158" s="39" t="n"/>
      <c r="S158" s="39" t="n"/>
      <c r="T158" s="39" t="n"/>
      <c r="U158" s="39" t="n"/>
      <c r="V158" s="39" t="n"/>
      <c r="W158" s="34" t="n"/>
      <c r="X158" s="39" t="n"/>
      <c r="Y158" s="40" t="n"/>
      <c r="Z158" s="158">
        <f>IF(OR(Y158="",X158=""),"",IFERROR(Y158*INDEX(FXRates[USD per unit],MATCH(X158,FXRates[Currency],0)),"No rate"))</f>
        <v/>
      </c>
      <c r="AA158" s="38" t="n"/>
      <c r="AB158" s="38" t="n"/>
      <c r="AC158" s="41">
        <f>IF(A158="","",IF(COUNTIF($A$6:$A$504,A158)&gt;1,"⚠ Duplicate",""))</f>
        <v/>
      </c>
      <c r="AD158" s="42" t="n"/>
      <c r="AE158" s="42" t="n"/>
      <c r="AF158" s="42" t="n"/>
      <c r="AG158" s="42" t="n"/>
      <c r="AH158" s="42" t="n"/>
      <c r="AI158" s="42" t="n"/>
      <c r="AJ158" s="42" t="n"/>
      <c r="AK158" s="42" t="n"/>
      <c r="AL158" s="42" t="n"/>
      <c r="AM158" s="42" t="n"/>
      <c r="AN158" s="42" t="n"/>
      <c r="AO158" s="42" t="n"/>
      <c r="AP158" s="42" t="n"/>
      <c r="AQ158" s="42" t="n"/>
    </row>
    <row r="159" ht="18" customHeight="1" s="74">
      <c r="A159" s="32" t="n"/>
      <c r="B159" s="32" t="n"/>
      <c r="C159" s="32" t="n"/>
      <c r="D159" s="32" t="n"/>
      <c r="E159" s="33" t="n"/>
      <c r="F159" s="33" t="n"/>
      <c r="G159" s="33" t="n"/>
      <c r="H159" s="33" t="n"/>
      <c r="I159" s="33" t="n"/>
      <c r="J159" s="33" t="n"/>
      <c r="K159" s="33" t="n"/>
      <c r="L159" s="33" t="n"/>
      <c r="M159" s="33" t="n"/>
      <c r="N159" s="33" t="n"/>
      <c r="O159" s="33" t="n"/>
      <c r="P159" s="33" t="n"/>
      <c r="Q159" s="33" t="n"/>
      <c r="R159" s="33" t="n"/>
      <c r="S159" s="33" t="n"/>
      <c r="T159" s="33" t="n"/>
      <c r="U159" s="33" t="n"/>
      <c r="V159" s="33" t="n"/>
      <c r="W159" s="34" t="n"/>
      <c r="X159" s="33" t="n"/>
      <c r="Y159" s="35" t="n"/>
      <c r="Z159" s="157">
        <f>IF(OR(Y159="",X159=""),"",IFERROR(Y159*INDEX(FXRates[USD per unit],MATCH(X159,FXRates[Currency],0)),"No rate"))</f>
        <v/>
      </c>
      <c r="AA159" s="32" t="n"/>
      <c r="AB159" s="32" t="n"/>
      <c r="AC159" s="36">
        <f>IF(A159="","",IF(COUNTIF($A$6:$A$504,A159)&gt;1,"⚠ Duplicate",""))</f>
        <v/>
      </c>
      <c r="AD159" s="43" t="n"/>
      <c r="AE159" s="43" t="n"/>
      <c r="AF159" s="43" t="n"/>
      <c r="AG159" s="43" t="n"/>
      <c r="AH159" s="43" t="n"/>
      <c r="AI159" s="43" t="n"/>
      <c r="AJ159" s="43" t="n"/>
      <c r="AK159" s="43" t="n"/>
      <c r="AL159" s="43" t="n"/>
      <c r="AM159" s="43" t="n"/>
      <c r="AN159" s="43" t="n"/>
      <c r="AO159" s="43" t="n"/>
      <c r="AP159" s="43" t="n"/>
      <c r="AQ159" s="43" t="n"/>
    </row>
    <row r="160" ht="18" customHeight="1" s="74">
      <c r="A160" s="38" t="n"/>
      <c r="B160" s="38" t="n"/>
      <c r="C160" s="38" t="n"/>
      <c r="D160" s="38" t="n"/>
      <c r="E160" s="39" t="n"/>
      <c r="F160" s="39" t="n"/>
      <c r="G160" s="39" t="n"/>
      <c r="H160" s="39" t="n"/>
      <c r="I160" s="39" t="n"/>
      <c r="J160" s="39" t="n"/>
      <c r="K160" s="39" t="n"/>
      <c r="L160" s="39" t="n"/>
      <c r="M160" s="39" t="n"/>
      <c r="N160" s="39" t="n"/>
      <c r="O160" s="39" t="n"/>
      <c r="P160" s="39" t="n"/>
      <c r="Q160" s="39" t="n"/>
      <c r="R160" s="39" t="n"/>
      <c r="S160" s="39" t="n"/>
      <c r="T160" s="39" t="n"/>
      <c r="U160" s="39" t="n"/>
      <c r="V160" s="39" t="n"/>
      <c r="W160" s="34" t="n"/>
      <c r="X160" s="39" t="n"/>
      <c r="Y160" s="40" t="n"/>
      <c r="Z160" s="158">
        <f>IF(OR(Y160="",X160=""),"",IFERROR(Y160*INDEX(FXRates[USD per unit],MATCH(X160,FXRates[Currency],0)),"No rate"))</f>
        <v/>
      </c>
      <c r="AA160" s="38" t="n"/>
      <c r="AB160" s="38" t="n"/>
      <c r="AC160" s="41">
        <f>IF(A160="","",IF(COUNTIF($A$6:$A$504,A160)&gt;1,"⚠ Duplicate",""))</f>
        <v/>
      </c>
      <c r="AD160" s="42" t="n"/>
      <c r="AE160" s="42" t="n"/>
      <c r="AF160" s="42" t="n"/>
      <c r="AG160" s="42" t="n"/>
      <c r="AH160" s="42" t="n"/>
      <c r="AI160" s="42" t="n"/>
      <c r="AJ160" s="42" t="n"/>
      <c r="AK160" s="42" t="n"/>
      <c r="AL160" s="42" t="n"/>
      <c r="AM160" s="42" t="n"/>
      <c r="AN160" s="42" t="n"/>
      <c r="AO160" s="42" t="n"/>
      <c r="AP160" s="42" t="n"/>
      <c r="AQ160" s="42" t="n"/>
    </row>
    <row r="161" ht="18" customHeight="1" s="74">
      <c r="A161" s="32" t="n"/>
      <c r="B161" s="32" t="n"/>
      <c r="C161" s="32" t="n"/>
      <c r="D161" s="32" t="n"/>
      <c r="E161" s="33" t="n"/>
      <c r="F161" s="33" t="n"/>
      <c r="G161" s="33" t="n"/>
      <c r="H161" s="33" t="n"/>
      <c r="I161" s="33" t="n"/>
      <c r="J161" s="33" t="n"/>
      <c r="K161" s="33" t="n"/>
      <c r="L161" s="33" t="n"/>
      <c r="M161" s="33" t="n"/>
      <c r="N161" s="33" t="n"/>
      <c r="O161" s="33" t="n"/>
      <c r="P161" s="33" t="n"/>
      <c r="Q161" s="33" t="n"/>
      <c r="R161" s="33" t="n"/>
      <c r="S161" s="33" t="n"/>
      <c r="T161" s="33" t="n"/>
      <c r="U161" s="33" t="n"/>
      <c r="V161" s="33" t="n"/>
      <c r="W161" s="34" t="n"/>
      <c r="X161" s="33" t="n"/>
      <c r="Y161" s="35" t="n"/>
      <c r="Z161" s="157">
        <f>IF(OR(Y161="",X161=""),"",IFERROR(Y161*INDEX(FXRates[USD per unit],MATCH(X161,FXRates[Currency],0)),"No rate"))</f>
        <v/>
      </c>
      <c r="AA161" s="32" t="n"/>
      <c r="AB161" s="32" t="n"/>
      <c r="AC161" s="36">
        <f>IF(A161="","",IF(COUNTIF($A$6:$A$504,A161)&gt;1,"⚠ Duplicate",""))</f>
        <v/>
      </c>
      <c r="AD161" s="43" t="n"/>
      <c r="AE161" s="43" t="n"/>
      <c r="AF161" s="43" t="n"/>
      <c r="AG161" s="43" t="n"/>
      <c r="AH161" s="43" t="n"/>
      <c r="AI161" s="43" t="n"/>
      <c r="AJ161" s="43" t="n"/>
      <c r="AK161" s="43" t="n"/>
      <c r="AL161" s="43" t="n"/>
      <c r="AM161" s="43" t="n"/>
      <c r="AN161" s="43" t="n"/>
      <c r="AO161" s="43" t="n"/>
      <c r="AP161" s="43" t="n"/>
      <c r="AQ161" s="43" t="n"/>
    </row>
    <row r="162" ht="18" customHeight="1" s="74">
      <c r="A162" s="38" t="n"/>
      <c r="B162" s="38" t="n"/>
      <c r="C162" s="38" t="n"/>
      <c r="D162" s="38" t="n"/>
      <c r="E162" s="39" t="n"/>
      <c r="F162" s="39" t="n"/>
      <c r="G162" s="39" t="n"/>
      <c r="H162" s="39" t="n"/>
      <c r="I162" s="39" t="n"/>
      <c r="J162" s="39" t="n"/>
      <c r="K162" s="39" t="n"/>
      <c r="L162" s="39" t="n"/>
      <c r="M162" s="39" t="n"/>
      <c r="N162" s="39" t="n"/>
      <c r="O162" s="39" t="n"/>
      <c r="P162" s="39" t="n"/>
      <c r="Q162" s="39" t="n"/>
      <c r="R162" s="39" t="n"/>
      <c r="S162" s="39" t="n"/>
      <c r="T162" s="39" t="n"/>
      <c r="U162" s="39" t="n"/>
      <c r="V162" s="39" t="n"/>
      <c r="W162" s="34" t="n"/>
      <c r="X162" s="39" t="n"/>
      <c r="Y162" s="40" t="n"/>
      <c r="Z162" s="158">
        <f>IF(OR(Y162="",X162=""),"",IFERROR(Y162*INDEX(FXRates[USD per unit],MATCH(X162,FXRates[Currency],0)),"No rate"))</f>
        <v/>
      </c>
      <c r="AA162" s="38" t="n"/>
      <c r="AB162" s="38" t="n"/>
      <c r="AC162" s="41">
        <f>IF(A162="","",IF(COUNTIF($A$6:$A$504,A162)&gt;1,"⚠ Duplicate",""))</f>
        <v/>
      </c>
      <c r="AD162" s="42" t="n"/>
      <c r="AE162" s="42" t="n"/>
      <c r="AF162" s="42" t="n"/>
      <c r="AG162" s="42" t="n"/>
      <c r="AH162" s="42" t="n"/>
      <c r="AI162" s="42" t="n"/>
      <c r="AJ162" s="42" t="n"/>
      <c r="AK162" s="42" t="n"/>
      <c r="AL162" s="42" t="n"/>
      <c r="AM162" s="42" t="n"/>
      <c r="AN162" s="42" t="n"/>
      <c r="AO162" s="42" t="n"/>
      <c r="AP162" s="42" t="n"/>
      <c r="AQ162" s="42" t="n"/>
    </row>
    <row r="163" ht="18" customHeight="1" s="74">
      <c r="A163" s="32" t="n"/>
      <c r="B163" s="32" t="n"/>
      <c r="C163" s="32" t="n"/>
      <c r="D163" s="32" t="n"/>
      <c r="E163" s="33" t="n"/>
      <c r="F163" s="33" t="n"/>
      <c r="G163" s="33" t="n"/>
      <c r="H163" s="33" t="n"/>
      <c r="I163" s="33" t="n"/>
      <c r="J163" s="33" t="n"/>
      <c r="K163" s="33" t="n"/>
      <c r="L163" s="33" t="n"/>
      <c r="M163" s="33" t="n"/>
      <c r="N163" s="33" t="n"/>
      <c r="O163" s="33" t="n"/>
      <c r="P163" s="33" t="n"/>
      <c r="Q163" s="33" t="n"/>
      <c r="R163" s="33" t="n"/>
      <c r="S163" s="33" t="n"/>
      <c r="T163" s="33" t="n"/>
      <c r="U163" s="33" t="n"/>
      <c r="V163" s="33" t="n"/>
      <c r="W163" s="34" t="n"/>
      <c r="X163" s="33" t="n"/>
      <c r="Y163" s="35" t="n"/>
      <c r="Z163" s="157">
        <f>IF(OR(Y163="",X163=""),"",IFERROR(Y163*INDEX(FXRates[USD per unit],MATCH(X163,FXRates[Currency],0)),"No rate"))</f>
        <v/>
      </c>
      <c r="AA163" s="32" t="n"/>
      <c r="AB163" s="32" t="n"/>
      <c r="AC163" s="36">
        <f>IF(A163="","",IF(COUNTIF($A$6:$A$504,A163)&gt;1,"⚠ Duplicate",""))</f>
        <v/>
      </c>
      <c r="AD163" s="43" t="n"/>
      <c r="AE163" s="43" t="n"/>
      <c r="AF163" s="43" t="n"/>
      <c r="AG163" s="43" t="n"/>
      <c r="AH163" s="43" t="n"/>
      <c r="AI163" s="43" t="n"/>
      <c r="AJ163" s="43" t="n"/>
      <c r="AK163" s="43" t="n"/>
      <c r="AL163" s="43" t="n"/>
      <c r="AM163" s="43" t="n"/>
      <c r="AN163" s="43" t="n"/>
      <c r="AO163" s="43" t="n"/>
      <c r="AP163" s="43" t="n"/>
      <c r="AQ163" s="43" t="n"/>
    </row>
    <row r="164" ht="18" customHeight="1" s="74">
      <c r="A164" s="38" t="n"/>
      <c r="B164" s="38" t="n"/>
      <c r="C164" s="38" t="n"/>
      <c r="D164" s="38" t="n"/>
      <c r="E164" s="39" t="n"/>
      <c r="F164" s="39" t="n"/>
      <c r="G164" s="39" t="n"/>
      <c r="H164" s="39" t="n"/>
      <c r="I164" s="39" t="n"/>
      <c r="J164" s="39" t="n"/>
      <c r="K164" s="39" t="n"/>
      <c r="L164" s="39" t="n"/>
      <c r="M164" s="39" t="n"/>
      <c r="N164" s="39" t="n"/>
      <c r="O164" s="39" t="n"/>
      <c r="P164" s="39" t="n"/>
      <c r="Q164" s="39" t="n"/>
      <c r="R164" s="39" t="n"/>
      <c r="S164" s="39" t="n"/>
      <c r="T164" s="39" t="n"/>
      <c r="U164" s="39" t="n"/>
      <c r="V164" s="39" t="n"/>
      <c r="W164" s="34" t="n"/>
      <c r="X164" s="39" t="n"/>
      <c r="Y164" s="40" t="n"/>
      <c r="Z164" s="158">
        <f>IF(OR(Y164="",X164=""),"",IFERROR(Y164*INDEX(FXRates[USD per unit],MATCH(X164,FXRates[Currency],0)),"No rate"))</f>
        <v/>
      </c>
      <c r="AA164" s="38" t="n"/>
      <c r="AB164" s="38" t="n"/>
      <c r="AC164" s="41">
        <f>IF(A164="","",IF(COUNTIF($A$6:$A$504,A164)&gt;1,"⚠ Duplicate",""))</f>
        <v/>
      </c>
      <c r="AD164" s="42" t="n"/>
      <c r="AE164" s="42" t="n"/>
      <c r="AF164" s="42" t="n"/>
      <c r="AG164" s="42" t="n"/>
      <c r="AH164" s="42" t="n"/>
      <c r="AI164" s="42" t="n"/>
      <c r="AJ164" s="42" t="n"/>
      <c r="AK164" s="42" t="n"/>
      <c r="AL164" s="42" t="n"/>
      <c r="AM164" s="42" t="n"/>
      <c r="AN164" s="42" t="n"/>
      <c r="AO164" s="42" t="n"/>
      <c r="AP164" s="42" t="n"/>
      <c r="AQ164" s="42" t="n"/>
    </row>
    <row r="165" ht="18" customHeight="1" s="74">
      <c r="A165" s="32" t="n"/>
      <c r="B165" s="32" t="n"/>
      <c r="C165" s="32" t="n"/>
      <c r="D165" s="32" t="n"/>
      <c r="E165" s="33" t="n"/>
      <c r="F165" s="33" t="n"/>
      <c r="G165" s="33" t="n"/>
      <c r="H165" s="33" t="n"/>
      <c r="I165" s="33" t="n"/>
      <c r="J165" s="33" t="n"/>
      <c r="K165" s="33" t="n"/>
      <c r="L165" s="33" t="n"/>
      <c r="M165" s="33" t="n"/>
      <c r="N165" s="33" t="n"/>
      <c r="O165" s="33" t="n"/>
      <c r="P165" s="33" t="n"/>
      <c r="Q165" s="33" t="n"/>
      <c r="R165" s="33" t="n"/>
      <c r="S165" s="33" t="n"/>
      <c r="T165" s="33" t="n"/>
      <c r="U165" s="33" t="n"/>
      <c r="V165" s="33" t="n"/>
      <c r="W165" s="34" t="n"/>
      <c r="X165" s="33" t="n"/>
      <c r="Y165" s="35" t="n"/>
      <c r="Z165" s="157">
        <f>IF(OR(Y165="",X165=""),"",IFERROR(Y165*INDEX(FXRates[USD per unit],MATCH(X165,FXRates[Currency],0)),"No rate"))</f>
        <v/>
      </c>
      <c r="AA165" s="32" t="n"/>
      <c r="AB165" s="32" t="n"/>
      <c r="AC165" s="36">
        <f>IF(A165="","",IF(COUNTIF($A$6:$A$504,A165)&gt;1,"⚠ Duplicate",""))</f>
        <v/>
      </c>
      <c r="AD165" s="43" t="n"/>
      <c r="AE165" s="43" t="n"/>
      <c r="AF165" s="43" t="n"/>
      <c r="AG165" s="43" t="n"/>
      <c r="AH165" s="43" t="n"/>
      <c r="AI165" s="43" t="n"/>
      <c r="AJ165" s="43" t="n"/>
      <c r="AK165" s="43" t="n"/>
      <c r="AL165" s="43" t="n"/>
      <c r="AM165" s="43" t="n"/>
      <c r="AN165" s="43" t="n"/>
      <c r="AO165" s="43" t="n"/>
      <c r="AP165" s="43" t="n"/>
      <c r="AQ165" s="43" t="n"/>
    </row>
    <row r="166" ht="18" customHeight="1" s="74">
      <c r="A166" s="38" t="n"/>
      <c r="B166" s="38" t="n"/>
      <c r="C166" s="38" t="n"/>
      <c r="D166" s="38" t="n"/>
      <c r="E166" s="39" t="n"/>
      <c r="F166" s="39" t="n"/>
      <c r="G166" s="39" t="n"/>
      <c r="H166" s="39" t="n"/>
      <c r="I166" s="39" t="n"/>
      <c r="J166" s="39" t="n"/>
      <c r="K166" s="39" t="n"/>
      <c r="L166" s="39" t="n"/>
      <c r="M166" s="39" t="n"/>
      <c r="N166" s="39" t="n"/>
      <c r="O166" s="39" t="n"/>
      <c r="P166" s="39" t="n"/>
      <c r="Q166" s="39" t="n"/>
      <c r="R166" s="39" t="n"/>
      <c r="S166" s="39" t="n"/>
      <c r="T166" s="39" t="n"/>
      <c r="U166" s="39" t="n"/>
      <c r="V166" s="39" t="n"/>
      <c r="W166" s="34" t="n"/>
      <c r="X166" s="39" t="n"/>
      <c r="Y166" s="40" t="n"/>
      <c r="Z166" s="158">
        <f>IF(OR(Y166="",X166=""),"",IFERROR(Y166*INDEX(FXRates[USD per unit],MATCH(X166,FXRates[Currency],0)),"No rate"))</f>
        <v/>
      </c>
      <c r="AA166" s="38" t="n"/>
      <c r="AB166" s="38" t="n"/>
      <c r="AC166" s="41">
        <f>IF(A166="","",IF(COUNTIF($A$6:$A$504,A166)&gt;1,"⚠ Duplicate",""))</f>
        <v/>
      </c>
      <c r="AD166" s="42" t="n"/>
      <c r="AE166" s="42" t="n"/>
      <c r="AF166" s="42" t="n"/>
      <c r="AG166" s="42" t="n"/>
      <c r="AH166" s="42" t="n"/>
      <c r="AI166" s="42" t="n"/>
      <c r="AJ166" s="42" t="n"/>
      <c r="AK166" s="42" t="n"/>
      <c r="AL166" s="42" t="n"/>
      <c r="AM166" s="42" t="n"/>
      <c r="AN166" s="42" t="n"/>
      <c r="AO166" s="42" t="n"/>
      <c r="AP166" s="42" t="n"/>
      <c r="AQ166" s="42" t="n"/>
    </row>
    <row r="167" ht="18" customHeight="1" s="74">
      <c r="A167" s="32" t="n"/>
      <c r="B167" s="32" t="n"/>
      <c r="C167" s="32" t="n"/>
      <c r="D167" s="32" t="n"/>
      <c r="E167" s="33" t="n"/>
      <c r="F167" s="33" t="n"/>
      <c r="G167" s="33" t="n"/>
      <c r="H167" s="33" t="n"/>
      <c r="I167" s="33" t="n"/>
      <c r="J167" s="33" t="n"/>
      <c r="K167" s="33" t="n"/>
      <c r="L167" s="33" t="n"/>
      <c r="M167" s="33" t="n"/>
      <c r="N167" s="33" t="n"/>
      <c r="O167" s="33" t="n"/>
      <c r="P167" s="33" t="n"/>
      <c r="Q167" s="33" t="n"/>
      <c r="R167" s="33" t="n"/>
      <c r="S167" s="33" t="n"/>
      <c r="T167" s="33" t="n"/>
      <c r="U167" s="33" t="n"/>
      <c r="V167" s="33" t="n"/>
      <c r="W167" s="34" t="n"/>
      <c r="X167" s="33" t="n"/>
      <c r="Y167" s="35" t="n"/>
      <c r="Z167" s="157">
        <f>IF(OR(Y167="",X167=""),"",IFERROR(Y167*INDEX(FXRates[USD per unit],MATCH(X167,FXRates[Currency],0)),"No rate"))</f>
        <v/>
      </c>
      <c r="AA167" s="32" t="n"/>
      <c r="AB167" s="32" t="n"/>
      <c r="AC167" s="36">
        <f>IF(A167="","",IF(COUNTIF($A$6:$A$504,A167)&gt;1,"⚠ Duplicate",""))</f>
        <v/>
      </c>
      <c r="AD167" s="43" t="n"/>
      <c r="AE167" s="43" t="n"/>
      <c r="AF167" s="43" t="n"/>
      <c r="AG167" s="43" t="n"/>
      <c r="AH167" s="43" t="n"/>
      <c r="AI167" s="43" t="n"/>
      <c r="AJ167" s="43" t="n"/>
      <c r="AK167" s="43" t="n"/>
      <c r="AL167" s="43" t="n"/>
      <c r="AM167" s="43" t="n"/>
      <c r="AN167" s="43" t="n"/>
      <c r="AO167" s="43" t="n"/>
      <c r="AP167" s="43" t="n"/>
      <c r="AQ167" s="43" t="n"/>
    </row>
    <row r="168" ht="18" customHeight="1" s="74">
      <c r="A168" s="38" t="n"/>
      <c r="B168" s="38" t="n"/>
      <c r="C168" s="38" t="n"/>
      <c r="D168" s="38" t="n"/>
      <c r="E168" s="39" t="n"/>
      <c r="F168" s="39" t="n"/>
      <c r="G168" s="39" t="n"/>
      <c r="H168" s="39" t="n"/>
      <c r="I168" s="39" t="n"/>
      <c r="J168" s="39" t="n"/>
      <c r="K168" s="39" t="n"/>
      <c r="L168" s="39" t="n"/>
      <c r="M168" s="39" t="n"/>
      <c r="N168" s="39" t="n"/>
      <c r="O168" s="39" t="n"/>
      <c r="P168" s="39" t="n"/>
      <c r="Q168" s="39" t="n"/>
      <c r="R168" s="39" t="n"/>
      <c r="S168" s="39" t="n"/>
      <c r="T168" s="39" t="n"/>
      <c r="U168" s="39" t="n"/>
      <c r="V168" s="39" t="n"/>
      <c r="W168" s="34" t="n"/>
      <c r="X168" s="39" t="n"/>
      <c r="Y168" s="40" t="n"/>
      <c r="Z168" s="158">
        <f>IF(OR(Y168="",X168=""),"",IFERROR(Y168*INDEX(FXRates[USD per unit],MATCH(X168,FXRates[Currency],0)),"No rate"))</f>
        <v/>
      </c>
      <c r="AA168" s="38" t="n"/>
      <c r="AB168" s="38" t="n"/>
      <c r="AC168" s="41">
        <f>IF(A168="","",IF(COUNTIF($A$6:$A$504,A168)&gt;1,"⚠ Duplicate",""))</f>
        <v/>
      </c>
      <c r="AD168" s="42" t="n"/>
      <c r="AE168" s="42" t="n"/>
      <c r="AF168" s="42" t="n"/>
      <c r="AG168" s="42" t="n"/>
      <c r="AH168" s="42" t="n"/>
      <c r="AI168" s="42" t="n"/>
      <c r="AJ168" s="42" t="n"/>
      <c r="AK168" s="42" t="n"/>
      <c r="AL168" s="42" t="n"/>
      <c r="AM168" s="42" t="n"/>
      <c r="AN168" s="42" t="n"/>
      <c r="AO168" s="42" t="n"/>
      <c r="AP168" s="42" t="n"/>
      <c r="AQ168" s="42" t="n"/>
    </row>
    <row r="169" ht="18" customHeight="1" s="74">
      <c r="A169" s="32" t="n"/>
      <c r="B169" s="32" t="n"/>
      <c r="C169" s="32" t="n"/>
      <c r="D169" s="32" t="n"/>
      <c r="E169" s="33" t="n"/>
      <c r="F169" s="33" t="n"/>
      <c r="G169" s="33" t="n"/>
      <c r="H169" s="33" t="n"/>
      <c r="I169" s="33" t="n"/>
      <c r="J169" s="33" t="n"/>
      <c r="K169" s="33" t="n"/>
      <c r="L169" s="33" t="n"/>
      <c r="M169" s="33" t="n"/>
      <c r="N169" s="33" t="n"/>
      <c r="O169" s="33" t="n"/>
      <c r="P169" s="33" t="n"/>
      <c r="Q169" s="33" t="n"/>
      <c r="R169" s="33" t="n"/>
      <c r="S169" s="33" t="n"/>
      <c r="T169" s="33" t="n"/>
      <c r="U169" s="33" t="n"/>
      <c r="V169" s="33" t="n"/>
      <c r="W169" s="34" t="n"/>
      <c r="X169" s="33" t="n"/>
      <c r="Y169" s="35" t="n"/>
      <c r="Z169" s="157">
        <f>IF(OR(Y169="",X169=""),"",IFERROR(Y169*INDEX(FXRates[USD per unit],MATCH(X169,FXRates[Currency],0)),"No rate"))</f>
        <v/>
      </c>
      <c r="AA169" s="32" t="n"/>
      <c r="AB169" s="32" t="n"/>
      <c r="AC169" s="36">
        <f>IF(A169="","",IF(COUNTIF($A$6:$A$504,A169)&gt;1,"⚠ Duplicate",""))</f>
        <v/>
      </c>
      <c r="AD169" s="43" t="n"/>
      <c r="AE169" s="43" t="n"/>
      <c r="AF169" s="43" t="n"/>
      <c r="AG169" s="43" t="n"/>
      <c r="AH169" s="43" t="n"/>
      <c r="AI169" s="43" t="n"/>
      <c r="AJ169" s="43" t="n"/>
      <c r="AK169" s="43" t="n"/>
      <c r="AL169" s="43" t="n"/>
      <c r="AM169" s="43" t="n"/>
      <c r="AN169" s="43" t="n"/>
      <c r="AO169" s="43" t="n"/>
      <c r="AP169" s="43" t="n"/>
      <c r="AQ169" s="43" t="n"/>
    </row>
    <row r="170" ht="18" customHeight="1" s="74">
      <c r="A170" s="38" t="n"/>
      <c r="B170" s="38" t="n"/>
      <c r="C170" s="38" t="n"/>
      <c r="D170" s="38" t="n"/>
      <c r="E170" s="39" t="n"/>
      <c r="F170" s="39" t="n"/>
      <c r="G170" s="39" t="n"/>
      <c r="H170" s="39" t="n"/>
      <c r="I170" s="39" t="n"/>
      <c r="J170" s="39" t="n"/>
      <c r="K170" s="39" t="n"/>
      <c r="L170" s="39" t="n"/>
      <c r="M170" s="39" t="n"/>
      <c r="N170" s="39" t="n"/>
      <c r="O170" s="39" t="n"/>
      <c r="P170" s="39" t="n"/>
      <c r="Q170" s="39" t="n"/>
      <c r="R170" s="39" t="n"/>
      <c r="S170" s="39" t="n"/>
      <c r="T170" s="39" t="n"/>
      <c r="U170" s="39" t="n"/>
      <c r="V170" s="39" t="n"/>
      <c r="W170" s="34" t="n"/>
      <c r="X170" s="39" t="n"/>
      <c r="Y170" s="40" t="n"/>
      <c r="Z170" s="158">
        <f>IF(OR(Y170="",X170=""),"",IFERROR(Y170*INDEX(FXRates[USD per unit],MATCH(X170,FXRates[Currency],0)),"No rate"))</f>
        <v/>
      </c>
      <c r="AA170" s="38" t="n"/>
      <c r="AB170" s="38" t="n"/>
      <c r="AC170" s="41">
        <f>IF(A170="","",IF(COUNTIF($A$6:$A$504,A170)&gt;1,"⚠ Duplicate",""))</f>
        <v/>
      </c>
      <c r="AD170" s="42" t="n"/>
      <c r="AE170" s="42" t="n"/>
      <c r="AF170" s="42" t="n"/>
      <c r="AG170" s="42" t="n"/>
      <c r="AH170" s="42" t="n"/>
      <c r="AI170" s="42" t="n"/>
      <c r="AJ170" s="42" t="n"/>
      <c r="AK170" s="42" t="n"/>
      <c r="AL170" s="42" t="n"/>
      <c r="AM170" s="42" t="n"/>
      <c r="AN170" s="42" t="n"/>
      <c r="AO170" s="42" t="n"/>
      <c r="AP170" s="42" t="n"/>
      <c r="AQ170" s="42" t="n"/>
    </row>
    <row r="171" ht="18" customHeight="1" s="74">
      <c r="A171" s="32" t="n"/>
      <c r="B171" s="32" t="n"/>
      <c r="C171" s="32" t="n"/>
      <c r="D171" s="32" t="n"/>
      <c r="E171" s="33" t="n"/>
      <c r="F171" s="33" t="n"/>
      <c r="G171" s="33" t="n"/>
      <c r="H171" s="33" t="n"/>
      <c r="I171" s="33" t="n"/>
      <c r="J171" s="33" t="n"/>
      <c r="K171" s="33" t="n"/>
      <c r="L171" s="33" t="n"/>
      <c r="M171" s="33" t="n"/>
      <c r="N171" s="33" t="n"/>
      <c r="O171" s="33" t="n"/>
      <c r="P171" s="33" t="n"/>
      <c r="Q171" s="33" t="n"/>
      <c r="R171" s="33" t="n"/>
      <c r="S171" s="33" t="n"/>
      <c r="T171" s="33" t="n"/>
      <c r="U171" s="33" t="n"/>
      <c r="V171" s="33" t="n"/>
      <c r="W171" s="34" t="n"/>
      <c r="X171" s="33" t="n"/>
      <c r="Y171" s="35" t="n"/>
      <c r="Z171" s="157">
        <f>IF(OR(Y171="",X171=""),"",IFERROR(Y171*INDEX(FXRates[USD per unit],MATCH(X171,FXRates[Currency],0)),"No rate"))</f>
        <v/>
      </c>
      <c r="AA171" s="32" t="n"/>
      <c r="AB171" s="32" t="n"/>
      <c r="AC171" s="36">
        <f>IF(A171="","",IF(COUNTIF($A$6:$A$504,A171)&gt;1,"⚠ Duplicate",""))</f>
        <v/>
      </c>
      <c r="AD171" s="43" t="n"/>
      <c r="AE171" s="43" t="n"/>
      <c r="AF171" s="43" t="n"/>
      <c r="AG171" s="43" t="n"/>
      <c r="AH171" s="43" t="n"/>
      <c r="AI171" s="43" t="n"/>
      <c r="AJ171" s="43" t="n"/>
      <c r="AK171" s="43" t="n"/>
      <c r="AL171" s="43" t="n"/>
      <c r="AM171" s="43" t="n"/>
      <c r="AN171" s="43" t="n"/>
      <c r="AO171" s="43" t="n"/>
      <c r="AP171" s="43" t="n"/>
      <c r="AQ171" s="43" t="n"/>
    </row>
    <row r="172" ht="18" customHeight="1" s="74">
      <c r="A172" s="38" t="n"/>
      <c r="B172" s="38" t="n"/>
      <c r="C172" s="38" t="n"/>
      <c r="D172" s="38" t="n"/>
      <c r="E172" s="39" t="n"/>
      <c r="F172" s="39" t="n"/>
      <c r="G172" s="39" t="n"/>
      <c r="H172" s="39" t="n"/>
      <c r="I172" s="39" t="n"/>
      <c r="J172" s="39" t="n"/>
      <c r="K172" s="39" t="n"/>
      <c r="L172" s="39" t="n"/>
      <c r="M172" s="39" t="n"/>
      <c r="N172" s="39" t="n"/>
      <c r="O172" s="39" t="n"/>
      <c r="P172" s="39" t="n"/>
      <c r="Q172" s="39" t="n"/>
      <c r="R172" s="39" t="n"/>
      <c r="S172" s="39" t="n"/>
      <c r="T172" s="39" t="n"/>
      <c r="U172" s="39" t="n"/>
      <c r="V172" s="39" t="n"/>
      <c r="W172" s="34" t="n"/>
      <c r="X172" s="39" t="n"/>
      <c r="Y172" s="40" t="n"/>
      <c r="Z172" s="158">
        <f>IF(OR(Y172="",X172=""),"",IFERROR(Y172*INDEX(FXRates[USD per unit],MATCH(X172,FXRates[Currency],0)),"No rate"))</f>
        <v/>
      </c>
      <c r="AA172" s="38" t="n"/>
      <c r="AB172" s="38" t="n"/>
      <c r="AC172" s="41">
        <f>IF(A172="","",IF(COUNTIF($A$6:$A$504,A172)&gt;1,"⚠ Duplicate",""))</f>
        <v/>
      </c>
      <c r="AD172" s="42" t="n"/>
      <c r="AE172" s="42" t="n"/>
      <c r="AF172" s="42" t="n"/>
      <c r="AG172" s="42" t="n"/>
      <c r="AH172" s="42" t="n"/>
      <c r="AI172" s="42" t="n"/>
      <c r="AJ172" s="42" t="n"/>
      <c r="AK172" s="42" t="n"/>
      <c r="AL172" s="42" t="n"/>
      <c r="AM172" s="42" t="n"/>
      <c r="AN172" s="42" t="n"/>
      <c r="AO172" s="42" t="n"/>
      <c r="AP172" s="42" t="n"/>
      <c r="AQ172" s="42" t="n"/>
    </row>
    <row r="173" ht="18" customHeight="1" s="74">
      <c r="A173" s="32" t="n"/>
      <c r="B173" s="32" t="n"/>
      <c r="C173" s="32" t="n"/>
      <c r="D173" s="32" t="n"/>
      <c r="E173" s="33" t="n"/>
      <c r="F173" s="33" t="n"/>
      <c r="G173" s="33" t="n"/>
      <c r="H173" s="33" t="n"/>
      <c r="I173" s="33" t="n"/>
      <c r="J173" s="33" t="n"/>
      <c r="K173" s="33" t="n"/>
      <c r="L173" s="33" t="n"/>
      <c r="M173" s="33" t="n"/>
      <c r="N173" s="33" t="n"/>
      <c r="O173" s="33" t="n"/>
      <c r="P173" s="33" t="n"/>
      <c r="Q173" s="33" t="n"/>
      <c r="R173" s="33" t="n"/>
      <c r="S173" s="33" t="n"/>
      <c r="T173" s="33" t="n"/>
      <c r="U173" s="33" t="n"/>
      <c r="V173" s="33" t="n"/>
      <c r="W173" s="34" t="n"/>
      <c r="X173" s="33" t="n"/>
      <c r="Y173" s="35" t="n"/>
      <c r="Z173" s="157">
        <f>IF(OR(Y173="",X173=""),"",IFERROR(Y173*INDEX(FXRates[USD per unit],MATCH(X173,FXRates[Currency],0)),"No rate"))</f>
        <v/>
      </c>
      <c r="AA173" s="32" t="n"/>
      <c r="AB173" s="32" t="n"/>
      <c r="AC173" s="36">
        <f>IF(A173="","",IF(COUNTIF($A$6:$A$504,A173)&gt;1,"⚠ Duplicate",""))</f>
        <v/>
      </c>
      <c r="AD173" s="43" t="n"/>
      <c r="AE173" s="43" t="n"/>
      <c r="AF173" s="43" t="n"/>
      <c r="AG173" s="43" t="n"/>
      <c r="AH173" s="43" t="n"/>
      <c r="AI173" s="43" t="n"/>
      <c r="AJ173" s="43" t="n"/>
      <c r="AK173" s="43" t="n"/>
      <c r="AL173" s="43" t="n"/>
      <c r="AM173" s="43" t="n"/>
      <c r="AN173" s="43" t="n"/>
      <c r="AO173" s="43" t="n"/>
      <c r="AP173" s="43" t="n"/>
      <c r="AQ173" s="43" t="n"/>
    </row>
    <row r="174" ht="18" customHeight="1" s="74">
      <c r="A174" s="38" t="n"/>
      <c r="B174" s="38" t="n"/>
      <c r="C174" s="38" t="n"/>
      <c r="D174" s="38" t="n"/>
      <c r="E174" s="39" t="n"/>
      <c r="F174" s="39" t="n"/>
      <c r="G174" s="39" t="n"/>
      <c r="H174" s="39" t="n"/>
      <c r="I174" s="39" t="n"/>
      <c r="J174" s="39" t="n"/>
      <c r="K174" s="39" t="n"/>
      <c r="L174" s="39" t="n"/>
      <c r="M174" s="39" t="n"/>
      <c r="N174" s="39" t="n"/>
      <c r="O174" s="39" t="n"/>
      <c r="P174" s="39" t="n"/>
      <c r="Q174" s="39" t="n"/>
      <c r="R174" s="39" t="n"/>
      <c r="S174" s="39" t="n"/>
      <c r="T174" s="39" t="n"/>
      <c r="U174" s="39" t="n"/>
      <c r="V174" s="39" t="n"/>
      <c r="W174" s="34" t="n"/>
      <c r="X174" s="39" t="n"/>
      <c r="Y174" s="40" t="n"/>
      <c r="Z174" s="158">
        <f>IF(OR(Y174="",X174=""),"",IFERROR(Y174*INDEX(FXRates[USD per unit],MATCH(X174,FXRates[Currency],0)),"No rate"))</f>
        <v/>
      </c>
      <c r="AA174" s="38" t="n"/>
      <c r="AB174" s="38" t="n"/>
      <c r="AC174" s="41">
        <f>IF(A174="","",IF(COUNTIF($A$6:$A$504,A174)&gt;1,"⚠ Duplicate",""))</f>
        <v/>
      </c>
      <c r="AD174" s="42" t="n"/>
      <c r="AE174" s="42" t="n"/>
      <c r="AF174" s="42" t="n"/>
      <c r="AG174" s="42" t="n"/>
      <c r="AH174" s="42" t="n"/>
      <c r="AI174" s="42" t="n"/>
      <c r="AJ174" s="42" t="n"/>
      <c r="AK174" s="42" t="n"/>
      <c r="AL174" s="42" t="n"/>
      <c r="AM174" s="42" t="n"/>
      <c r="AN174" s="42" t="n"/>
      <c r="AO174" s="42" t="n"/>
      <c r="AP174" s="42" t="n"/>
      <c r="AQ174" s="42" t="n"/>
    </row>
    <row r="175" ht="18" customHeight="1" s="74">
      <c r="A175" s="32" t="n"/>
      <c r="B175" s="32" t="n"/>
      <c r="C175" s="32" t="n"/>
      <c r="D175" s="32" t="n"/>
      <c r="E175" s="33" t="n"/>
      <c r="F175" s="33" t="n"/>
      <c r="G175" s="33" t="n"/>
      <c r="H175" s="33" t="n"/>
      <c r="I175" s="33" t="n"/>
      <c r="J175" s="33" t="n"/>
      <c r="K175" s="33" t="n"/>
      <c r="L175" s="33" t="n"/>
      <c r="M175" s="33" t="n"/>
      <c r="N175" s="33" t="n"/>
      <c r="O175" s="33" t="n"/>
      <c r="P175" s="33" t="n"/>
      <c r="Q175" s="33" t="n"/>
      <c r="R175" s="33" t="n"/>
      <c r="S175" s="33" t="n"/>
      <c r="T175" s="33" t="n"/>
      <c r="U175" s="33" t="n"/>
      <c r="V175" s="33" t="n"/>
      <c r="W175" s="34" t="n"/>
      <c r="X175" s="33" t="n"/>
      <c r="Y175" s="35" t="n"/>
      <c r="Z175" s="157">
        <f>IF(OR(Y175="",X175=""),"",IFERROR(Y175*INDEX(FXRates[USD per unit],MATCH(X175,FXRates[Currency],0)),"No rate"))</f>
        <v/>
      </c>
      <c r="AA175" s="32" t="n"/>
      <c r="AB175" s="32" t="n"/>
      <c r="AC175" s="36">
        <f>IF(A175="","",IF(COUNTIF($A$6:$A$504,A175)&gt;1,"⚠ Duplicate",""))</f>
        <v/>
      </c>
      <c r="AD175" s="43" t="n"/>
      <c r="AE175" s="43" t="n"/>
      <c r="AF175" s="43" t="n"/>
      <c r="AG175" s="43" t="n"/>
      <c r="AH175" s="43" t="n"/>
      <c r="AI175" s="43" t="n"/>
      <c r="AJ175" s="43" t="n"/>
      <c r="AK175" s="43" t="n"/>
      <c r="AL175" s="43" t="n"/>
      <c r="AM175" s="43" t="n"/>
      <c r="AN175" s="43" t="n"/>
      <c r="AO175" s="43" t="n"/>
      <c r="AP175" s="43" t="n"/>
      <c r="AQ175" s="43" t="n"/>
    </row>
    <row r="176" ht="18" customHeight="1" s="74">
      <c r="A176" s="38" t="n"/>
      <c r="B176" s="38" t="n"/>
      <c r="C176" s="38" t="n"/>
      <c r="D176" s="38" t="n"/>
      <c r="E176" s="39" t="n"/>
      <c r="F176" s="39" t="n"/>
      <c r="G176" s="39" t="n"/>
      <c r="H176" s="39" t="n"/>
      <c r="I176" s="39" t="n"/>
      <c r="J176" s="39" t="n"/>
      <c r="K176" s="39" t="n"/>
      <c r="L176" s="39" t="n"/>
      <c r="M176" s="39" t="n"/>
      <c r="N176" s="39" t="n"/>
      <c r="O176" s="39" t="n"/>
      <c r="P176" s="39" t="n"/>
      <c r="Q176" s="39" t="n"/>
      <c r="R176" s="39" t="n"/>
      <c r="S176" s="39" t="n"/>
      <c r="T176" s="39" t="n"/>
      <c r="U176" s="39" t="n"/>
      <c r="V176" s="39" t="n"/>
      <c r="W176" s="34" t="n"/>
      <c r="X176" s="39" t="n"/>
      <c r="Y176" s="40" t="n"/>
      <c r="Z176" s="158">
        <f>IF(OR(Y176="",X176=""),"",IFERROR(Y176*INDEX(FXRates[USD per unit],MATCH(X176,FXRates[Currency],0)),"No rate"))</f>
        <v/>
      </c>
      <c r="AA176" s="38" t="n"/>
      <c r="AB176" s="38" t="n"/>
      <c r="AC176" s="41">
        <f>IF(A176="","",IF(COUNTIF($A$6:$A$504,A176)&gt;1,"⚠ Duplicate",""))</f>
        <v/>
      </c>
      <c r="AD176" s="42" t="n"/>
      <c r="AE176" s="42" t="n"/>
      <c r="AF176" s="42" t="n"/>
      <c r="AG176" s="42" t="n"/>
      <c r="AH176" s="42" t="n"/>
      <c r="AI176" s="42" t="n"/>
      <c r="AJ176" s="42" t="n"/>
      <c r="AK176" s="42" t="n"/>
      <c r="AL176" s="42" t="n"/>
      <c r="AM176" s="42" t="n"/>
      <c r="AN176" s="42" t="n"/>
      <c r="AO176" s="42" t="n"/>
      <c r="AP176" s="42" t="n"/>
      <c r="AQ176" s="42" t="n"/>
    </row>
    <row r="177" ht="18" customHeight="1" s="74">
      <c r="A177" s="32" t="n"/>
      <c r="B177" s="32" t="n"/>
      <c r="C177" s="32" t="n"/>
      <c r="D177" s="32" t="n"/>
      <c r="E177" s="33" t="n"/>
      <c r="F177" s="33" t="n"/>
      <c r="G177" s="33" t="n"/>
      <c r="H177" s="33" t="n"/>
      <c r="I177" s="33" t="n"/>
      <c r="J177" s="33" t="n"/>
      <c r="K177" s="33" t="n"/>
      <c r="L177" s="33" t="n"/>
      <c r="M177" s="33" t="n"/>
      <c r="N177" s="33" t="n"/>
      <c r="O177" s="33" t="n"/>
      <c r="P177" s="33" t="n"/>
      <c r="Q177" s="33" t="n"/>
      <c r="R177" s="33" t="n"/>
      <c r="S177" s="33" t="n"/>
      <c r="T177" s="33" t="n"/>
      <c r="U177" s="33" t="n"/>
      <c r="V177" s="33" t="n"/>
      <c r="W177" s="34" t="n"/>
      <c r="X177" s="33" t="n"/>
      <c r="Y177" s="35" t="n"/>
      <c r="Z177" s="157">
        <f>IF(OR(Y177="",X177=""),"",IFERROR(Y177*INDEX(FXRates[USD per unit],MATCH(X177,FXRates[Currency],0)),"No rate"))</f>
        <v/>
      </c>
      <c r="AA177" s="32" t="n"/>
      <c r="AB177" s="32" t="n"/>
      <c r="AC177" s="36">
        <f>IF(A177="","",IF(COUNTIF($A$6:$A$504,A177)&gt;1,"⚠ Duplicate",""))</f>
        <v/>
      </c>
      <c r="AD177" s="43" t="n"/>
      <c r="AE177" s="43" t="n"/>
      <c r="AF177" s="43" t="n"/>
      <c r="AG177" s="43" t="n"/>
      <c r="AH177" s="43" t="n"/>
      <c r="AI177" s="43" t="n"/>
      <c r="AJ177" s="43" t="n"/>
      <c r="AK177" s="43" t="n"/>
      <c r="AL177" s="43" t="n"/>
      <c r="AM177" s="43" t="n"/>
      <c r="AN177" s="43" t="n"/>
      <c r="AO177" s="43" t="n"/>
      <c r="AP177" s="43" t="n"/>
      <c r="AQ177" s="43" t="n"/>
    </row>
    <row r="178" ht="18" customHeight="1" s="74">
      <c r="A178" s="38" t="n"/>
      <c r="B178" s="38" t="n"/>
      <c r="C178" s="38" t="n"/>
      <c r="D178" s="38" t="n"/>
      <c r="E178" s="39" t="n"/>
      <c r="F178" s="39" t="n"/>
      <c r="G178" s="39" t="n"/>
      <c r="H178" s="39" t="n"/>
      <c r="I178" s="39" t="n"/>
      <c r="J178" s="39" t="n"/>
      <c r="K178" s="39" t="n"/>
      <c r="L178" s="39" t="n"/>
      <c r="M178" s="39" t="n"/>
      <c r="N178" s="39" t="n"/>
      <c r="O178" s="39" t="n"/>
      <c r="P178" s="39" t="n"/>
      <c r="Q178" s="39" t="n"/>
      <c r="R178" s="39" t="n"/>
      <c r="S178" s="39" t="n"/>
      <c r="T178" s="39" t="n"/>
      <c r="U178" s="39" t="n"/>
      <c r="V178" s="39" t="n"/>
      <c r="W178" s="34" t="n"/>
      <c r="X178" s="39" t="n"/>
      <c r="Y178" s="40" t="n"/>
      <c r="Z178" s="158">
        <f>IF(OR(Y178="",X178=""),"",IFERROR(Y178*INDEX(FXRates[USD per unit],MATCH(X178,FXRates[Currency],0)),"No rate"))</f>
        <v/>
      </c>
      <c r="AA178" s="38" t="n"/>
      <c r="AB178" s="38" t="n"/>
      <c r="AC178" s="41">
        <f>IF(A178="","",IF(COUNTIF($A$6:$A$504,A178)&gt;1,"⚠ Duplicate",""))</f>
        <v/>
      </c>
      <c r="AD178" s="42" t="n"/>
      <c r="AE178" s="42" t="n"/>
      <c r="AF178" s="42" t="n"/>
      <c r="AG178" s="42" t="n"/>
      <c r="AH178" s="42" t="n"/>
      <c r="AI178" s="42" t="n"/>
      <c r="AJ178" s="42" t="n"/>
      <c r="AK178" s="42" t="n"/>
      <c r="AL178" s="42" t="n"/>
      <c r="AM178" s="42" t="n"/>
      <c r="AN178" s="42" t="n"/>
      <c r="AO178" s="42" t="n"/>
      <c r="AP178" s="42" t="n"/>
      <c r="AQ178" s="42" t="n"/>
    </row>
    <row r="179" ht="18" customHeight="1" s="74">
      <c r="A179" s="32" t="n"/>
      <c r="B179" s="32" t="n"/>
      <c r="C179" s="32" t="n"/>
      <c r="D179" s="32" t="n"/>
      <c r="E179" s="33" t="n"/>
      <c r="F179" s="33" t="n"/>
      <c r="G179" s="33" t="n"/>
      <c r="H179" s="33" t="n"/>
      <c r="I179" s="33" t="n"/>
      <c r="J179" s="33" t="n"/>
      <c r="K179" s="33" t="n"/>
      <c r="L179" s="33" t="n"/>
      <c r="M179" s="33" t="n"/>
      <c r="N179" s="33" t="n"/>
      <c r="O179" s="33" t="n"/>
      <c r="P179" s="33" t="n"/>
      <c r="Q179" s="33" t="n"/>
      <c r="R179" s="33" t="n"/>
      <c r="S179" s="33" t="n"/>
      <c r="T179" s="33" t="n"/>
      <c r="U179" s="33" t="n"/>
      <c r="V179" s="33" t="n"/>
      <c r="W179" s="34" t="n"/>
      <c r="X179" s="33" t="n"/>
      <c r="Y179" s="35" t="n"/>
      <c r="Z179" s="157">
        <f>IF(OR(Y179="",X179=""),"",IFERROR(Y179*INDEX(FXRates[USD per unit],MATCH(X179,FXRates[Currency],0)),"No rate"))</f>
        <v/>
      </c>
      <c r="AA179" s="32" t="n"/>
      <c r="AB179" s="32" t="n"/>
      <c r="AC179" s="36">
        <f>IF(A179="","",IF(COUNTIF($A$6:$A$504,A179)&gt;1,"⚠ Duplicate",""))</f>
        <v/>
      </c>
      <c r="AD179" s="43" t="n"/>
      <c r="AE179" s="43" t="n"/>
      <c r="AF179" s="43" t="n"/>
      <c r="AG179" s="43" t="n"/>
      <c r="AH179" s="43" t="n"/>
      <c r="AI179" s="43" t="n"/>
      <c r="AJ179" s="43" t="n"/>
      <c r="AK179" s="43" t="n"/>
      <c r="AL179" s="43" t="n"/>
      <c r="AM179" s="43" t="n"/>
      <c r="AN179" s="43" t="n"/>
      <c r="AO179" s="43" t="n"/>
      <c r="AP179" s="43" t="n"/>
      <c r="AQ179" s="43" t="n"/>
    </row>
    <row r="180" ht="18" customHeight="1" s="74">
      <c r="A180" s="38" t="n"/>
      <c r="B180" s="38" t="n"/>
      <c r="C180" s="38" t="n"/>
      <c r="D180" s="38" t="n"/>
      <c r="E180" s="39" t="n"/>
      <c r="F180" s="39" t="n"/>
      <c r="G180" s="39" t="n"/>
      <c r="H180" s="39" t="n"/>
      <c r="I180" s="39" t="n"/>
      <c r="J180" s="39" t="n"/>
      <c r="K180" s="39" t="n"/>
      <c r="L180" s="39" t="n"/>
      <c r="M180" s="39" t="n"/>
      <c r="N180" s="39" t="n"/>
      <c r="O180" s="39" t="n"/>
      <c r="P180" s="39" t="n"/>
      <c r="Q180" s="39" t="n"/>
      <c r="R180" s="39" t="n"/>
      <c r="S180" s="39" t="n"/>
      <c r="T180" s="39" t="n"/>
      <c r="U180" s="39" t="n"/>
      <c r="V180" s="39" t="n"/>
      <c r="W180" s="34" t="n"/>
      <c r="X180" s="39" t="n"/>
      <c r="Y180" s="40" t="n"/>
      <c r="Z180" s="158">
        <f>IF(OR(Y180="",X180=""),"",IFERROR(Y180*INDEX(FXRates[USD per unit],MATCH(X180,FXRates[Currency],0)),"No rate"))</f>
        <v/>
      </c>
      <c r="AA180" s="38" t="n"/>
      <c r="AB180" s="38" t="n"/>
      <c r="AC180" s="41">
        <f>IF(A180="","",IF(COUNTIF($A$6:$A$504,A180)&gt;1,"⚠ Duplicate",""))</f>
        <v/>
      </c>
      <c r="AD180" s="42" t="n"/>
      <c r="AE180" s="42" t="n"/>
      <c r="AF180" s="42" t="n"/>
      <c r="AG180" s="42" t="n"/>
      <c r="AH180" s="42" t="n"/>
      <c r="AI180" s="42" t="n"/>
      <c r="AJ180" s="42" t="n"/>
      <c r="AK180" s="42" t="n"/>
      <c r="AL180" s="42" t="n"/>
      <c r="AM180" s="42" t="n"/>
      <c r="AN180" s="42" t="n"/>
      <c r="AO180" s="42" t="n"/>
      <c r="AP180" s="42" t="n"/>
      <c r="AQ180" s="42" t="n"/>
    </row>
    <row r="181" ht="18" customHeight="1" s="74">
      <c r="A181" s="32" t="n"/>
      <c r="B181" s="32" t="n"/>
      <c r="C181" s="32" t="n"/>
      <c r="D181" s="32" t="n"/>
      <c r="E181" s="33" t="n"/>
      <c r="F181" s="33" t="n"/>
      <c r="G181" s="33" t="n"/>
      <c r="H181" s="33" t="n"/>
      <c r="I181" s="33" t="n"/>
      <c r="J181" s="33" t="n"/>
      <c r="K181" s="33" t="n"/>
      <c r="L181" s="33" t="n"/>
      <c r="M181" s="33" t="n"/>
      <c r="N181" s="33" t="n"/>
      <c r="O181" s="33" t="n"/>
      <c r="P181" s="33" t="n"/>
      <c r="Q181" s="33" t="n"/>
      <c r="R181" s="33" t="n"/>
      <c r="S181" s="33" t="n"/>
      <c r="T181" s="33" t="n"/>
      <c r="U181" s="33" t="n"/>
      <c r="V181" s="33" t="n"/>
      <c r="W181" s="34" t="n"/>
      <c r="X181" s="33" t="n"/>
      <c r="Y181" s="35" t="n"/>
      <c r="Z181" s="157">
        <f>IF(OR(Y181="",X181=""),"",IFERROR(Y181*INDEX(FXRates[USD per unit],MATCH(X181,FXRates[Currency],0)),"No rate"))</f>
        <v/>
      </c>
      <c r="AA181" s="32" t="n"/>
      <c r="AB181" s="32" t="n"/>
      <c r="AC181" s="36">
        <f>IF(A181="","",IF(COUNTIF($A$6:$A$504,A181)&gt;1,"⚠ Duplicate",""))</f>
        <v/>
      </c>
      <c r="AD181" s="43" t="n"/>
      <c r="AE181" s="43" t="n"/>
      <c r="AF181" s="43" t="n"/>
      <c r="AG181" s="43" t="n"/>
      <c r="AH181" s="43" t="n"/>
      <c r="AI181" s="43" t="n"/>
      <c r="AJ181" s="43" t="n"/>
      <c r="AK181" s="43" t="n"/>
      <c r="AL181" s="43" t="n"/>
      <c r="AM181" s="43" t="n"/>
      <c r="AN181" s="43" t="n"/>
      <c r="AO181" s="43" t="n"/>
      <c r="AP181" s="43" t="n"/>
      <c r="AQ181" s="43" t="n"/>
    </row>
    <row r="182" ht="18" customHeight="1" s="74">
      <c r="A182" s="38" t="n"/>
      <c r="B182" s="38" t="n"/>
      <c r="C182" s="38" t="n"/>
      <c r="D182" s="38" t="n"/>
      <c r="E182" s="39" t="n"/>
      <c r="F182" s="39" t="n"/>
      <c r="G182" s="39" t="n"/>
      <c r="H182" s="39" t="n"/>
      <c r="I182" s="39" t="n"/>
      <c r="J182" s="39" t="n"/>
      <c r="K182" s="39" t="n"/>
      <c r="L182" s="39" t="n"/>
      <c r="M182" s="39" t="n"/>
      <c r="N182" s="39" t="n"/>
      <c r="O182" s="39" t="n"/>
      <c r="P182" s="39" t="n"/>
      <c r="Q182" s="39" t="n"/>
      <c r="R182" s="39" t="n"/>
      <c r="S182" s="39" t="n"/>
      <c r="T182" s="39" t="n"/>
      <c r="U182" s="39" t="n"/>
      <c r="V182" s="39" t="n"/>
      <c r="W182" s="34" t="n"/>
      <c r="X182" s="39" t="n"/>
      <c r="Y182" s="40" t="n"/>
      <c r="Z182" s="158">
        <f>IF(OR(Y182="",X182=""),"",IFERROR(Y182*INDEX(FXRates[USD per unit],MATCH(X182,FXRates[Currency],0)),"No rate"))</f>
        <v/>
      </c>
      <c r="AA182" s="38" t="n"/>
      <c r="AB182" s="38" t="n"/>
      <c r="AC182" s="41">
        <f>IF(A182="","",IF(COUNTIF($A$6:$A$504,A182)&gt;1,"⚠ Duplicate",""))</f>
        <v/>
      </c>
      <c r="AD182" s="42" t="n"/>
      <c r="AE182" s="42" t="n"/>
      <c r="AF182" s="42" t="n"/>
      <c r="AG182" s="42" t="n"/>
      <c r="AH182" s="42" t="n"/>
      <c r="AI182" s="42" t="n"/>
      <c r="AJ182" s="42" t="n"/>
      <c r="AK182" s="42" t="n"/>
      <c r="AL182" s="42" t="n"/>
      <c r="AM182" s="42" t="n"/>
      <c r="AN182" s="42" t="n"/>
      <c r="AO182" s="42" t="n"/>
      <c r="AP182" s="42" t="n"/>
      <c r="AQ182" s="42" t="n"/>
    </row>
    <row r="183" ht="18" customHeight="1" s="74">
      <c r="A183" s="32" t="n"/>
      <c r="B183" s="32" t="n"/>
      <c r="C183" s="32" t="n"/>
      <c r="D183" s="32" t="n"/>
      <c r="E183" s="33" t="n"/>
      <c r="F183" s="33" t="n"/>
      <c r="G183" s="33" t="n"/>
      <c r="H183" s="33" t="n"/>
      <c r="I183" s="33" t="n"/>
      <c r="J183" s="33" t="n"/>
      <c r="K183" s="33" t="n"/>
      <c r="L183" s="33" t="n"/>
      <c r="M183" s="33" t="n"/>
      <c r="N183" s="33" t="n"/>
      <c r="O183" s="33" t="n"/>
      <c r="P183" s="33" t="n"/>
      <c r="Q183" s="33" t="n"/>
      <c r="R183" s="33" t="n"/>
      <c r="S183" s="33" t="n"/>
      <c r="T183" s="33" t="n"/>
      <c r="U183" s="33" t="n"/>
      <c r="V183" s="33" t="n"/>
      <c r="W183" s="34" t="n"/>
      <c r="X183" s="33" t="n"/>
      <c r="Y183" s="35" t="n"/>
      <c r="Z183" s="157">
        <f>IF(OR(Y183="",X183=""),"",IFERROR(Y183*INDEX(FXRates[USD per unit],MATCH(X183,FXRates[Currency],0)),"No rate"))</f>
        <v/>
      </c>
      <c r="AA183" s="32" t="n"/>
      <c r="AB183" s="32" t="n"/>
      <c r="AC183" s="36">
        <f>IF(A183="","",IF(COUNTIF($A$6:$A$504,A183)&gt;1,"⚠ Duplicate",""))</f>
        <v/>
      </c>
      <c r="AD183" s="43" t="n"/>
      <c r="AE183" s="43" t="n"/>
      <c r="AF183" s="43" t="n"/>
      <c r="AG183" s="43" t="n"/>
      <c r="AH183" s="43" t="n"/>
      <c r="AI183" s="43" t="n"/>
      <c r="AJ183" s="43" t="n"/>
      <c r="AK183" s="43" t="n"/>
      <c r="AL183" s="43" t="n"/>
      <c r="AM183" s="43" t="n"/>
      <c r="AN183" s="43" t="n"/>
      <c r="AO183" s="43" t="n"/>
      <c r="AP183" s="43" t="n"/>
      <c r="AQ183" s="43" t="n"/>
    </row>
    <row r="184" ht="18" customHeight="1" s="74">
      <c r="A184" s="38" t="n"/>
      <c r="B184" s="38" t="n"/>
      <c r="C184" s="38" t="n"/>
      <c r="D184" s="38" t="n"/>
      <c r="E184" s="39" t="n"/>
      <c r="F184" s="39" t="n"/>
      <c r="G184" s="39" t="n"/>
      <c r="H184" s="39" t="n"/>
      <c r="I184" s="39" t="n"/>
      <c r="J184" s="39" t="n"/>
      <c r="K184" s="39" t="n"/>
      <c r="L184" s="39" t="n"/>
      <c r="M184" s="39" t="n"/>
      <c r="N184" s="39" t="n"/>
      <c r="O184" s="39" t="n"/>
      <c r="P184" s="39" t="n"/>
      <c r="Q184" s="39" t="n"/>
      <c r="R184" s="39" t="n"/>
      <c r="S184" s="39" t="n"/>
      <c r="T184" s="39" t="n"/>
      <c r="U184" s="39" t="n"/>
      <c r="V184" s="39" t="n"/>
      <c r="W184" s="34" t="n"/>
      <c r="X184" s="39" t="n"/>
      <c r="Y184" s="40" t="n"/>
      <c r="Z184" s="158">
        <f>IF(OR(Y184="",X184=""),"",IFERROR(Y184*INDEX(FXRates[USD per unit],MATCH(X184,FXRates[Currency],0)),"No rate"))</f>
        <v/>
      </c>
      <c r="AA184" s="38" t="n"/>
      <c r="AB184" s="38" t="n"/>
      <c r="AC184" s="41">
        <f>IF(A184="","",IF(COUNTIF($A$6:$A$504,A184)&gt;1,"⚠ Duplicate",""))</f>
        <v/>
      </c>
      <c r="AD184" s="42" t="n"/>
      <c r="AE184" s="42" t="n"/>
      <c r="AF184" s="42" t="n"/>
      <c r="AG184" s="42" t="n"/>
      <c r="AH184" s="42" t="n"/>
      <c r="AI184" s="42" t="n"/>
      <c r="AJ184" s="42" t="n"/>
      <c r="AK184" s="42" t="n"/>
      <c r="AL184" s="42" t="n"/>
      <c r="AM184" s="42" t="n"/>
      <c r="AN184" s="42" t="n"/>
      <c r="AO184" s="42" t="n"/>
      <c r="AP184" s="42" t="n"/>
      <c r="AQ184" s="42" t="n"/>
    </row>
    <row r="185" ht="18" customHeight="1" s="74">
      <c r="A185" s="32" t="n"/>
      <c r="B185" s="32" t="n"/>
      <c r="C185" s="32" t="n"/>
      <c r="D185" s="32" t="n"/>
      <c r="E185" s="33" t="n"/>
      <c r="F185" s="33" t="n"/>
      <c r="G185" s="33" t="n"/>
      <c r="H185" s="33" t="n"/>
      <c r="I185" s="33" t="n"/>
      <c r="J185" s="33" t="n"/>
      <c r="K185" s="33" t="n"/>
      <c r="L185" s="33" t="n"/>
      <c r="M185" s="33" t="n"/>
      <c r="N185" s="33" t="n"/>
      <c r="O185" s="33" t="n"/>
      <c r="P185" s="33" t="n"/>
      <c r="Q185" s="33" t="n"/>
      <c r="R185" s="33" t="n"/>
      <c r="S185" s="33" t="n"/>
      <c r="T185" s="33" t="n"/>
      <c r="U185" s="33" t="n"/>
      <c r="V185" s="33" t="n"/>
      <c r="W185" s="34" t="n"/>
      <c r="X185" s="33" t="n"/>
      <c r="Y185" s="35" t="n"/>
      <c r="Z185" s="157">
        <f>IF(OR(Y185="",X185=""),"",IFERROR(Y185*INDEX(FXRates[USD per unit],MATCH(X185,FXRates[Currency],0)),"No rate"))</f>
        <v/>
      </c>
      <c r="AA185" s="32" t="n"/>
      <c r="AB185" s="32" t="n"/>
      <c r="AC185" s="36">
        <f>IF(A185="","",IF(COUNTIF($A$6:$A$504,A185)&gt;1,"⚠ Duplicate",""))</f>
        <v/>
      </c>
      <c r="AD185" s="43" t="n"/>
      <c r="AE185" s="43" t="n"/>
      <c r="AF185" s="43" t="n"/>
      <c r="AG185" s="43" t="n"/>
      <c r="AH185" s="43" t="n"/>
      <c r="AI185" s="43" t="n"/>
      <c r="AJ185" s="43" t="n"/>
      <c r="AK185" s="43" t="n"/>
      <c r="AL185" s="43" t="n"/>
      <c r="AM185" s="43" t="n"/>
      <c r="AN185" s="43" t="n"/>
      <c r="AO185" s="43" t="n"/>
      <c r="AP185" s="43" t="n"/>
      <c r="AQ185" s="43" t="n"/>
    </row>
    <row r="186" ht="18" customHeight="1" s="74">
      <c r="A186" s="38" t="n"/>
      <c r="B186" s="38" t="n"/>
      <c r="C186" s="38" t="n"/>
      <c r="D186" s="38" t="n"/>
      <c r="E186" s="39" t="n"/>
      <c r="F186" s="39" t="n"/>
      <c r="G186" s="39" t="n"/>
      <c r="H186" s="39" t="n"/>
      <c r="I186" s="39" t="n"/>
      <c r="J186" s="39" t="n"/>
      <c r="K186" s="39" t="n"/>
      <c r="L186" s="39" t="n"/>
      <c r="M186" s="39" t="n"/>
      <c r="N186" s="39" t="n"/>
      <c r="O186" s="39" t="n"/>
      <c r="P186" s="39" t="n"/>
      <c r="Q186" s="39" t="n"/>
      <c r="R186" s="39" t="n"/>
      <c r="S186" s="39" t="n"/>
      <c r="T186" s="39" t="n"/>
      <c r="U186" s="39" t="n"/>
      <c r="V186" s="39" t="n"/>
      <c r="W186" s="34" t="n"/>
      <c r="X186" s="39" t="n"/>
      <c r="Y186" s="40" t="n"/>
      <c r="Z186" s="158">
        <f>IF(OR(Y186="",X186=""),"",IFERROR(Y186*INDEX(FXRates[USD per unit],MATCH(X186,FXRates[Currency],0)),"No rate"))</f>
        <v/>
      </c>
      <c r="AA186" s="38" t="n"/>
      <c r="AB186" s="38" t="n"/>
      <c r="AC186" s="41">
        <f>IF(A186="","",IF(COUNTIF($A$6:$A$504,A186)&gt;1,"⚠ Duplicate",""))</f>
        <v/>
      </c>
      <c r="AD186" s="42" t="n"/>
      <c r="AE186" s="42" t="n"/>
      <c r="AF186" s="42" t="n"/>
      <c r="AG186" s="42" t="n"/>
      <c r="AH186" s="42" t="n"/>
      <c r="AI186" s="42" t="n"/>
      <c r="AJ186" s="42" t="n"/>
      <c r="AK186" s="42" t="n"/>
      <c r="AL186" s="42" t="n"/>
      <c r="AM186" s="42" t="n"/>
      <c r="AN186" s="42" t="n"/>
      <c r="AO186" s="42" t="n"/>
      <c r="AP186" s="42" t="n"/>
      <c r="AQ186" s="42" t="n"/>
    </row>
    <row r="187" ht="18" customHeight="1" s="74">
      <c r="A187" s="32" t="n"/>
      <c r="B187" s="32" t="n"/>
      <c r="C187" s="32" t="n"/>
      <c r="D187" s="32" t="n"/>
      <c r="E187" s="33" t="n"/>
      <c r="F187" s="33" t="n"/>
      <c r="G187" s="33" t="n"/>
      <c r="H187" s="33" t="n"/>
      <c r="I187" s="33" t="n"/>
      <c r="J187" s="33" t="n"/>
      <c r="K187" s="33" t="n"/>
      <c r="L187" s="33" t="n"/>
      <c r="M187" s="33" t="n"/>
      <c r="N187" s="33" t="n"/>
      <c r="O187" s="33" t="n"/>
      <c r="P187" s="33" t="n"/>
      <c r="Q187" s="33" t="n"/>
      <c r="R187" s="33" t="n"/>
      <c r="S187" s="33" t="n"/>
      <c r="T187" s="33" t="n"/>
      <c r="U187" s="33" t="n"/>
      <c r="V187" s="33" t="n"/>
      <c r="W187" s="34" t="n"/>
      <c r="X187" s="33" t="n"/>
      <c r="Y187" s="35" t="n"/>
      <c r="Z187" s="157">
        <f>IF(OR(Y187="",X187=""),"",IFERROR(Y187*INDEX(FXRates[USD per unit],MATCH(X187,FXRates[Currency],0)),"No rate"))</f>
        <v/>
      </c>
      <c r="AA187" s="32" t="n"/>
      <c r="AB187" s="32" t="n"/>
      <c r="AC187" s="36">
        <f>IF(A187="","",IF(COUNTIF($A$6:$A$504,A187)&gt;1,"⚠ Duplicate",""))</f>
        <v/>
      </c>
      <c r="AD187" s="43" t="n"/>
      <c r="AE187" s="43" t="n"/>
      <c r="AF187" s="43" t="n"/>
      <c r="AG187" s="43" t="n"/>
      <c r="AH187" s="43" t="n"/>
      <c r="AI187" s="43" t="n"/>
      <c r="AJ187" s="43" t="n"/>
      <c r="AK187" s="43" t="n"/>
      <c r="AL187" s="43" t="n"/>
      <c r="AM187" s="43" t="n"/>
      <c r="AN187" s="43" t="n"/>
      <c r="AO187" s="43" t="n"/>
      <c r="AP187" s="43" t="n"/>
      <c r="AQ187" s="43" t="n"/>
    </row>
    <row r="188" ht="18" customHeight="1" s="74">
      <c r="A188" s="38" t="n"/>
      <c r="B188" s="38" t="n"/>
      <c r="C188" s="38" t="n"/>
      <c r="D188" s="38" t="n"/>
      <c r="E188" s="39" t="n"/>
      <c r="F188" s="39" t="n"/>
      <c r="G188" s="39" t="n"/>
      <c r="H188" s="39" t="n"/>
      <c r="I188" s="39" t="n"/>
      <c r="J188" s="39" t="n"/>
      <c r="K188" s="39" t="n"/>
      <c r="L188" s="39" t="n"/>
      <c r="M188" s="39" t="n"/>
      <c r="N188" s="39" t="n"/>
      <c r="O188" s="39" t="n"/>
      <c r="P188" s="39" t="n"/>
      <c r="Q188" s="39" t="n"/>
      <c r="R188" s="39" t="n"/>
      <c r="S188" s="39" t="n"/>
      <c r="T188" s="39" t="n"/>
      <c r="U188" s="39" t="n"/>
      <c r="V188" s="39" t="n"/>
      <c r="W188" s="34" t="n"/>
      <c r="X188" s="39" t="n"/>
      <c r="Y188" s="40" t="n"/>
      <c r="Z188" s="158">
        <f>IF(OR(Y188="",X188=""),"",IFERROR(Y188*INDEX(FXRates[USD per unit],MATCH(X188,FXRates[Currency],0)),"No rate"))</f>
        <v/>
      </c>
      <c r="AA188" s="38" t="n"/>
      <c r="AB188" s="38" t="n"/>
      <c r="AC188" s="41">
        <f>IF(A188="","",IF(COUNTIF($A$6:$A$504,A188)&gt;1,"⚠ Duplicate",""))</f>
        <v/>
      </c>
      <c r="AD188" s="42" t="n"/>
      <c r="AE188" s="42" t="n"/>
      <c r="AF188" s="42" t="n"/>
      <c r="AG188" s="42" t="n"/>
      <c r="AH188" s="42" t="n"/>
      <c r="AI188" s="42" t="n"/>
      <c r="AJ188" s="42" t="n"/>
      <c r="AK188" s="42" t="n"/>
      <c r="AL188" s="42" t="n"/>
      <c r="AM188" s="42" t="n"/>
      <c r="AN188" s="42" t="n"/>
      <c r="AO188" s="42" t="n"/>
      <c r="AP188" s="42" t="n"/>
      <c r="AQ188" s="42" t="n"/>
    </row>
    <row r="189" ht="18" customHeight="1" s="74">
      <c r="A189" s="32" t="n"/>
      <c r="B189" s="32" t="n"/>
      <c r="C189" s="32" t="n"/>
      <c r="D189" s="32" t="n"/>
      <c r="E189" s="33" t="n"/>
      <c r="F189" s="33" t="n"/>
      <c r="G189" s="33" t="n"/>
      <c r="H189" s="33" t="n"/>
      <c r="I189" s="33" t="n"/>
      <c r="J189" s="33" t="n"/>
      <c r="K189" s="33" t="n"/>
      <c r="L189" s="33" t="n"/>
      <c r="M189" s="33" t="n"/>
      <c r="N189" s="33" t="n"/>
      <c r="O189" s="33" t="n"/>
      <c r="P189" s="33" t="n"/>
      <c r="Q189" s="33" t="n"/>
      <c r="R189" s="33" t="n"/>
      <c r="S189" s="33" t="n"/>
      <c r="T189" s="33" t="n"/>
      <c r="U189" s="33" t="n"/>
      <c r="V189" s="33" t="n"/>
      <c r="W189" s="34" t="n"/>
      <c r="X189" s="33" t="n"/>
      <c r="Y189" s="35" t="n"/>
      <c r="Z189" s="157">
        <f>IF(OR(Y189="",X189=""),"",IFERROR(Y189*INDEX(FXRates[USD per unit],MATCH(X189,FXRates[Currency],0)),"No rate"))</f>
        <v/>
      </c>
      <c r="AA189" s="32" t="n"/>
      <c r="AB189" s="32" t="n"/>
      <c r="AC189" s="36">
        <f>IF(A189="","",IF(COUNTIF($A$6:$A$504,A189)&gt;1,"⚠ Duplicate",""))</f>
        <v/>
      </c>
      <c r="AD189" s="43" t="n"/>
      <c r="AE189" s="43" t="n"/>
      <c r="AF189" s="43" t="n"/>
      <c r="AG189" s="43" t="n"/>
      <c r="AH189" s="43" t="n"/>
      <c r="AI189" s="43" t="n"/>
      <c r="AJ189" s="43" t="n"/>
      <c r="AK189" s="43" t="n"/>
      <c r="AL189" s="43" t="n"/>
      <c r="AM189" s="43" t="n"/>
      <c r="AN189" s="43" t="n"/>
      <c r="AO189" s="43" t="n"/>
      <c r="AP189" s="43" t="n"/>
      <c r="AQ189" s="43" t="n"/>
    </row>
    <row r="190" ht="18" customHeight="1" s="74">
      <c r="A190" s="38" t="n"/>
      <c r="B190" s="38" t="n"/>
      <c r="C190" s="38" t="n"/>
      <c r="D190" s="38" t="n"/>
      <c r="E190" s="39" t="n"/>
      <c r="F190" s="39" t="n"/>
      <c r="G190" s="39" t="n"/>
      <c r="H190" s="39" t="n"/>
      <c r="I190" s="39" t="n"/>
      <c r="J190" s="39" t="n"/>
      <c r="K190" s="39" t="n"/>
      <c r="L190" s="39" t="n"/>
      <c r="M190" s="39" t="n"/>
      <c r="N190" s="39" t="n"/>
      <c r="O190" s="39" t="n"/>
      <c r="P190" s="39" t="n"/>
      <c r="Q190" s="39" t="n"/>
      <c r="R190" s="39" t="n"/>
      <c r="S190" s="39" t="n"/>
      <c r="T190" s="39" t="n"/>
      <c r="U190" s="39" t="n"/>
      <c r="V190" s="39" t="n"/>
      <c r="W190" s="34" t="n"/>
      <c r="X190" s="39" t="n"/>
      <c r="Y190" s="40" t="n"/>
      <c r="Z190" s="158">
        <f>IF(OR(Y190="",X190=""),"",IFERROR(Y190*INDEX(FXRates[USD per unit],MATCH(X190,FXRates[Currency],0)),"No rate"))</f>
        <v/>
      </c>
      <c r="AA190" s="38" t="n"/>
      <c r="AB190" s="38" t="n"/>
      <c r="AC190" s="41">
        <f>IF(A190="","",IF(COUNTIF($A$6:$A$504,A190)&gt;1,"⚠ Duplicate",""))</f>
        <v/>
      </c>
      <c r="AD190" s="42" t="n"/>
      <c r="AE190" s="42" t="n"/>
      <c r="AF190" s="42" t="n"/>
      <c r="AG190" s="42" t="n"/>
      <c r="AH190" s="42" t="n"/>
      <c r="AI190" s="42" t="n"/>
      <c r="AJ190" s="42" t="n"/>
      <c r="AK190" s="42" t="n"/>
      <c r="AL190" s="42" t="n"/>
      <c r="AM190" s="42" t="n"/>
      <c r="AN190" s="42" t="n"/>
      <c r="AO190" s="42" t="n"/>
      <c r="AP190" s="42" t="n"/>
      <c r="AQ190" s="42" t="n"/>
    </row>
    <row r="191" ht="18" customHeight="1" s="74">
      <c r="A191" s="32" t="n"/>
      <c r="B191" s="32" t="n"/>
      <c r="C191" s="32" t="n"/>
      <c r="D191" s="32" t="n"/>
      <c r="E191" s="33" t="n"/>
      <c r="F191" s="33" t="n"/>
      <c r="G191" s="33" t="n"/>
      <c r="H191" s="33" t="n"/>
      <c r="I191" s="33" t="n"/>
      <c r="J191" s="33" t="n"/>
      <c r="K191" s="33" t="n"/>
      <c r="L191" s="33" t="n"/>
      <c r="M191" s="33" t="n"/>
      <c r="N191" s="33" t="n"/>
      <c r="O191" s="33" t="n"/>
      <c r="P191" s="33" t="n"/>
      <c r="Q191" s="33" t="n"/>
      <c r="R191" s="33" t="n"/>
      <c r="S191" s="33" t="n"/>
      <c r="T191" s="33" t="n"/>
      <c r="U191" s="33" t="n"/>
      <c r="V191" s="33" t="n"/>
      <c r="W191" s="34" t="n"/>
      <c r="X191" s="33" t="n"/>
      <c r="Y191" s="35" t="n"/>
      <c r="Z191" s="157">
        <f>IF(OR(Y191="",X191=""),"",IFERROR(Y191*INDEX(FXRates[USD per unit],MATCH(X191,FXRates[Currency],0)),"No rate"))</f>
        <v/>
      </c>
      <c r="AA191" s="32" t="n"/>
      <c r="AB191" s="32" t="n"/>
      <c r="AC191" s="36">
        <f>IF(A191="","",IF(COUNTIF($A$6:$A$504,A191)&gt;1,"⚠ Duplicate",""))</f>
        <v/>
      </c>
      <c r="AD191" s="43" t="n"/>
      <c r="AE191" s="43" t="n"/>
      <c r="AF191" s="43" t="n"/>
      <c r="AG191" s="43" t="n"/>
      <c r="AH191" s="43" t="n"/>
      <c r="AI191" s="43" t="n"/>
      <c r="AJ191" s="43" t="n"/>
      <c r="AK191" s="43" t="n"/>
      <c r="AL191" s="43" t="n"/>
      <c r="AM191" s="43" t="n"/>
      <c r="AN191" s="43" t="n"/>
      <c r="AO191" s="43" t="n"/>
      <c r="AP191" s="43" t="n"/>
      <c r="AQ191" s="43" t="n"/>
    </row>
    <row r="192" ht="18" customHeight="1" s="74">
      <c r="A192" s="38" t="n"/>
      <c r="B192" s="38" t="n"/>
      <c r="C192" s="38" t="n"/>
      <c r="D192" s="38" t="n"/>
      <c r="E192" s="39" t="n"/>
      <c r="F192" s="39" t="n"/>
      <c r="G192" s="39" t="n"/>
      <c r="H192" s="39" t="n"/>
      <c r="I192" s="39" t="n"/>
      <c r="J192" s="39" t="n"/>
      <c r="K192" s="39" t="n"/>
      <c r="L192" s="39" t="n"/>
      <c r="M192" s="39" t="n"/>
      <c r="N192" s="39" t="n"/>
      <c r="O192" s="39" t="n"/>
      <c r="P192" s="39" t="n"/>
      <c r="Q192" s="39" t="n"/>
      <c r="R192" s="39" t="n"/>
      <c r="S192" s="39" t="n"/>
      <c r="T192" s="39" t="n"/>
      <c r="U192" s="39" t="n"/>
      <c r="V192" s="39" t="n"/>
      <c r="W192" s="34" t="n"/>
      <c r="X192" s="39" t="n"/>
      <c r="Y192" s="40" t="n"/>
      <c r="Z192" s="158">
        <f>IF(OR(Y192="",X192=""),"",IFERROR(Y192*INDEX(FXRates[USD per unit],MATCH(X192,FXRates[Currency],0)),"No rate"))</f>
        <v/>
      </c>
      <c r="AA192" s="38" t="n"/>
      <c r="AB192" s="38" t="n"/>
      <c r="AC192" s="41">
        <f>IF(A192="","",IF(COUNTIF($A$6:$A$504,A192)&gt;1,"⚠ Duplicate",""))</f>
        <v/>
      </c>
      <c r="AD192" s="42" t="n"/>
      <c r="AE192" s="42" t="n"/>
      <c r="AF192" s="42" t="n"/>
      <c r="AG192" s="42" t="n"/>
      <c r="AH192" s="42" t="n"/>
      <c r="AI192" s="42" t="n"/>
      <c r="AJ192" s="42" t="n"/>
      <c r="AK192" s="42" t="n"/>
      <c r="AL192" s="42" t="n"/>
      <c r="AM192" s="42" t="n"/>
      <c r="AN192" s="42" t="n"/>
      <c r="AO192" s="42" t="n"/>
      <c r="AP192" s="42" t="n"/>
      <c r="AQ192" s="42" t="n"/>
    </row>
    <row r="193" ht="18" customHeight="1" s="74">
      <c r="A193" s="32" t="n"/>
      <c r="B193" s="32" t="n"/>
      <c r="C193" s="32" t="n"/>
      <c r="D193" s="32" t="n"/>
      <c r="E193" s="33" t="n"/>
      <c r="F193" s="33" t="n"/>
      <c r="G193" s="33" t="n"/>
      <c r="H193" s="33" t="n"/>
      <c r="I193" s="33" t="n"/>
      <c r="J193" s="33" t="n"/>
      <c r="K193" s="33" t="n"/>
      <c r="L193" s="33" t="n"/>
      <c r="M193" s="33" t="n"/>
      <c r="N193" s="33" t="n"/>
      <c r="O193" s="33" t="n"/>
      <c r="P193" s="33" t="n"/>
      <c r="Q193" s="33" t="n"/>
      <c r="R193" s="33" t="n"/>
      <c r="S193" s="33" t="n"/>
      <c r="T193" s="33" t="n"/>
      <c r="U193" s="33" t="n"/>
      <c r="V193" s="33" t="n"/>
      <c r="W193" s="34" t="n"/>
      <c r="X193" s="33" t="n"/>
      <c r="Y193" s="35" t="n"/>
      <c r="Z193" s="157">
        <f>IF(OR(Y193="",X193=""),"",IFERROR(Y193*INDEX(FXRates[USD per unit],MATCH(X193,FXRates[Currency],0)),"No rate"))</f>
        <v/>
      </c>
      <c r="AA193" s="32" t="n"/>
      <c r="AB193" s="32" t="n"/>
      <c r="AC193" s="36">
        <f>IF(A193="","",IF(COUNTIF($A$6:$A$504,A193)&gt;1,"⚠ Duplicate",""))</f>
        <v/>
      </c>
      <c r="AD193" s="43" t="n"/>
      <c r="AE193" s="43" t="n"/>
      <c r="AF193" s="43" t="n"/>
      <c r="AG193" s="43" t="n"/>
      <c r="AH193" s="43" t="n"/>
      <c r="AI193" s="43" t="n"/>
      <c r="AJ193" s="43" t="n"/>
      <c r="AK193" s="43" t="n"/>
      <c r="AL193" s="43" t="n"/>
      <c r="AM193" s="43" t="n"/>
      <c r="AN193" s="43" t="n"/>
      <c r="AO193" s="43" t="n"/>
      <c r="AP193" s="43" t="n"/>
      <c r="AQ193" s="43" t="n"/>
    </row>
    <row r="194" ht="18" customHeight="1" s="74">
      <c r="A194" s="38" t="n"/>
      <c r="B194" s="38" t="n"/>
      <c r="C194" s="38" t="n"/>
      <c r="D194" s="38" t="n"/>
      <c r="E194" s="39" t="n"/>
      <c r="F194" s="39" t="n"/>
      <c r="G194" s="39" t="n"/>
      <c r="H194" s="39" t="n"/>
      <c r="I194" s="39" t="n"/>
      <c r="J194" s="39" t="n"/>
      <c r="K194" s="39" t="n"/>
      <c r="L194" s="39" t="n"/>
      <c r="M194" s="39" t="n"/>
      <c r="N194" s="39" t="n"/>
      <c r="O194" s="39" t="n"/>
      <c r="P194" s="39" t="n"/>
      <c r="Q194" s="39" t="n"/>
      <c r="R194" s="39" t="n"/>
      <c r="S194" s="39" t="n"/>
      <c r="T194" s="39" t="n"/>
      <c r="U194" s="39" t="n"/>
      <c r="V194" s="39" t="n"/>
      <c r="W194" s="34" t="n"/>
      <c r="X194" s="39" t="n"/>
      <c r="Y194" s="40" t="n"/>
      <c r="Z194" s="158">
        <f>IF(OR(Y194="",X194=""),"",IFERROR(Y194*INDEX(FXRates[USD per unit],MATCH(X194,FXRates[Currency],0)),"No rate"))</f>
        <v/>
      </c>
      <c r="AA194" s="38" t="n"/>
      <c r="AB194" s="38" t="n"/>
      <c r="AC194" s="41">
        <f>IF(A194="","",IF(COUNTIF($A$6:$A$504,A194)&gt;1,"⚠ Duplicate",""))</f>
        <v/>
      </c>
      <c r="AD194" s="42" t="n"/>
      <c r="AE194" s="42" t="n"/>
      <c r="AF194" s="42" t="n"/>
      <c r="AG194" s="42" t="n"/>
      <c r="AH194" s="42" t="n"/>
      <c r="AI194" s="42" t="n"/>
      <c r="AJ194" s="42" t="n"/>
      <c r="AK194" s="42" t="n"/>
      <c r="AL194" s="42" t="n"/>
      <c r="AM194" s="42" t="n"/>
      <c r="AN194" s="42" t="n"/>
      <c r="AO194" s="42" t="n"/>
      <c r="AP194" s="42" t="n"/>
      <c r="AQ194" s="42" t="n"/>
    </row>
    <row r="195" ht="18" customHeight="1" s="74">
      <c r="A195" s="32" t="n"/>
      <c r="B195" s="32" t="n"/>
      <c r="C195" s="32" t="n"/>
      <c r="D195" s="32" t="n"/>
      <c r="E195" s="33" t="n"/>
      <c r="F195" s="33" t="n"/>
      <c r="G195" s="33" t="n"/>
      <c r="H195" s="33" t="n"/>
      <c r="I195" s="33" t="n"/>
      <c r="J195" s="33" t="n"/>
      <c r="K195" s="33" t="n"/>
      <c r="L195" s="33" t="n"/>
      <c r="M195" s="33" t="n"/>
      <c r="N195" s="33" t="n"/>
      <c r="O195" s="33" t="n"/>
      <c r="P195" s="33" t="n"/>
      <c r="Q195" s="33" t="n"/>
      <c r="R195" s="33" t="n"/>
      <c r="S195" s="33" t="n"/>
      <c r="T195" s="33" t="n"/>
      <c r="U195" s="33" t="n"/>
      <c r="V195" s="33" t="n"/>
      <c r="W195" s="34" t="n"/>
      <c r="X195" s="33" t="n"/>
      <c r="Y195" s="35" t="n"/>
      <c r="Z195" s="157">
        <f>IF(OR(Y195="",X195=""),"",IFERROR(Y195*INDEX(FXRates[USD per unit],MATCH(X195,FXRates[Currency],0)),"No rate"))</f>
        <v/>
      </c>
      <c r="AA195" s="32" t="n"/>
      <c r="AB195" s="32" t="n"/>
      <c r="AC195" s="36">
        <f>IF(A195="","",IF(COUNTIF($A$6:$A$504,A195)&gt;1,"⚠ Duplicate",""))</f>
        <v/>
      </c>
      <c r="AD195" s="43" t="n"/>
      <c r="AE195" s="43" t="n"/>
      <c r="AF195" s="43" t="n"/>
      <c r="AG195" s="43" t="n"/>
      <c r="AH195" s="43" t="n"/>
      <c r="AI195" s="43" t="n"/>
      <c r="AJ195" s="43" t="n"/>
      <c r="AK195" s="43" t="n"/>
      <c r="AL195" s="43" t="n"/>
      <c r="AM195" s="43" t="n"/>
      <c r="AN195" s="43" t="n"/>
      <c r="AO195" s="43" t="n"/>
      <c r="AP195" s="43" t="n"/>
      <c r="AQ195" s="43" t="n"/>
    </row>
    <row r="196" ht="18" customHeight="1" s="74">
      <c r="A196" s="38" t="n"/>
      <c r="B196" s="38" t="n"/>
      <c r="C196" s="38" t="n"/>
      <c r="D196" s="38" t="n"/>
      <c r="E196" s="39" t="n"/>
      <c r="F196" s="39" t="n"/>
      <c r="G196" s="39" t="n"/>
      <c r="H196" s="39" t="n"/>
      <c r="I196" s="39" t="n"/>
      <c r="J196" s="39" t="n"/>
      <c r="K196" s="39" t="n"/>
      <c r="L196" s="39" t="n"/>
      <c r="M196" s="39" t="n"/>
      <c r="N196" s="39" t="n"/>
      <c r="O196" s="39" t="n"/>
      <c r="P196" s="39" t="n"/>
      <c r="Q196" s="39" t="n"/>
      <c r="R196" s="39" t="n"/>
      <c r="S196" s="39" t="n"/>
      <c r="T196" s="39" t="n"/>
      <c r="U196" s="39" t="n"/>
      <c r="V196" s="39" t="n"/>
      <c r="W196" s="34" t="n"/>
      <c r="X196" s="39" t="n"/>
      <c r="Y196" s="40" t="n"/>
      <c r="Z196" s="158">
        <f>IF(OR(Y196="",X196=""),"",IFERROR(Y196*INDEX(FXRates[USD per unit],MATCH(X196,FXRates[Currency],0)),"No rate"))</f>
        <v/>
      </c>
      <c r="AA196" s="38" t="n"/>
      <c r="AB196" s="38" t="n"/>
      <c r="AC196" s="41">
        <f>IF(A196="","",IF(COUNTIF($A$6:$A$504,A196)&gt;1,"⚠ Duplicate",""))</f>
        <v/>
      </c>
      <c r="AD196" s="42" t="n"/>
      <c r="AE196" s="42" t="n"/>
      <c r="AF196" s="42" t="n"/>
      <c r="AG196" s="42" t="n"/>
      <c r="AH196" s="42" t="n"/>
      <c r="AI196" s="42" t="n"/>
      <c r="AJ196" s="42" t="n"/>
      <c r="AK196" s="42" t="n"/>
      <c r="AL196" s="42" t="n"/>
      <c r="AM196" s="42" t="n"/>
      <c r="AN196" s="42" t="n"/>
      <c r="AO196" s="42" t="n"/>
      <c r="AP196" s="42" t="n"/>
      <c r="AQ196" s="42" t="n"/>
    </row>
    <row r="197" ht="18" customHeight="1" s="74">
      <c r="A197" s="32" t="n"/>
      <c r="B197" s="32" t="n"/>
      <c r="C197" s="32" t="n"/>
      <c r="D197" s="32" t="n"/>
      <c r="E197" s="33" t="n"/>
      <c r="F197" s="33" t="n"/>
      <c r="G197" s="33" t="n"/>
      <c r="H197" s="33" t="n"/>
      <c r="I197" s="33" t="n"/>
      <c r="J197" s="33" t="n"/>
      <c r="K197" s="33" t="n"/>
      <c r="L197" s="33" t="n"/>
      <c r="M197" s="33" t="n"/>
      <c r="N197" s="33" t="n"/>
      <c r="O197" s="33" t="n"/>
      <c r="P197" s="33" t="n"/>
      <c r="Q197" s="33" t="n"/>
      <c r="R197" s="33" t="n"/>
      <c r="S197" s="33" t="n"/>
      <c r="T197" s="33" t="n"/>
      <c r="U197" s="33" t="n"/>
      <c r="V197" s="33" t="n"/>
      <c r="W197" s="34" t="n"/>
      <c r="X197" s="33" t="n"/>
      <c r="Y197" s="35" t="n"/>
      <c r="Z197" s="157">
        <f>IF(OR(Y197="",X197=""),"",IFERROR(Y197*INDEX(FXRates[USD per unit],MATCH(X197,FXRates[Currency],0)),"No rate"))</f>
        <v/>
      </c>
      <c r="AA197" s="32" t="n"/>
      <c r="AB197" s="32" t="n"/>
      <c r="AC197" s="36">
        <f>IF(A197="","",IF(COUNTIF($A$6:$A$504,A197)&gt;1,"⚠ Duplicate",""))</f>
        <v/>
      </c>
      <c r="AD197" s="43" t="n"/>
      <c r="AE197" s="43" t="n"/>
      <c r="AF197" s="43" t="n"/>
      <c r="AG197" s="43" t="n"/>
      <c r="AH197" s="43" t="n"/>
      <c r="AI197" s="43" t="n"/>
      <c r="AJ197" s="43" t="n"/>
      <c r="AK197" s="43" t="n"/>
      <c r="AL197" s="43" t="n"/>
      <c r="AM197" s="43" t="n"/>
      <c r="AN197" s="43" t="n"/>
      <c r="AO197" s="43" t="n"/>
      <c r="AP197" s="43" t="n"/>
      <c r="AQ197" s="43" t="n"/>
    </row>
    <row r="198" ht="18" customHeight="1" s="74">
      <c r="A198" s="38" t="n"/>
      <c r="B198" s="38" t="n"/>
      <c r="C198" s="38" t="n"/>
      <c r="D198" s="38" t="n"/>
      <c r="E198" s="39" t="n"/>
      <c r="F198" s="39" t="n"/>
      <c r="G198" s="39" t="n"/>
      <c r="H198" s="39" t="n"/>
      <c r="I198" s="39" t="n"/>
      <c r="J198" s="39" t="n"/>
      <c r="K198" s="39" t="n"/>
      <c r="L198" s="39" t="n"/>
      <c r="M198" s="39" t="n"/>
      <c r="N198" s="39" t="n"/>
      <c r="O198" s="39" t="n"/>
      <c r="P198" s="39" t="n"/>
      <c r="Q198" s="39" t="n"/>
      <c r="R198" s="39" t="n"/>
      <c r="S198" s="39" t="n"/>
      <c r="T198" s="39" t="n"/>
      <c r="U198" s="39" t="n"/>
      <c r="V198" s="39" t="n"/>
      <c r="W198" s="34" t="n"/>
      <c r="X198" s="39" t="n"/>
      <c r="Y198" s="40" t="n"/>
      <c r="Z198" s="158">
        <f>IF(OR(Y198="",X198=""),"",IFERROR(Y198*INDEX(FXRates[USD per unit],MATCH(X198,FXRates[Currency],0)),"No rate"))</f>
        <v/>
      </c>
      <c r="AA198" s="38" t="n"/>
      <c r="AB198" s="38" t="n"/>
      <c r="AC198" s="41">
        <f>IF(A198="","",IF(COUNTIF($A$6:$A$504,A198)&gt;1,"⚠ Duplicate",""))</f>
        <v/>
      </c>
      <c r="AD198" s="42" t="n"/>
      <c r="AE198" s="42" t="n"/>
      <c r="AF198" s="42" t="n"/>
      <c r="AG198" s="42" t="n"/>
      <c r="AH198" s="42" t="n"/>
      <c r="AI198" s="42" t="n"/>
      <c r="AJ198" s="42" t="n"/>
      <c r="AK198" s="42" t="n"/>
      <c r="AL198" s="42" t="n"/>
      <c r="AM198" s="42" t="n"/>
      <c r="AN198" s="42" t="n"/>
      <c r="AO198" s="42" t="n"/>
      <c r="AP198" s="42" t="n"/>
      <c r="AQ198" s="42" t="n"/>
    </row>
    <row r="199" ht="18" customHeight="1" s="74">
      <c r="A199" s="32" t="n"/>
      <c r="B199" s="32" t="n"/>
      <c r="C199" s="32" t="n"/>
      <c r="D199" s="32" t="n"/>
      <c r="E199" s="33" t="n"/>
      <c r="F199" s="33" t="n"/>
      <c r="G199" s="33" t="n"/>
      <c r="H199" s="33" t="n"/>
      <c r="I199" s="33" t="n"/>
      <c r="J199" s="33" t="n"/>
      <c r="K199" s="33" t="n"/>
      <c r="L199" s="33" t="n"/>
      <c r="M199" s="33" t="n"/>
      <c r="N199" s="33" t="n"/>
      <c r="O199" s="33" t="n"/>
      <c r="P199" s="33" t="n"/>
      <c r="Q199" s="33" t="n"/>
      <c r="R199" s="33" t="n"/>
      <c r="S199" s="33" t="n"/>
      <c r="T199" s="33" t="n"/>
      <c r="U199" s="33" t="n"/>
      <c r="V199" s="33" t="n"/>
      <c r="W199" s="34" t="n"/>
      <c r="X199" s="33" t="n"/>
      <c r="Y199" s="35" t="n"/>
      <c r="Z199" s="157">
        <f>IF(OR(Y199="",X199=""),"",IFERROR(Y199*INDEX(FXRates[USD per unit],MATCH(X199,FXRates[Currency],0)),"No rate"))</f>
        <v/>
      </c>
      <c r="AA199" s="32" t="n"/>
      <c r="AB199" s="32" t="n"/>
      <c r="AC199" s="36">
        <f>IF(A199="","",IF(COUNTIF($A$6:$A$504,A199)&gt;1,"⚠ Duplicate",""))</f>
        <v/>
      </c>
      <c r="AD199" s="43" t="n"/>
      <c r="AE199" s="43" t="n"/>
      <c r="AF199" s="43" t="n"/>
      <c r="AG199" s="43" t="n"/>
      <c r="AH199" s="43" t="n"/>
      <c r="AI199" s="43" t="n"/>
      <c r="AJ199" s="43" t="n"/>
      <c r="AK199" s="43" t="n"/>
      <c r="AL199" s="43" t="n"/>
      <c r="AM199" s="43" t="n"/>
      <c r="AN199" s="43" t="n"/>
      <c r="AO199" s="43" t="n"/>
      <c r="AP199" s="43" t="n"/>
      <c r="AQ199" s="43" t="n"/>
    </row>
    <row r="200" ht="18" customHeight="1" s="74">
      <c r="A200" s="38" t="n"/>
      <c r="B200" s="38" t="n"/>
      <c r="C200" s="38" t="n"/>
      <c r="D200" s="38" t="n"/>
      <c r="E200" s="39" t="n"/>
      <c r="F200" s="39" t="n"/>
      <c r="G200" s="39" t="n"/>
      <c r="H200" s="39" t="n"/>
      <c r="I200" s="39" t="n"/>
      <c r="J200" s="39" t="n"/>
      <c r="K200" s="39" t="n"/>
      <c r="L200" s="39" t="n"/>
      <c r="M200" s="39" t="n"/>
      <c r="N200" s="39" t="n"/>
      <c r="O200" s="39" t="n"/>
      <c r="P200" s="39" t="n"/>
      <c r="Q200" s="39" t="n"/>
      <c r="R200" s="39" t="n"/>
      <c r="S200" s="39" t="n"/>
      <c r="T200" s="39" t="n"/>
      <c r="U200" s="39" t="n"/>
      <c r="V200" s="39" t="n"/>
      <c r="W200" s="34" t="n"/>
      <c r="X200" s="39" t="n"/>
      <c r="Y200" s="40" t="n"/>
      <c r="Z200" s="158">
        <f>IF(OR(Y200="",X200=""),"",IFERROR(Y200*INDEX(FXRates[USD per unit],MATCH(X200,FXRates[Currency],0)),"No rate"))</f>
        <v/>
      </c>
      <c r="AA200" s="38" t="n"/>
      <c r="AB200" s="38" t="n"/>
      <c r="AC200" s="41">
        <f>IF(A200="","",IF(COUNTIF($A$6:$A$504,A200)&gt;1,"⚠ Duplicate",""))</f>
        <v/>
      </c>
      <c r="AD200" s="42" t="n"/>
      <c r="AE200" s="42" t="n"/>
      <c r="AF200" s="42" t="n"/>
      <c r="AG200" s="42" t="n"/>
      <c r="AH200" s="42" t="n"/>
      <c r="AI200" s="42" t="n"/>
      <c r="AJ200" s="42" t="n"/>
      <c r="AK200" s="42" t="n"/>
      <c r="AL200" s="42" t="n"/>
      <c r="AM200" s="42" t="n"/>
      <c r="AN200" s="42" t="n"/>
      <c r="AO200" s="42" t="n"/>
      <c r="AP200" s="42" t="n"/>
      <c r="AQ200" s="42" t="n"/>
    </row>
    <row r="201" ht="18" customHeight="1" s="74">
      <c r="A201" s="32" t="n"/>
      <c r="B201" s="32" t="n"/>
      <c r="C201" s="32" t="n"/>
      <c r="D201" s="32" t="n"/>
      <c r="E201" s="33" t="n"/>
      <c r="F201" s="33" t="n"/>
      <c r="G201" s="33" t="n"/>
      <c r="H201" s="33" t="n"/>
      <c r="I201" s="33" t="n"/>
      <c r="J201" s="33" t="n"/>
      <c r="K201" s="33" t="n"/>
      <c r="L201" s="33" t="n"/>
      <c r="M201" s="33" t="n"/>
      <c r="N201" s="33" t="n"/>
      <c r="O201" s="33" t="n"/>
      <c r="P201" s="33" t="n"/>
      <c r="Q201" s="33" t="n"/>
      <c r="R201" s="33" t="n"/>
      <c r="S201" s="33" t="n"/>
      <c r="T201" s="33" t="n"/>
      <c r="U201" s="33" t="n"/>
      <c r="V201" s="33" t="n"/>
      <c r="W201" s="34" t="n"/>
      <c r="X201" s="33" t="n"/>
      <c r="Y201" s="35" t="n"/>
      <c r="Z201" s="157">
        <f>IF(OR(Y201="",X201=""),"",IFERROR(Y201*INDEX(FXRates[USD per unit],MATCH(X201,FXRates[Currency],0)),"No rate"))</f>
        <v/>
      </c>
      <c r="AA201" s="32" t="n"/>
      <c r="AB201" s="32" t="n"/>
      <c r="AC201" s="36">
        <f>IF(A201="","",IF(COUNTIF($A$6:$A$504,A201)&gt;1,"⚠ Duplicate",""))</f>
        <v/>
      </c>
      <c r="AD201" s="43" t="n"/>
      <c r="AE201" s="43" t="n"/>
      <c r="AF201" s="43" t="n"/>
      <c r="AG201" s="43" t="n"/>
      <c r="AH201" s="43" t="n"/>
      <c r="AI201" s="43" t="n"/>
      <c r="AJ201" s="43" t="n"/>
      <c r="AK201" s="43" t="n"/>
      <c r="AL201" s="43" t="n"/>
      <c r="AM201" s="43" t="n"/>
      <c r="AN201" s="43" t="n"/>
      <c r="AO201" s="43" t="n"/>
      <c r="AP201" s="43" t="n"/>
      <c r="AQ201" s="43" t="n"/>
    </row>
    <row r="202" ht="18" customHeight="1" s="74">
      <c r="A202" s="38" t="n"/>
      <c r="B202" s="38" t="n"/>
      <c r="C202" s="38" t="n"/>
      <c r="D202" s="38" t="n"/>
      <c r="E202" s="39" t="n"/>
      <c r="F202" s="39" t="n"/>
      <c r="G202" s="39" t="n"/>
      <c r="H202" s="39" t="n"/>
      <c r="I202" s="39" t="n"/>
      <c r="J202" s="39" t="n"/>
      <c r="K202" s="39" t="n"/>
      <c r="L202" s="39" t="n"/>
      <c r="M202" s="39" t="n"/>
      <c r="N202" s="39" t="n"/>
      <c r="O202" s="39" t="n"/>
      <c r="P202" s="39" t="n"/>
      <c r="Q202" s="39" t="n"/>
      <c r="R202" s="39" t="n"/>
      <c r="S202" s="39" t="n"/>
      <c r="T202" s="39" t="n"/>
      <c r="U202" s="39" t="n"/>
      <c r="V202" s="39" t="n"/>
      <c r="W202" s="34" t="n"/>
      <c r="X202" s="39" t="n"/>
      <c r="Y202" s="40" t="n"/>
      <c r="Z202" s="158">
        <f>IF(OR(Y202="",X202=""),"",IFERROR(Y202*INDEX(FXRates[USD per unit],MATCH(X202,FXRates[Currency],0)),"No rate"))</f>
        <v/>
      </c>
      <c r="AA202" s="38" t="n"/>
      <c r="AB202" s="38" t="n"/>
      <c r="AC202" s="41">
        <f>IF(A202="","",IF(COUNTIF($A$6:$A$504,A202)&gt;1,"⚠ Duplicate",""))</f>
        <v/>
      </c>
      <c r="AD202" s="42" t="n"/>
      <c r="AE202" s="42" t="n"/>
      <c r="AF202" s="42" t="n"/>
      <c r="AG202" s="42" t="n"/>
      <c r="AH202" s="42" t="n"/>
      <c r="AI202" s="42" t="n"/>
      <c r="AJ202" s="42" t="n"/>
      <c r="AK202" s="42" t="n"/>
      <c r="AL202" s="42" t="n"/>
      <c r="AM202" s="42" t="n"/>
      <c r="AN202" s="42" t="n"/>
      <c r="AO202" s="42" t="n"/>
      <c r="AP202" s="42" t="n"/>
      <c r="AQ202" s="42" t="n"/>
    </row>
    <row r="203" ht="18" customHeight="1" s="74">
      <c r="A203" s="32" t="n"/>
      <c r="B203" s="32" t="n"/>
      <c r="C203" s="32" t="n"/>
      <c r="D203" s="32" t="n"/>
      <c r="E203" s="33" t="n"/>
      <c r="F203" s="33" t="n"/>
      <c r="G203" s="33" t="n"/>
      <c r="H203" s="33" t="n"/>
      <c r="I203" s="33" t="n"/>
      <c r="J203" s="33" t="n"/>
      <c r="K203" s="33" t="n"/>
      <c r="L203" s="33" t="n"/>
      <c r="M203" s="33" t="n"/>
      <c r="N203" s="33" t="n"/>
      <c r="O203" s="33" t="n"/>
      <c r="P203" s="33" t="n"/>
      <c r="Q203" s="33" t="n"/>
      <c r="R203" s="33" t="n"/>
      <c r="S203" s="33" t="n"/>
      <c r="T203" s="33" t="n"/>
      <c r="U203" s="33" t="n"/>
      <c r="V203" s="33" t="n"/>
      <c r="W203" s="34" t="n"/>
      <c r="X203" s="33" t="n"/>
      <c r="Y203" s="35" t="n"/>
      <c r="Z203" s="157">
        <f>IF(OR(Y203="",X203=""),"",IFERROR(Y203*INDEX(FXRates[USD per unit],MATCH(X203,FXRates[Currency],0)),"No rate"))</f>
        <v/>
      </c>
      <c r="AA203" s="32" t="n"/>
      <c r="AB203" s="32" t="n"/>
      <c r="AC203" s="36">
        <f>IF(A203="","",IF(COUNTIF($A$6:$A$504,A203)&gt;1,"⚠ Duplicate",""))</f>
        <v/>
      </c>
      <c r="AD203" s="43" t="n"/>
      <c r="AE203" s="43" t="n"/>
      <c r="AF203" s="43" t="n"/>
      <c r="AG203" s="43" t="n"/>
      <c r="AH203" s="43" t="n"/>
      <c r="AI203" s="43" t="n"/>
      <c r="AJ203" s="43" t="n"/>
      <c r="AK203" s="43" t="n"/>
      <c r="AL203" s="43" t="n"/>
      <c r="AM203" s="43" t="n"/>
      <c r="AN203" s="43" t="n"/>
      <c r="AO203" s="43" t="n"/>
      <c r="AP203" s="43" t="n"/>
      <c r="AQ203" s="43" t="n"/>
    </row>
    <row r="204" ht="18" customHeight="1" s="74">
      <c r="A204" s="38" t="n"/>
      <c r="B204" s="38" t="n"/>
      <c r="C204" s="38" t="n"/>
      <c r="D204" s="38" t="n"/>
      <c r="E204" s="39" t="n"/>
      <c r="F204" s="39" t="n"/>
      <c r="G204" s="39" t="n"/>
      <c r="H204" s="39" t="n"/>
      <c r="I204" s="39" t="n"/>
      <c r="J204" s="39" t="n"/>
      <c r="K204" s="39" t="n"/>
      <c r="L204" s="39" t="n"/>
      <c r="M204" s="39" t="n"/>
      <c r="N204" s="39" t="n"/>
      <c r="O204" s="39" t="n"/>
      <c r="P204" s="39" t="n"/>
      <c r="Q204" s="39" t="n"/>
      <c r="R204" s="39" t="n"/>
      <c r="S204" s="39" t="n"/>
      <c r="T204" s="39" t="n"/>
      <c r="U204" s="39" t="n"/>
      <c r="V204" s="39" t="n"/>
      <c r="W204" s="34" t="n"/>
      <c r="X204" s="39" t="n"/>
      <c r="Y204" s="40" t="n"/>
      <c r="Z204" s="158">
        <f>IF(OR(Y204="",X204=""),"",IFERROR(Y204*INDEX(FXRates[USD per unit],MATCH(X204,FXRates[Currency],0)),"No rate"))</f>
        <v/>
      </c>
      <c r="AA204" s="38" t="n"/>
      <c r="AB204" s="38" t="n"/>
      <c r="AC204" s="41">
        <f>IF(A204="","",IF(COUNTIF($A$6:$A$504,A204)&gt;1,"⚠ Duplicate",""))</f>
        <v/>
      </c>
      <c r="AD204" s="42" t="n"/>
      <c r="AE204" s="42" t="n"/>
      <c r="AF204" s="42" t="n"/>
      <c r="AG204" s="42" t="n"/>
      <c r="AH204" s="42" t="n"/>
      <c r="AI204" s="42" t="n"/>
      <c r="AJ204" s="42" t="n"/>
      <c r="AK204" s="42" t="n"/>
      <c r="AL204" s="42" t="n"/>
      <c r="AM204" s="42" t="n"/>
      <c r="AN204" s="42" t="n"/>
      <c r="AO204" s="42" t="n"/>
      <c r="AP204" s="42" t="n"/>
      <c r="AQ204" s="42" t="n"/>
    </row>
    <row r="205" ht="18" customHeight="1" s="74">
      <c r="A205" s="32" t="n"/>
      <c r="B205" s="32" t="n"/>
      <c r="C205" s="32" t="n"/>
      <c r="D205" s="32" t="n"/>
      <c r="E205" s="33" t="n"/>
      <c r="F205" s="33" t="n"/>
      <c r="G205" s="33" t="n"/>
      <c r="H205" s="33" t="n"/>
      <c r="I205" s="33" t="n"/>
      <c r="J205" s="33" t="n"/>
      <c r="K205" s="33" t="n"/>
      <c r="L205" s="33" t="n"/>
      <c r="M205" s="33" t="n"/>
      <c r="N205" s="33" t="n"/>
      <c r="O205" s="33" t="n"/>
      <c r="P205" s="33" t="n"/>
      <c r="Q205" s="33" t="n"/>
      <c r="R205" s="33" t="n"/>
      <c r="S205" s="33" t="n"/>
      <c r="T205" s="33" t="n"/>
      <c r="U205" s="33" t="n"/>
      <c r="V205" s="33" t="n"/>
      <c r="W205" s="34" t="n"/>
      <c r="X205" s="33" t="n"/>
      <c r="Y205" s="35" t="n"/>
      <c r="Z205" s="157">
        <f>IF(OR(Y205="",X205=""),"",IFERROR(Y205*INDEX(FXRates[USD per unit],MATCH(X205,FXRates[Currency],0)),"No rate"))</f>
        <v/>
      </c>
      <c r="AA205" s="32" t="n"/>
      <c r="AB205" s="32" t="n"/>
      <c r="AC205" s="36">
        <f>IF(A205="","",IF(COUNTIF($A$6:$A$504,A205)&gt;1,"⚠ Duplicate",""))</f>
        <v/>
      </c>
      <c r="AD205" s="43" t="n"/>
      <c r="AE205" s="43" t="n"/>
      <c r="AF205" s="43" t="n"/>
      <c r="AG205" s="43" t="n"/>
      <c r="AH205" s="43" t="n"/>
      <c r="AI205" s="43" t="n"/>
      <c r="AJ205" s="43" t="n"/>
      <c r="AK205" s="43" t="n"/>
      <c r="AL205" s="43" t="n"/>
      <c r="AM205" s="43" t="n"/>
      <c r="AN205" s="43" t="n"/>
      <c r="AO205" s="43" t="n"/>
      <c r="AP205" s="43" t="n"/>
      <c r="AQ205" s="43" t="n"/>
    </row>
    <row r="206" ht="18" customHeight="1" s="74">
      <c r="A206" s="38" t="n"/>
      <c r="B206" s="38" t="n"/>
      <c r="C206" s="38" t="n"/>
      <c r="D206" s="38" t="n"/>
      <c r="E206" s="39" t="n"/>
      <c r="F206" s="39" t="n"/>
      <c r="G206" s="39" t="n"/>
      <c r="H206" s="39" t="n"/>
      <c r="I206" s="39" t="n"/>
      <c r="J206" s="39" t="n"/>
      <c r="K206" s="39" t="n"/>
      <c r="L206" s="39" t="n"/>
      <c r="M206" s="39" t="n"/>
      <c r="N206" s="39" t="n"/>
      <c r="O206" s="39" t="n"/>
      <c r="P206" s="39" t="n"/>
      <c r="Q206" s="39" t="n"/>
      <c r="R206" s="39" t="n"/>
      <c r="S206" s="39" t="n"/>
      <c r="T206" s="39" t="n"/>
      <c r="U206" s="39" t="n"/>
      <c r="V206" s="39" t="n"/>
      <c r="W206" s="34" t="n"/>
      <c r="X206" s="39" t="n"/>
      <c r="Y206" s="40" t="n"/>
      <c r="Z206" s="158">
        <f>IF(OR(Y206="",X206=""),"",IFERROR(Y206*INDEX(FXRates[USD per unit],MATCH(X206,FXRates[Currency],0)),"No rate"))</f>
        <v/>
      </c>
      <c r="AA206" s="38" t="n"/>
      <c r="AB206" s="38" t="n"/>
      <c r="AC206" s="41">
        <f>IF(A206="","",IF(COUNTIF($A$6:$A$504,A206)&gt;1,"⚠ Duplicate",""))</f>
        <v/>
      </c>
      <c r="AD206" s="42" t="n"/>
      <c r="AE206" s="42" t="n"/>
      <c r="AF206" s="42" t="n"/>
      <c r="AG206" s="42" t="n"/>
      <c r="AH206" s="42" t="n"/>
      <c r="AI206" s="42" t="n"/>
      <c r="AJ206" s="42" t="n"/>
      <c r="AK206" s="42" t="n"/>
      <c r="AL206" s="42" t="n"/>
      <c r="AM206" s="42" t="n"/>
      <c r="AN206" s="42" t="n"/>
      <c r="AO206" s="42" t="n"/>
      <c r="AP206" s="42" t="n"/>
      <c r="AQ206" s="42" t="n"/>
    </row>
    <row r="207" ht="18" customHeight="1" s="74">
      <c r="A207" s="32" t="n"/>
      <c r="B207" s="32" t="n"/>
      <c r="C207" s="32" t="n"/>
      <c r="D207" s="32" t="n"/>
      <c r="E207" s="33" t="n"/>
      <c r="F207" s="33" t="n"/>
      <c r="G207" s="33" t="n"/>
      <c r="H207" s="33" t="n"/>
      <c r="I207" s="33" t="n"/>
      <c r="J207" s="33" t="n"/>
      <c r="K207" s="33" t="n"/>
      <c r="L207" s="33" t="n"/>
      <c r="M207" s="33" t="n"/>
      <c r="N207" s="33" t="n"/>
      <c r="O207" s="33" t="n"/>
      <c r="P207" s="33" t="n"/>
      <c r="Q207" s="33" t="n"/>
      <c r="R207" s="33" t="n"/>
      <c r="S207" s="33" t="n"/>
      <c r="T207" s="33" t="n"/>
      <c r="U207" s="33" t="n"/>
      <c r="V207" s="33" t="n"/>
      <c r="W207" s="34" t="n"/>
      <c r="X207" s="33" t="n"/>
      <c r="Y207" s="35" t="n"/>
      <c r="Z207" s="157">
        <f>IF(OR(Y207="",X207=""),"",IFERROR(Y207*INDEX(FXRates[USD per unit],MATCH(X207,FXRates[Currency],0)),"No rate"))</f>
        <v/>
      </c>
      <c r="AA207" s="32" t="n"/>
      <c r="AB207" s="32" t="n"/>
      <c r="AC207" s="36">
        <f>IF(A207="","",IF(COUNTIF($A$6:$A$504,A207)&gt;1,"⚠ Duplicate",""))</f>
        <v/>
      </c>
      <c r="AD207" s="43" t="n"/>
      <c r="AE207" s="43" t="n"/>
      <c r="AF207" s="43" t="n"/>
      <c r="AG207" s="43" t="n"/>
      <c r="AH207" s="43" t="n"/>
      <c r="AI207" s="43" t="n"/>
      <c r="AJ207" s="43" t="n"/>
      <c r="AK207" s="43" t="n"/>
      <c r="AL207" s="43" t="n"/>
      <c r="AM207" s="43" t="n"/>
      <c r="AN207" s="43" t="n"/>
      <c r="AO207" s="43" t="n"/>
      <c r="AP207" s="43" t="n"/>
      <c r="AQ207" s="43" t="n"/>
    </row>
    <row r="208" ht="18" customHeight="1" s="74">
      <c r="A208" s="38" t="n"/>
      <c r="B208" s="38" t="n"/>
      <c r="C208" s="38" t="n"/>
      <c r="D208" s="38" t="n"/>
      <c r="E208" s="39" t="n"/>
      <c r="F208" s="39" t="n"/>
      <c r="G208" s="39" t="n"/>
      <c r="H208" s="39" t="n"/>
      <c r="I208" s="39" t="n"/>
      <c r="J208" s="39" t="n"/>
      <c r="K208" s="39" t="n"/>
      <c r="L208" s="39" t="n"/>
      <c r="M208" s="39" t="n"/>
      <c r="N208" s="39" t="n"/>
      <c r="O208" s="39" t="n"/>
      <c r="P208" s="39" t="n"/>
      <c r="Q208" s="39" t="n"/>
      <c r="R208" s="39" t="n"/>
      <c r="S208" s="39" t="n"/>
      <c r="T208" s="39" t="n"/>
      <c r="U208" s="39" t="n"/>
      <c r="V208" s="39" t="n"/>
      <c r="W208" s="34" t="n"/>
      <c r="X208" s="39" t="n"/>
      <c r="Y208" s="40" t="n"/>
      <c r="Z208" s="158">
        <f>IF(OR(Y208="",X208=""),"",IFERROR(Y208*INDEX(FXRates[USD per unit],MATCH(X208,FXRates[Currency],0)),"No rate"))</f>
        <v/>
      </c>
      <c r="AA208" s="38" t="n"/>
      <c r="AB208" s="38" t="n"/>
      <c r="AC208" s="41">
        <f>IF(A208="","",IF(COUNTIF($A$6:$A$504,A208)&gt;1,"⚠ Duplicate",""))</f>
        <v/>
      </c>
      <c r="AD208" s="42" t="n"/>
      <c r="AE208" s="42" t="n"/>
      <c r="AF208" s="42" t="n"/>
      <c r="AG208" s="42" t="n"/>
      <c r="AH208" s="42" t="n"/>
      <c r="AI208" s="42" t="n"/>
      <c r="AJ208" s="42" t="n"/>
      <c r="AK208" s="42" t="n"/>
      <c r="AL208" s="42" t="n"/>
      <c r="AM208" s="42" t="n"/>
      <c r="AN208" s="42" t="n"/>
      <c r="AO208" s="42" t="n"/>
      <c r="AP208" s="42" t="n"/>
      <c r="AQ208" s="42" t="n"/>
    </row>
    <row r="209" ht="18" customHeight="1" s="74">
      <c r="A209" s="32" t="n"/>
      <c r="B209" s="32" t="n"/>
      <c r="C209" s="32" t="n"/>
      <c r="D209" s="32" t="n"/>
      <c r="E209" s="33" t="n"/>
      <c r="F209" s="33" t="n"/>
      <c r="G209" s="33" t="n"/>
      <c r="H209" s="33" t="n"/>
      <c r="I209" s="33" t="n"/>
      <c r="J209" s="33" t="n"/>
      <c r="K209" s="33" t="n"/>
      <c r="L209" s="33" t="n"/>
      <c r="M209" s="33" t="n"/>
      <c r="N209" s="33" t="n"/>
      <c r="O209" s="33" t="n"/>
      <c r="P209" s="33" t="n"/>
      <c r="Q209" s="33" t="n"/>
      <c r="R209" s="33" t="n"/>
      <c r="S209" s="33" t="n"/>
      <c r="T209" s="33" t="n"/>
      <c r="U209" s="33" t="n"/>
      <c r="V209" s="33" t="n"/>
      <c r="W209" s="34" t="n"/>
      <c r="X209" s="33" t="n"/>
      <c r="Y209" s="35" t="n"/>
      <c r="Z209" s="157">
        <f>IF(OR(Y209="",X209=""),"",IFERROR(Y209*INDEX(FXRates[USD per unit],MATCH(X209,FXRates[Currency],0)),"No rate"))</f>
        <v/>
      </c>
      <c r="AA209" s="32" t="n"/>
      <c r="AB209" s="32" t="n"/>
      <c r="AC209" s="36">
        <f>IF(A209="","",IF(COUNTIF($A$6:$A$504,A209)&gt;1,"⚠ Duplicate",""))</f>
        <v/>
      </c>
      <c r="AD209" s="43" t="n"/>
      <c r="AE209" s="43" t="n"/>
      <c r="AF209" s="43" t="n"/>
      <c r="AG209" s="43" t="n"/>
      <c r="AH209" s="43" t="n"/>
      <c r="AI209" s="43" t="n"/>
      <c r="AJ209" s="43" t="n"/>
      <c r="AK209" s="43" t="n"/>
      <c r="AL209" s="43" t="n"/>
      <c r="AM209" s="43" t="n"/>
      <c r="AN209" s="43" t="n"/>
      <c r="AO209" s="43" t="n"/>
      <c r="AP209" s="43" t="n"/>
      <c r="AQ209" s="43" t="n"/>
    </row>
    <row r="210" ht="18" customHeight="1" s="74">
      <c r="A210" s="38" t="n"/>
      <c r="B210" s="38" t="n"/>
      <c r="C210" s="38" t="n"/>
      <c r="D210" s="38" t="n"/>
      <c r="E210" s="39" t="n"/>
      <c r="F210" s="39" t="n"/>
      <c r="G210" s="39" t="n"/>
      <c r="H210" s="39" t="n"/>
      <c r="I210" s="39" t="n"/>
      <c r="J210" s="39" t="n"/>
      <c r="K210" s="39" t="n"/>
      <c r="L210" s="39" t="n"/>
      <c r="M210" s="39" t="n"/>
      <c r="N210" s="39" t="n"/>
      <c r="O210" s="39" t="n"/>
      <c r="P210" s="39" t="n"/>
      <c r="Q210" s="39" t="n"/>
      <c r="R210" s="39" t="n"/>
      <c r="S210" s="39" t="n"/>
      <c r="T210" s="39" t="n"/>
      <c r="U210" s="39" t="n"/>
      <c r="V210" s="39" t="n"/>
      <c r="W210" s="34" t="n"/>
      <c r="X210" s="39" t="n"/>
      <c r="Y210" s="40" t="n"/>
      <c r="Z210" s="158">
        <f>IF(OR(Y210="",X210=""),"",IFERROR(Y210*INDEX(FXRates[USD per unit],MATCH(X210,FXRates[Currency],0)),"No rate"))</f>
        <v/>
      </c>
      <c r="AA210" s="38" t="n"/>
      <c r="AB210" s="38" t="n"/>
      <c r="AC210" s="41">
        <f>IF(A210="","",IF(COUNTIF($A$6:$A$504,A210)&gt;1,"⚠ Duplicate",""))</f>
        <v/>
      </c>
      <c r="AD210" s="42" t="n"/>
      <c r="AE210" s="42" t="n"/>
      <c r="AF210" s="42" t="n"/>
      <c r="AG210" s="42" t="n"/>
      <c r="AH210" s="42" t="n"/>
      <c r="AI210" s="42" t="n"/>
      <c r="AJ210" s="42" t="n"/>
      <c r="AK210" s="42" t="n"/>
      <c r="AL210" s="42" t="n"/>
      <c r="AM210" s="42" t="n"/>
      <c r="AN210" s="42" t="n"/>
      <c r="AO210" s="42" t="n"/>
      <c r="AP210" s="42" t="n"/>
      <c r="AQ210" s="42" t="n"/>
    </row>
    <row r="211" ht="18" customHeight="1" s="74">
      <c r="A211" s="32" t="n"/>
      <c r="B211" s="32" t="n"/>
      <c r="C211" s="32" t="n"/>
      <c r="D211" s="32" t="n"/>
      <c r="E211" s="33" t="n"/>
      <c r="F211" s="33" t="n"/>
      <c r="G211" s="33" t="n"/>
      <c r="H211" s="33" t="n"/>
      <c r="I211" s="33" t="n"/>
      <c r="J211" s="33" t="n"/>
      <c r="K211" s="33" t="n"/>
      <c r="L211" s="33" t="n"/>
      <c r="M211" s="33" t="n"/>
      <c r="N211" s="33" t="n"/>
      <c r="O211" s="33" t="n"/>
      <c r="P211" s="33" t="n"/>
      <c r="Q211" s="33" t="n"/>
      <c r="R211" s="33" t="n"/>
      <c r="S211" s="33" t="n"/>
      <c r="T211" s="33" t="n"/>
      <c r="U211" s="33" t="n"/>
      <c r="V211" s="33" t="n"/>
      <c r="W211" s="34" t="n"/>
      <c r="X211" s="33" t="n"/>
      <c r="Y211" s="35" t="n"/>
      <c r="Z211" s="157">
        <f>IF(OR(Y211="",X211=""),"",IFERROR(Y211*INDEX(FXRates[USD per unit],MATCH(X211,FXRates[Currency],0)),"No rate"))</f>
        <v/>
      </c>
      <c r="AA211" s="32" t="n"/>
      <c r="AB211" s="32" t="n"/>
      <c r="AC211" s="36">
        <f>IF(A211="","",IF(COUNTIF($A$6:$A$504,A211)&gt;1,"⚠ Duplicate",""))</f>
        <v/>
      </c>
      <c r="AD211" s="43" t="n"/>
      <c r="AE211" s="43" t="n"/>
      <c r="AF211" s="43" t="n"/>
      <c r="AG211" s="43" t="n"/>
      <c r="AH211" s="43" t="n"/>
      <c r="AI211" s="43" t="n"/>
      <c r="AJ211" s="43" t="n"/>
      <c r="AK211" s="43" t="n"/>
      <c r="AL211" s="43" t="n"/>
      <c r="AM211" s="43" t="n"/>
      <c r="AN211" s="43" t="n"/>
      <c r="AO211" s="43" t="n"/>
      <c r="AP211" s="43" t="n"/>
      <c r="AQ211" s="43" t="n"/>
    </row>
    <row r="212" ht="18" customHeight="1" s="74">
      <c r="A212" s="38" t="n"/>
      <c r="B212" s="38" t="n"/>
      <c r="C212" s="38" t="n"/>
      <c r="D212" s="38" t="n"/>
      <c r="E212" s="39" t="n"/>
      <c r="F212" s="39" t="n"/>
      <c r="G212" s="39" t="n"/>
      <c r="H212" s="39" t="n"/>
      <c r="I212" s="39" t="n"/>
      <c r="J212" s="39" t="n"/>
      <c r="K212" s="39" t="n"/>
      <c r="L212" s="39" t="n"/>
      <c r="M212" s="39" t="n"/>
      <c r="N212" s="39" t="n"/>
      <c r="O212" s="39" t="n"/>
      <c r="P212" s="39" t="n"/>
      <c r="Q212" s="39" t="n"/>
      <c r="R212" s="39" t="n"/>
      <c r="S212" s="39" t="n"/>
      <c r="T212" s="39" t="n"/>
      <c r="U212" s="39" t="n"/>
      <c r="V212" s="39" t="n"/>
      <c r="W212" s="34" t="n"/>
      <c r="X212" s="39" t="n"/>
      <c r="Y212" s="40" t="n"/>
      <c r="Z212" s="158">
        <f>IF(OR(Y212="",X212=""),"",IFERROR(Y212*INDEX(FXRates[USD per unit],MATCH(X212,FXRates[Currency],0)),"No rate"))</f>
        <v/>
      </c>
      <c r="AA212" s="38" t="n"/>
      <c r="AB212" s="38" t="n"/>
      <c r="AC212" s="41">
        <f>IF(A212="","",IF(COUNTIF($A$6:$A$504,A212)&gt;1,"⚠ Duplicate",""))</f>
        <v/>
      </c>
      <c r="AD212" s="42" t="n"/>
      <c r="AE212" s="42" t="n"/>
      <c r="AF212" s="42" t="n"/>
      <c r="AG212" s="42" t="n"/>
      <c r="AH212" s="42" t="n"/>
      <c r="AI212" s="42" t="n"/>
      <c r="AJ212" s="42" t="n"/>
      <c r="AK212" s="42" t="n"/>
      <c r="AL212" s="42" t="n"/>
      <c r="AM212" s="42" t="n"/>
      <c r="AN212" s="42" t="n"/>
      <c r="AO212" s="42" t="n"/>
      <c r="AP212" s="42" t="n"/>
      <c r="AQ212" s="42" t="n"/>
    </row>
    <row r="213" ht="18" customHeight="1" s="74">
      <c r="A213" s="32" t="n"/>
      <c r="B213" s="32" t="n"/>
      <c r="C213" s="32" t="n"/>
      <c r="D213" s="32" t="n"/>
      <c r="E213" s="33" t="n"/>
      <c r="F213" s="33" t="n"/>
      <c r="G213" s="33" t="n"/>
      <c r="H213" s="33" t="n"/>
      <c r="I213" s="33" t="n"/>
      <c r="J213" s="33" t="n"/>
      <c r="K213" s="33" t="n"/>
      <c r="L213" s="33" t="n"/>
      <c r="M213" s="33" t="n"/>
      <c r="N213" s="33" t="n"/>
      <c r="O213" s="33" t="n"/>
      <c r="P213" s="33" t="n"/>
      <c r="Q213" s="33" t="n"/>
      <c r="R213" s="33" t="n"/>
      <c r="S213" s="33" t="n"/>
      <c r="T213" s="33" t="n"/>
      <c r="U213" s="33" t="n"/>
      <c r="V213" s="33" t="n"/>
      <c r="W213" s="34" t="n"/>
      <c r="X213" s="33" t="n"/>
      <c r="Y213" s="35" t="n"/>
      <c r="Z213" s="157">
        <f>IF(OR(Y213="",X213=""),"",IFERROR(Y213*INDEX(FXRates[USD per unit],MATCH(X213,FXRates[Currency],0)),"No rate"))</f>
        <v/>
      </c>
      <c r="AA213" s="32" t="n"/>
      <c r="AB213" s="32" t="n"/>
      <c r="AC213" s="36">
        <f>IF(A213="","",IF(COUNTIF($A$6:$A$504,A213)&gt;1,"⚠ Duplicate",""))</f>
        <v/>
      </c>
      <c r="AD213" s="43" t="n"/>
      <c r="AE213" s="43" t="n"/>
      <c r="AF213" s="43" t="n"/>
      <c r="AG213" s="43" t="n"/>
      <c r="AH213" s="43" t="n"/>
      <c r="AI213" s="43" t="n"/>
      <c r="AJ213" s="43" t="n"/>
      <c r="AK213" s="43" t="n"/>
      <c r="AL213" s="43" t="n"/>
      <c r="AM213" s="43" t="n"/>
      <c r="AN213" s="43" t="n"/>
      <c r="AO213" s="43" t="n"/>
      <c r="AP213" s="43" t="n"/>
      <c r="AQ213" s="43" t="n"/>
    </row>
    <row r="214" ht="18" customHeight="1" s="74">
      <c r="A214" s="38" t="n"/>
      <c r="B214" s="38" t="n"/>
      <c r="C214" s="38" t="n"/>
      <c r="D214" s="38" t="n"/>
      <c r="E214" s="39" t="n"/>
      <c r="F214" s="39" t="n"/>
      <c r="G214" s="39" t="n"/>
      <c r="H214" s="39" t="n"/>
      <c r="I214" s="39" t="n"/>
      <c r="J214" s="39" t="n"/>
      <c r="K214" s="39" t="n"/>
      <c r="L214" s="39" t="n"/>
      <c r="M214" s="39" t="n"/>
      <c r="N214" s="39" t="n"/>
      <c r="O214" s="39" t="n"/>
      <c r="P214" s="39" t="n"/>
      <c r="Q214" s="39" t="n"/>
      <c r="R214" s="39" t="n"/>
      <c r="S214" s="39" t="n"/>
      <c r="T214" s="39" t="n"/>
      <c r="U214" s="39" t="n"/>
      <c r="V214" s="39" t="n"/>
      <c r="W214" s="34" t="n"/>
      <c r="X214" s="39" t="n"/>
      <c r="Y214" s="40" t="n"/>
      <c r="Z214" s="158">
        <f>IF(OR(Y214="",X214=""),"",IFERROR(Y214*INDEX(FXRates[USD per unit],MATCH(X214,FXRates[Currency],0)),"No rate"))</f>
        <v/>
      </c>
      <c r="AA214" s="38" t="n"/>
      <c r="AB214" s="38" t="n"/>
      <c r="AC214" s="41">
        <f>IF(A214="","",IF(COUNTIF($A$6:$A$504,A214)&gt;1,"⚠ Duplicate",""))</f>
        <v/>
      </c>
      <c r="AD214" s="42" t="n"/>
      <c r="AE214" s="42" t="n"/>
      <c r="AF214" s="42" t="n"/>
      <c r="AG214" s="42" t="n"/>
      <c r="AH214" s="42" t="n"/>
      <c r="AI214" s="42" t="n"/>
      <c r="AJ214" s="42" t="n"/>
      <c r="AK214" s="42" t="n"/>
      <c r="AL214" s="42" t="n"/>
      <c r="AM214" s="42" t="n"/>
      <c r="AN214" s="42" t="n"/>
      <c r="AO214" s="42" t="n"/>
      <c r="AP214" s="42" t="n"/>
      <c r="AQ214" s="42" t="n"/>
    </row>
    <row r="215" ht="18" customHeight="1" s="74">
      <c r="A215" s="32" t="n"/>
      <c r="B215" s="32" t="n"/>
      <c r="C215" s="32" t="n"/>
      <c r="D215" s="32" t="n"/>
      <c r="E215" s="33" t="n"/>
      <c r="F215" s="33" t="n"/>
      <c r="G215" s="33" t="n"/>
      <c r="H215" s="33" t="n"/>
      <c r="I215" s="33" t="n"/>
      <c r="J215" s="33" t="n"/>
      <c r="K215" s="33" t="n"/>
      <c r="L215" s="33" t="n"/>
      <c r="M215" s="33" t="n"/>
      <c r="N215" s="33" t="n"/>
      <c r="O215" s="33" t="n"/>
      <c r="P215" s="33" t="n"/>
      <c r="Q215" s="33" t="n"/>
      <c r="R215" s="33" t="n"/>
      <c r="S215" s="33" t="n"/>
      <c r="T215" s="33" t="n"/>
      <c r="U215" s="33" t="n"/>
      <c r="V215" s="33" t="n"/>
      <c r="W215" s="34" t="n"/>
      <c r="X215" s="33" t="n"/>
      <c r="Y215" s="35" t="n"/>
      <c r="Z215" s="157">
        <f>IF(OR(Y215="",X215=""),"",IFERROR(Y215*INDEX(FXRates[USD per unit],MATCH(X215,FXRates[Currency],0)),"No rate"))</f>
        <v/>
      </c>
      <c r="AA215" s="32" t="n"/>
      <c r="AB215" s="32" t="n"/>
      <c r="AC215" s="36">
        <f>IF(A215="","",IF(COUNTIF($A$6:$A$504,A215)&gt;1,"⚠ Duplicate",""))</f>
        <v/>
      </c>
      <c r="AD215" s="43" t="n"/>
      <c r="AE215" s="43" t="n"/>
      <c r="AF215" s="43" t="n"/>
      <c r="AG215" s="43" t="n"/>
      <c r="AH215" s="43" t="n"/>
      <c r="AI215" s="43" t="n"/>
      <c r="AJ215" s="43" t="n"/>
      <c r="AK215" s="43" t="n"/>
      <c r="AL215" s="43" t="n"/>
      <c r="AM215" s="43" t="n"/>
      <c r="AN215" s="43" t="n"/>
      <c r="AO215" s="43" t="n"/>
      <c r="AP215" s="43" t="n"/>
      <c r="AQ215" s="43" t="n"/>
    </row>
    <row r="216" ht="18" customHeight="1" s="74">
      <c r="A216" s="38" t="n"/>
      <c r="B216" s="38" t="n"/>
      <c r="C216" s="38" t="n"/>
      <c r="D216" s="38" t="n"/>
      <c r="E216" s="39" t="n"/>
      <c r="F216" s="39" t="n"/>
      <c r="G216" s="39" t="n"/>
      <c r="H216" s="39" t="n"/>
      <c r="I216" s="39" t="n"/>
      <c r="J216" s="39" t="n"/>
      <c r="K216" s="39" t="n"/>
      <c r="L216" s="39" t="n"/>
      <c r="M216" s="39" t="n"/>
      <c r="N216" s="39" t="n"/>
      <c r="O216" s="39" t="n"/>
      <c r="P216" s="39" t="n"/>
      <c r="Q216" s="39" t="n"/>
      <c r="R216" s="39" t="n"/>
      <c r="S216" s="39" t="n"/>
      <c r="T216" s="39" t="n"/>
      <c r="U216" s="39" t="n"/>
      <c r="V216" s="39" t="n"/>
      <c r="W216" s="34" t="n"/>
      <c r="X216" s="39" t="n"/>
      <c r="Y216" s="40" t="n"/>
      <c r="Z216" s="158">
        <f>IF(OR(Y216="",X216=""),"",IFERROR(Y216*INDEX(FXRates[USD per unit],MATCH(X216,FXRates[Currency],0)),"No rate"))</f>
        <v/>
      </c>
      <c r="AA216" s="38" t="n"/>
      <c r="AB216" s="38" t="n"/>
      <c r="AC216" s="41">
        <f>IF(A216="","",IF(COUNTIF($A$6:$A$504,A216)&gt;1,"⚠ Duplicate",""))</f>
        <v/>
      </c>
      <c r="AD216" s="42" t="n"/>
      <c r="AE216" s="42" t="n"/>
      <c r="AF216" s="42" t="n"/>
      <c r="AG216" s="42" t="n"/>
      <c r="AH216" s="42" t="n"/>
      <c r="AI216" s="42" t="n"/>
      <c r="AJ216" s="42" t="n"/>
      <c r="AK216" s="42" t="n"/>
      <c r="AL216" s="42" t="n"/>
      <c r="AM216" s="42" t="n"/>
      <c r="AN216" s="42" t="n"/>
      <c r="AO216" s="42" t="n"/>
      <c r="AP216" s="42" t="n"/>
      <c r="AQ216" s="42" t="n"/>
    </row>
    <row r="217" ht="18" customHeight="1" s="74">
      <c r="A217" s="32" t="n"/>
      <c r="B217" s="32" t="n"/>
      <c r="C217" s="32" t="n"/>
      <c r="D217" s="32" t="n"/>
      <c r="E217" s="33" t="n"/>
      <c r="F217" s="33" t="n"/>
      <c r="G217" s="33" t="n"/>
      <c r="H217" s="33" t="n"/>
      <c r="I217" s="33" t="n"/>
      <c r="J217" s="33" t="n"/>
      <c r="K217" s="33" t="n"/>
      <c r="L217" s="33" t="n"/>
      <c r="M217" s="33" t="n"/>
      <c r="N217" s="33" t="n"/>
      <c r="O217" s="33" t="n"/>
      <c r="P217" s="33" t="n"/>
      <c r="Q217" s="33" t="n"/>
      <c r="R217" s="33" t="n"/>
      <c r="S217" s="33" t="n"/>
      <c r="T217" s="33" t="n"/>
      <c r="U217" s="33" t="n"/>
      <c r="V217" s="33" t="n"/>
      <c r="W217" s="34" t="n"/>
      <c r="X217" s="33" t="n"/>
      <c r="Y217" s="35" t="n"/>
      <c r="Z217" s="157">
        <f>IF(OR(Y217="",X217=""),"",IFERROR(Y217*INDEX(FXRates[USD per unit],MATCH(X217,FXRates[Currency],0)),"No rate"))</f>
        <v/>
      </c>
      <c r="AA217" s="32" t="n"/>
      <c r="AB217" s="32" t="n"/>
      <c r="AC217" s="36">
        <f>IF(A217="","",IF(COUNTIF($A$6:$A$504,A217)&gt;1,"⚠ Duplicate",""))</f>
        <v/>
      </c>
      <c r="AD217" s="43" t="n"/>
      <c r="AE217" s="43" t="n"/>
      <c r="AF217" s="43" t="n"/>
      <c r="AG217" s="43" t="n"/>
      <c r="AH217" s="43" t="n"/>
      <c r="AI217" s="43" t="n"/>
      <c r="AJ217" s="43" t="n"/>
      <c r="AK217" s="43" t="n"/>
      <c r="AL217" s="43" t="n"/>
      <c r="AM217" s="43" t="n"/>
      <c r="AN217" s="43" t="n"/>
      <c r="AO217" s="43" t="n"/>
      <c r="AP217" s="43" t="n"/>
      <c r="AQ217" s="43" t="n"/>
    </row>
    <row r="218" ht="18" customHeight="1" s="74">
      <c r="A218" s="38" t="n"/>
      <c r="B218" s="38" t="n"/>
      <c r="C218" s="38" t="n"/>
      <c r="D218" s="38" t="n"/>
      <c r="E218" s="39" t="n"/>
      <c r="F218" s="39" t="n"/>
      <c r="G218" s="39" t="n"/>
      <c r="H218" s="39" t="n"/>
      <c r="I218" s="39" t="n"/>
      <c r="J218" s="39" t="n"/>
      <c r="K218" s="39" t="n"/>
      <c r="L218" s="39" t="n"/>
      <c r="M218" s="39" t="n"/>
      <c r="N218" s="39" t="n"/>
      <c r="O218" s="39" t="n"/>
      <c r="P218" s="39" t="n"/>
      <c r="Q218" s="39" t="n"/>
      <c r="R218" s="39" t="n"/>
      <c r="S218" s="39" t="n"/>
      <c r="T218" s="39" t="n"/>
      <c r="U218" s="39" t="n"/>
      <c r="V218" s="39" t="n"/>
      <c r="W218" s="34" t="n"/>
      <c r="X218" s="39" t="n"/>
      <c r="Y218" s="40" t="n"/>
      <c r="Z218" s="158">
        <f>IF(OR(Y218="",X218=""),"",IFERROR(Y218*INDEX(FXRates[USD per unit],MATCH(X218,FXRates[Currency],0)),"No rate"))</f>
        <v/>
      </c>
      <c r="AA218" s="38" t="n"/>
      <c r="AB218" s="38" t="n"/>
      <c r="AC218" s="41">
        <f>IF(A218="","",IF(COUNTIF($A$6:$A$504,A218)&gt;1,"⚠ Duplicate",""))</f>
        <v/>
      </c>
      <c r="AD218" s="42" t="n"/>
      <c r="AE218" s="42" t="n"/>
      <c r="AF218" s="42" t="n"/>
      <c r="AG218" s="42" t="n"/>
      <c r="AH218" s="42" t="n"/>
      <c r="AI218" s="42" t="n"/>
      <c r="AJ218" s="42" t="n"/>
      <c r="AK218" s="42" t="n"/>
      <c r="AL218" s="42" t="n"/>
      <c r="AM218" s="42" t="n"/>
      <c r="AN218" s="42" t="n"/>
      <c r="AO218" s="42" t="n"/>
      <c r="AP218" s="42" t="n"/>
      <c r="AQ218" s="42" t="n"/>
    </row>
    <row r="219" ht="18" customHeight="1" s="74">
      <c r="A219" s="32" t="n"/>
      <c r="B219" s="32" t="n"/>
      <c r="C219" s="32" t="n"/>
      <c r="D219" s="32" t="n"/>
      <c r="E219" s="33" t="n"/>
      <c r="F219" s="33" t="n"/>
      <c r="G219" s="33" t="n"/>
      <c r="H219" s="33" t="n"/>
      <c r="I219" s="33" t="n"/>
      <c r="J219" s="33" t="n"/>
      <c r="K219" s="33" t="n"/>
      <c r="L219" s="33" t="n"/>
      <c r="M219" s="33" t="n"/>
      <c r="N219" s="33" t="n"/>
      <c r="O219" s="33" t="n"/>
      <c r="P219" s="33" t="n"/>
      <c r="Q219" s="33" t="n"/>
      <c r="R219" s="33" t="n"/>
      <c r="S219" s="33" t="n"/>
      <c r="T219" s="33" t="n"/>
      <c r="U219" s="33" t="n"/>
      <c r="V219" s="33" t="n"/>
      <c r="W219" s="34" t="n"/>
      <c r="X219" s="33" t="n"/>
      <c r="Y219" s="35" t="n"/>
      <c r="Z219" s="157">
        <f>IF(OR(Y219="",X219=""),"",IFERROR(Y219*INDEX(FXRates[USD per unit],MATCH(X219,FXRates[Currency],0)),"No rate"))</f>
        <v/>
      </c>
      <c r="AA219" s="32" t="n"/>
      <c r="AB219" s="32" t="n"/>
      <c r="AC219" s="36">
        <f>IF(A219="","",IF(COUNTIF($A$6:$A$504,A219)&gt;1,"⚠ Duplicate",""))</f>
        <v/>
      </c>
      <c r="AD219" s="43" t="n"/>
      <c r="AE219" s="43" t="n"/>
      <c r="AF219" s="43" t="n"/>
      <c r="AG219" s="43" t="n"/>
      <c r="AH219" s="43" t="n"/>
      <c r="AI219" s="43" t="n"/>
      <c r="AJ219" s="43" t="n"/>
      <c r="AK219" s="43" t="n"/>
      <c r="AL219" s="43" t="n"/>
      <c r="AM219" s="43" t="n"/>
      <c r="AN219" s="43" t="n"/>
      <c r="AO219" s="43" t="n"/>
      <c r="AP219" s="43" t="n"/>
      <c r="AQ219" s="43" t="n"/>
    </row>
    <row r="220" ht="18" customHeight="1" s="74">
      <c r="A220" s="38" t="n"/>
      <c r="B220" s="38" t="n"/>
      <c r="C220" s="38" t="n"/>
      <c r="D220" s="38" t="n"/>
      <c r="E220" s="39" t="n"/>
      <c r="F220" s="39" t="n"/>
      <c r="G220" s="39" t="n"/>
      <c r="H220" s="39" t="n"/>
      <c r="I220" s="39" t="n"/>
      <c r="J220" s="39" t="n"/>
      <c r="K220" s="39" t="n"/>
      <c r="L220" s="39" t="n"/>
      <c r="M220" s="39" t="n"/>
      <c r="N220" s="39" t="n"/>
      <c r="O220" s="39" t="n"/>
      <c r="P220" s="39" t="n"/>
      <c r="Q220" s="39" t="n"/>
      <c r="R220" s="39" t="n"/>
      <c r="S220" s="39" t="n"/>
      <c r="T220" s="39" t="n"/>
      <c r="U220" s="39" t="n"/>
      <c r="V220" s="39" t="n"/>
      <c r="W220" s="34" t="n"/>
      <c r="X220" s="39" t="n"/>
      <c r="Y220" s="40" t="n"/>
      <c r="Z220" s="158">
        <f>IF(OR(Y220="",X220=""),"",IFERROR(Y220*INDEX(FXRates[USD per unit],MATCH(X220,FXRates[Currency],0)),"No rate"))</f>
        <v/>
      </c>
      <c r="AA220" s="38" t="n"/>
      <c r="AB220" s="38" t="n"/>
      <c r="AC220" s="41">
        <f>IF(A220="","",IF(COUNTIF($A$6:$A$504,A220)&gt;1,"⚠ Duplicate",""))</f>
        <v/>
      </c>
      <c r="AD220" s="42" t="n"/>
      <c r="AE220" s="42" t="n"/>
      <c r="AF220" s="42" t="n"/>
      <c r="AG220" s="42" t="n"/>
      <c r="AH220" s="42" t="n"/>
      <c r="AI220" s="42" t="n"/>
      <c r="AJ220" s="42" t="n"/>
      <c r="AK220" s="42" t="n"/>
      <c r="AL220" s="42" t="n"/>
      <c r="AM220" s="42" t="n"/>
      <c r="AN220" s="42" t="n"/>
      <c r="AO220" s="42" t="n"/>
      <c r="AP220" s="42" t="n"/>
      <c r="AQ220" s="42" t="n"/>
    </row>
    <row r="221" ht="18" customHeight="1" s="74">
      <c r="A221" s="32" t="n"/>
      <c r="B221" s="32" t="n"/>
      <c r="C221" s="32" t="n"/>
      <c r="D221" s="32" t="n"/>
      <c r="E221" s="33" t="n"/>
      <c r="F221" s="33" t="n"/>
      <c r="G221" s="33" t="n"/>
      <c r="H221" s="33" t="n"/>
      <c r="I221" s="33" t="n"/>
      <c r="J221" s="33" t="n"/>
      <c r="K221" s="33" t="n"/>
      <c r="L221" s="33" t="n"/>
      <c r="M221" s="33" t="n"/>
      <c r="N221" s="33" t="n"/>
      <c r="O221" s="33" t="n"/>
      <c r="P221" s="33" t="n"/>
      <c r="Q221" s="33" t="n"/>
      <c r="R221" s="33" t="n"/>
      <c r="S221" s="33" t="n"/>
      <c r="T221" s="33" t="n"/>
      <c r="U221" s="33" t="n"/>
      <c r="V221" s="33" t="n"/>
      <c r="W221" s="34" t="n"/>
      <c r="X221" s="33" t="n"/>
      <c r="Y221" s="35" t="n"/>
      <c r="Z221" s="157">
        <f>IF(OR(Y221="",X221=""),"",IFERROR(Y221*INDEX(FXRates[USD per unit],MATCH(X221,FXRates[Currency],0)),"No rate"))</f>
        <v/>
      </c>
      <c r="AA221" s="32" t="n"/>
      <c r="AB221" s="32" t="n"/>
      <c r="AC221" s="36">
        <f>IF(A221="","",IF(COUNTIF($A$6:$A$504,A221)&gt;1,"⚠ Duplicate",""))</f>
        <v/>
      </c>
      <c r="AD221" s="43" t="n"/>
      <c r="AE221" s="43" t="n"/>
      <c r="AF221" s="43" t="n"/>
      <c r="AG221" s="43" t="n"/>
      <c r="AH221" s="43" t="n"/>
      <c r="AI221" s="43" t="n"/>
      <c r="AJ221" s="43" t="n"/>
      <c r="AK221" s="43" t="n"/>
      <c r="AL221" s="43" t="n"/>
      <c r="AM221" s="43" t="n"/>
      <c r="AN221" s="43" t="n"/>
      <c r="AO221" s="43" t="n"/>
      <c r="AP221" s="43" t="n"/>
      <c r="AQ221" s="43" t="n"/>
    </row>
    <row r="222" ht="18" customHeight="1" s="74">
      <c r="A222" s="38" t="n"/>
      <c r="B222" s="38" t="n"/>
      <c r="C222" s="38" t="n"/>
      <c r="D222" s="38" t="n"/>
      <c r="E222" s="39" t="n"/>
      <c r="F222" s="39" t="n"/>
      <c r="G222" s="39" t="n"/>
      <c r="H222" s="39" t="n"/>
      <c r="I222" s="39" t="n"/>
      <c r="J222" s="39" t="n"/>
      <c r="K222" s="39" t="n"/>
      <c r="L222" s="39" t="n"/>
      <c r="M222" s="39" t="n"/>
      <c r="N222" s="39" t="n"/>
      <c r="O222" s="39" t="n"/>
      <c r="P222" s="39" t="n"/>
      <c r="Q222" s="39" t="n"/>
      <c r="R222" s="39" t="n"/>
      <c r="S222" s="39" t="n"/>
      <c r="T222" s="39" t="n"/>
      <c r="U222" s="39" t="n"/>
      <c r="V222" s="39" t="n"/>
      <c r="W222" s="34" t="n"/>
      <c r="X222" s="39" t="n"/>
      <c r="Y222" s="40" t="n"/>
      <c r="Z222" s="158">
        <f>IF(OR(Y222="",X222=""),"",IFERROR(Y222*INDEX(FXRates[USD per unit],MATCH(X222,FXRates[Currency],0)),"No rate"))</f>
        <v/>
      </c>
      <c r="AA222" s="38" t="n"/>
      <c r="AB222" s="38" t="n"/>
      <c r="AC222" s="41">
        <f>IF(A222="","",IF(COUNTIF($A$6:$A$504,A222)&gt;1,"⚠ Duplicate",""))</f>
        <v/>
      </c>
      <c r="AD222" s="42" t="n"/>
      <c r="AE222" s="42" t="n"/>
      <c r="AF222" s="42" t="n"/>
      <c r="AG222" s="42" t="n"/>
      <c r="AH222" s="42" t="n"/>
      <c r="AI222" s="42" t="n"/>
      <c r="AJ222" s="42" t="n"/>
      <c r="AK222" s="42" t="n"/>
      <c r="AL222" s="42" t="n"/>
      <c r="AM222" s="42" t="n"/>
      <c r="AN222" s="42" t="n"/>
      <c r="AO222" s="42" t="n"/>
      <c r="AP222" s="42" t="n"/>
      <c r="AQ222" s="42" t="n"/>
    </row>
    <row r="223" ht="18" customHeight="1" s="74">
      <c r="A223" s="32" t="n"/>
      <c r="B223" s="32" t="n"/>
      <c r="C223" s="32" t="n"/>
      <c r="D223" s="32" t="n"/>
      <c r="E223" s="33" t="n"/>
      <c r="F223" s="33" t="n"/>
      <c r="G223" s="33" t="n"/>
      <c r="H223" s="33" t="n"/>
      <c r="I223" s="33" t="n"/>
      <c r="J223" s="33" t="n"/>
      <c r="K223" s="33" t="n"/>
      <c r="L223" s="33" t="n"/>
      <c r="M223" s="33" t="n"/>
      <c r="N223" s="33" t="n"/>
      <c r="O223" s="33" t="n"/>
      <c r="P223" s="33" t="n"/>
      <c r="Q223" s="33" t="n"/>
      <c r="R223" s="33" t="n"/>
      <c r="S223" s="33" t="n"/>
      <c r="T223" s="33" t="n"/>
      <c r="U223" s="33" t="n"/>
      <c r="V223" s="33" t="n"/>
      <c r="W223" s="34" t="n"/>
      <c r="X223" s="33" t="n"/>
      <c r="Y223" s="35" t="n"/>
      <c r="Z223" s="157">
        <f>IF(OR(Y223="",X223=""),"",IFERROR(Y223*INDEX(FXRates[USD per unit],MATCH(X223,FXRates[Currency],0)),"No rate"))</f>
        <v/>
      </c>
      <c r="AA223" s="32" t="n"/>
      <c r="AB223" s="32" t="n"/>
      <c r="AC223" s="36">
        <f>IF(A223="","",IF(COUNTIF($A$6:$A$504,A223)&gt;1,"⚠ Duplicate",""))</f>
        <v/>
      </c>
      <c r="AD223" s="43" t="n"/>
      <c r="AE223" s="43" t="n"/>
      <c r="AF223" s="43" t="n"/>
      <c r="AG223" s="43" t="n"/>
      <c r="AH223" s="43" t="n"/>
      <c r="AI223" s="43" t="n"/>
      <c r="AJ223" s="43" t="n"/>
      <c r="AK223" s="43" t="n"/>
      <c r="AL223" s="43" t="n"/>
      <c r="AM223" s="43" t="n"/>
      <c r="AN223" s="43" t="n"/>
      <c r="AO223" s="43" t="n"/>
      <c r="AP223" s="43" t="n"/>
      <c r="AQ223" s="43" t="n"/>
    </row>
    <row r="224" ht="18" customHeight="1" s="74">
      <c r="A224" s="38" t="n"/>
      <c r="B224" s="38" t="n"/>
      <c r="C224" s="38" t="n"/>
      <c r="D224" s="38" t="n"/>
      <c r="E224" s="39" t="n"/>
      <c r="F224" s="39" t="n"/>
      <c r="G224" s="39" t="n"/>
      <c r="H224" s="39" t="n"/>
      <c r="I224" s="39" t="n"/>
      <c r="J224" s="39" t="n"/>
      <c r="K224" s="39" t="n"/>
      <c r="L224" s="39" t="n"/>
      <c r="M224" s="39" t="n"/>
      <c r="N224" s="39" t="n"/>
      <c r="O224" s="39" t="n"/>
      <c r="P224" s="39" t="n"/>
      <c r="Q224" s="39" t="n"/>
      <c r="R224" s="39" t="n"/>
      <c r="S224" s="39" t="n"/>
      <c r="T224" s="39" t="n"/>
      <c r="U224" s="39" t="n"/>
      <c r="V224" s="39" t="n"/>
      <c r="W224" s="34" t="n"/>
      <c r="X224" s="39" t="n"/>
      <c r="Y224" s="40" t="n"/>
      <c r="Z224" s="158">
        <f>IF(OR(Y224="",X224=""),"",IFERROR(Y224*INDEX(FXRates[USD per unit],MATCH(X224,FXRates[Currency],0)),"No rate"))</f>
        <v/>
      </c>
      <c r="AA224" s="38" t="n"/>
      <c r="AB224" s="38" t="n"/>
      <c r="AC224" s="41">
        <f>IF(A224="","",IF(COUNTIF($A$6:$A$504,A224)&gt;1,"⚠ Duplicate",""))</f>
        <v/>
      </c>
      <c r="AD224" s="42" t="n"/>
      <c r="AE224" s="42" t="n"/>
      <c r="AF224" s="42" t="n"/>
      <c r="AG224" s="42" t="n"/>
      <c r="AH224" s="42" t="n"/>
      <c r="AI224" s="42" t="n"/>
      <c r="AJ224" s="42" t="n"/>
      <c r="AK224" s="42" t="n"/>
      <c r="AL224" s="42" t="n"/>
      <c r="AM224" s="42" t="n"/>
      <c r="AN224" s="42" t="n"/>
      <c r="AO224" s="42" t="n"/>
      <c r="AP224" s="42" t="n"/>
      <c r="AQ224" s="42" t="n"/>
    </row>
    <row r="225" ht="18" customHeight="1" s="74">
      <c r="A225" s="32" t="n"/>
      <c r="B225" s="32" t="n"/>
      <c r="C225" s="32" t="n"/>
      <c r="D225" s="32" t="n"/>
      <c r="E225" s="33" t="n"/>
      <c r="F225" s="33" t="n"/>
      <c r="G225" s="33" t="n"/>
      <c r="H225" s="33" t="n"/>
      <c r="I225" s="33" t="n"/>
      <c r="J225" s="33" t="n"/>
      <c r="K225" s="33" t="n"/>
      <c r="L225" s="33" t="n"/>
      <c r="M225" s="33" t="n"/>
      <c r="N225" s="33" t="n"/>
      <c r="O225" s="33" t="n"/>
      <c r="P225" s="33" t="n"/>
      <c r="Q225" s="33" t="n"/>
      <c r="R225" s="33" t="n"/>
      <c r="S225" s="33" t="n"/>
      <c r="T225" s="33" t="n"/>
      <c r="U225" s="33" t="n"/>
      <c r="V225" s="33" t="n"/>
      <c r="W225" s="34" t="n"/>
      <c r="X225" s="33" t="n"/>
      <c r="Y225" s="35" t="n"/>
      <c r="Z225" s="157">
        <f>IF(OR(Y225="",X225=""),"",IFERROR(Y225*INDEX(FXRates[USD per unit],MATCH(X225,FXRates[Currency],0)),"No rate"))</f>
        <v/>
      </c>
      <c r="AA225" s="32" t="n"/>
      <c r="AB225" s="32" t="n"/>
      <c r="AC225" s="36">
        <f>IF(A225="","",IF(COUNTIF($A$6:$A$504,A225)&gt;1,"⚠ Duplicate",""))</f>
        <v/>
      </c>
      <c r="AD225" s="43" t="n"/>
      <c r="AE225" s="43" t="n"/>
      <c r="AF225" s="43" t="n"/>
      <c r="AG225" s="43" t="n"/>
      <c r="AH225" s="43" t="n"/>
      <c r="AI225" s="43" t="n"/>
      <c r="AJ225" s="43" t="n"/>
      <c r="AK225" s="43" t="n"/>
      <c r="AL225" s="43" t="n"/>
      <c r="AM225" s="43" t="n"/>
      <c r="AN225" s="43" t="n"/>
      <c r="AO225" s="43" t="n"/>
      <c r="AP225" s="43" t="n"/>
      <c r="AQ225" s="43" t="n"/>
    </row>
    <row r="226" ht="18" customHeight="1" s="74">
      <c r="A226" s="38" t="n"/>
      <c r="B226" s="38" t="n"/>
      <c r="C226" s="38" t="n"/>
      <c r="D226" s="38" t="n"/>
      <c r="E226" s="39" t="n"/>
      <c r="F226" s="39" t="n"/>
      <c r="G226" s="39" t="n"/>
      <c r="H226" s="39" t="n"/>
      <c r="I226" s="39" t="n"/>
      <c r="J226" s="39" t="n"/>
      <c r="K226" s="39" t="n"/>
      <c r="L226" s="39" t="n"/>
      <c r="M226" s="39" t="n"/>
      <c r="N226" s="39" t="n"/>
      <c r="O226" s="39" t="n"/>
      <c r="P226" s="39" t="n"/>
      <c r="Q226" s="39" t="n"/>
      <c r="R226" s="39" t="n"/>
      <c r="S226" s="39" t="n"/>
      <c r="T226" s="39" t="n"/>
      <c r="U226" s="39" t="n"/>
      <c r="V226" s="39" t="n"/>
      <c r="W226" s="34" t="n"/>
      <c r="X226" s="39" t="n"/>
      <c r="Y226" s="40" t="n"/>
      <c r="Z226" s="158">
        <f>IF(OR(Y226="",X226=""),"",IFERROR(Y226*INDEX(FXRates[USD per unit],MATCH(X226,FXRates[Currency],0)),"No rate"))</f>
        <v/>
      </c>
      <c r="AA226" s="38" t="n"/>
      <c r="AB226" s="38" t="n"/>
      <c r="AC226" s="41">
        <f>IF(A226="","",IF(COUNTIF($A$6:$A$504,A226)&gt;1,"⚠ Duplicate",""))</f>
        <v/>
      </c>
      <c r="AD226" s="42" t="n"/>
      <c r="AE226" s="42" t="n"/>
      <c r="AF226" s="42" t="n"/>
      <c r="AG226" s="42" t="n"/>
      <c r="AH226" s="42" t="n"/>
      <c r="AI226" s="42" t="n"/>
      <c r="AJ226" s="42" t="n"/>
      <c r="AK226" s="42" t="n"/>
      <c r="AL226" s="42" t="n"/>
      <c r="AM226" s="42" t="n"/>
      <c r="AN226" s="42" t="n"/>
      <c r="AO226" s="42" t="n"/>
      <c r="AP226" s="42" t="n"/>
      <c r="AQ226" s="42" t="n"/>
    </row>
    <row r="227" ht="18" customHeight="1" s="74">
      <c r="A227" s="32" t="n"/>
      <c r="B227" s="32" t="n"/>
      <c r="C227" s="32" t="n"/>
      <c r="D227" s="32" t="n"/>
      <c r="E227" s="33" t="n"/>
      <c r="F227" s="33" t="n"/>
      <c r="G227" s="33" t="n"/>
      <c r="H227" s="33" t="n"/>
      <c r="I227" s="33" t="n"/>
      <c r="J227" s="33" t="n"/>
      <c r="K227" s="33" t="n"/>
      <c r="L227" s="33" t="n"/>
      <c r="M227" s="33" t="n"/>
      <c r="N227" s="33" t="n"/>
      <c r="O227" s="33" t="n"/>
      <c r="P227" s="33" t="n"/>
      <c r="Q227" s="33" t="n"/>
      <c r="R227" s="33" t="n"/>
      <c r="S227" s="33" t="n"/>
      <c r="T227" s="33" t="n"/>
      <c r="U227" s="33" t="n"/>
      <c r="V227" s="33" t="n"/>
      <c r="W227" s="34" t="n"/>
      <c r="X227" s="33" t="n"/>
      <c r="Y227" s="35" t="n"/>
      <c r="Z227" s="157">
        <f>IF(OR(Y227="",X227=""),"",IFERROR(Y227*INDEX(FXRates[USD per unit],MATCH(X227,FXRates[Currency],0)),"No rate"))</f>
        <v/>
      </c>
      <c r="AA227" s="32" t="n"/>
      <c r="AB227" s="32" t="n"/>
      <c r="AC227" s="36">
        <f>IF(A227="","",IF(COUNTIF($A$6:$A$504,A227)&gt;1,"⚠ Duplicate",""))</f>
        <v/>
      </c>
      <c r="AD227" s="43" t="n"/>
      <c r="AE227" s="43" t="n"/>
      <c r="AF227" s="43" t="n"/>
      <c r="AG227" s="43" t="n"/>
      <c r="AH227" s="43" t="n"/>
      <c r="AI227" s="43" t="n"/>
      <c r="AJ227" s="43" t="n"/>
      <c r="AK227" s="43" t="n"/>
      <c r="AL227" s="43" t="n"/>
      <c r="AM227" s="43" t="n"/>
      <c r="AN227" s="43" t="n"/>
      <c r="AO227" s="43" t="n"/>
      <c r="AP227" s="43" t="n"/>
      <c r="AQ227" s="43" t="n"/>
    </row>
    <row r="228" ht="18" customHeight="1" s="74">
      <c r="A228" s="38" t="n"/>
      <c r="B228" s="38" t="n"/>
      <c r="C228" s="38" t="n"/>
      <c r="D228" s="38" t="n"/>
      <c r="E228" s="39" t="n"/>
      <c r="F228" s="39" t="n"/>
      <c r="G228" s="39" t="n"/>
      <c r="H228" s="39" t="n"/>
      <c r="I228" s="39" t="n"/>
      <c r="J228" s="39" t="n"/>
      <c r="K228" s="39" t="n"/>
      <c r="L228" s="39" t="n"/>
      <c r="M228" s="39" t="n"/>
      <c r="N228" s="39" t="n"/>
      <c r="O228" s="39" t="n"/>
      <c r="P228" s="39" t="n"/>
      <c r="Q228" s="39" t="n"/>
      <c r="R228" s="39" t="n"/>
      <c r="S228" s="39" t="n"/>
      <c r="T228" s="39" t="n"/>
      <c r="U228" s="39" t="n"/>
      <c r="V228" s="39" t="n"/>
      <c r="W228" s="34" t="n"/>
      <c r="X228" s="39" t="n"/>
      <c r="Y228" s="40" t="n"/>
      <c r="Z228" s="158">
        <f>IF(OR(Y228="",X228=""),"",IFERROR(Y228*INDEX(FXRates[USD per unit],MATCH(X228,FXRates[Currency],0)),"No rate"))</f>
        <v/>
      </c>
      <c r="AA228" s="38" t="n"/>
      <c r="AB228" s="38" t="n"/>
      <c r="AC228" s="41">
        <f>IF(A228="","",IF(COUNTIF($A$6:$A$504,A228)&gt;1,"⚠ Duplicate",""))</f>
        <v/>
      </c>
      <c r="AD228" s="42" t="n"/>
      <c r="AE228" s="42" t="n"/>
      <c r="AF228" s="42" t="n"/>
      <c r="AG228" s="42" t="n"/>
      <c r="AH228" s="42" t="n"/>
      <c r="AI228" s="42" t="n"/>
      <c r="AJ228" s="42" t="n"/>
      <c r="AK228" s="42" t="n"/>
      <c r="AL228" s="42" t="n"/>
      <c r="AM228" s="42" t="n"/>
      <c r="AN228" s="42" t="n"/>
      <c r="AO228" s="42" t="n"/>
      <c r="AP228" s="42" t="n"/>
      <c r="AQ228" s="42" t="n"/>
    </row>
    <row r="229" ht="18" customHeight="1" s="74">
      <c r="A229" s="32" t="n"/>
      <c r="B229" s="32" t="n"/>
      <c r="C229" s="32" t="n"/>
      <c r="D229" s="32" t="n"/>
      <c r="E229" s="33" t="n"/>
      <c r="F229" s="33" t="n"/>
      <c r="G229" s="33" t="n"/>
      <c r="H229" s="33" t="n"/>
      <c r="I229" s="33" t="n"/>
      <c r="J229" s="33" t="n"/>
      <c r="K229" s="33" t="n"/>
      <c r="L229" s="33" t="n"/>
      <c r="M229" s="33" t="n"/>
      <c r="N229" s="33" t="n"/>
      <c r="O229" s="33" t="n"/>
      <c r="P229" s="33" t="n"/>
      <c r="Q229" s="33" t="n"/>
      <c r="R229" s="33" t="n"/>
      <c r="S229" s="33" t="n"/>
      <c r="T229" s="33" t="n"/>
      <c r="U229" s="33" t="n"/>
      <c r="V229" s="33" t="n"/>
      <c r="W229" s="34" t="n"/>
      <c r="X229" s="33" t="n"/>
      <c r="Y229" s="35" t="n"/>
      <c r="Z229" s="157">
        <f>IF(OR(Y229="",X229=""),"",IFERROR(Y229*INDEX(FXRates[USD per unit],MATCH(X229,FXRates[Currency],0)),"No rate"))</f>
        <v/>
      </c>
      <c r="AA229" s="32" t="n"/>
      <c r="AB229" s="32" t="n"/>
      <c r="AC229" s="36">
        <f>IF(A229="","",IF(COUNTIF($A$6:$A$504,A229)&gt;1,"⚠ Duplicate",""))</f>
        <v/>
      </c>
      <c r="AD229" s="43" t="n"/>
      <c r="AE229" s="43" t="n"/>
      <c r="AF229" s="43" t="n"/>
      <c r="AG229" s="43" t="n"/>
      <c r="AH229" s="43" t="n"/>
      <c r="AI229" s="43" t="n"/>
      <c r="AJ229" s="43" t="n"/>
      <c r="AK229" s="43" t="n"/>
      <c r="AL229" s="43" t="n"/>
      <c r="AM229" s="43" t="n"/>
      <c r="AN229" s="43" t="n"/>
      <c r="AO229" s="43" t="n"/>
      <c r="AP229" s="43" t="n"/>
      <c r="AQ229" s="43" t="n"/>
    </row>
    <row r="230" ht="18" customHeight="1" s="74">
      <c r="A230" s="38" t="n"/>
      <c r="B230" s="38" t="n"/>
      <c r="C230" s="38" t="n"/>
      <c r="D230" s="38" t="n"/>
      <c r="E230" s="39" t="n"/>
      <c r="F230" s="39" t="n"/>
      <c r="G230" s="39" t="n"/>
      <c r="H230" s="39" t="n"/>
      <c r="I230" s="39" t="n"/>
      <c r="J230" s="39" t="n"/>
      <c r="K230" s="39" t="n"/>
      <c r="L230" s="39" t="n"/>
      <c r="M230" s="39" t="n"/>
      <c r="N230" s="39" t="n"/>
      <c r="O230" s="39" t="n"/>
      <c r="P230" s="39" t="n"/>
      <c r="Q230" s="39" t="n"/>
      <c r="R230" s="39" t="n"/>
      <c r="S230" s="39" t="n"/>
      <c r="T230" s="39" t="n"/>
      <c r="U230" s="39" t="n"/>
      <c r="V230" s="39" t="n"/>
      <c r="W230" s="34" t="n"/>
      <c r="X230" s="39" t="n"/>
      <c r="Y230" s="40" t="n"/>
      <c r="Z230" s="158">
        <f>IF(OR(Y230="",X230=""),"",IFERROR(Y230*INDEX(FXRates[USD per unit],MATCH(X230,FXRates[Currency],0)),"No rate"))</f>
        <v/>
      </c>
      <c r="AA230" s="38" t="n"/>
      <c r="AB230" s="38" t="n"/>
      <c r="AC230" s="41">
        <f>IF(A230="","",IF(COUNTIF($A$6:$A$504,A230)&gt;1,"⚠ Duplicate",""))</f>
        <v/>
      </c>
      <c r="AD230" s="42" t="n"/>
      <c r="AE230" s="42" t="n"/>
      <c r="AF230" s="42" t="n"/>
      <c r="AG230" s="42" t="n"/>
      <c r="AH230" s="42" t="n"/>
      <c r="AI230" s="42" t="n"/>
      <c r="AJ230" s="42" t="n"/>
      <c r="AK230" s="42" t="n"/>
      <c r="AL230" s="42" t="n"/>
      <c r="AM230" s="42" t="n"/>
      <c r="AN230" s="42" t="n"/>
      <c r="AO230" s="42" t="n"/>
      <c r="AP230" s="42" t="n"/>
      <c r="AQ230" s="42" t="n"/>
    </row>
    <row r="231" ht="18" customHeight="1" s="74">
      <c r="A231" s="32" t="n"/>
      <c r="B231" s="32" t="n"/>
      <c r="C231" s="32" t="n"/>
      <c r="D231" s="32" t="n"/>
      <c r="E231" s="33" t="n"/>
      <c r="F231" s="33" t="n"/>
      <c r="G231" s="33" t="n"/>
      <c r="H231" s="33" t="n"/>
      <c r="I231" s="33" t="n"/>
      <c r="J231" s="33" t="n"/>
      <c r="K231" s="33" t="n"/>
      <c r="L231" s="33" t="n"/>
      <c r="M231" s="33" t="n"/>
      <c r="N231" s="33" t="n"/>
      <c r="O231" s="33" t="n"/>
      <c r="P231" s="33" t="n"/>
      <c r="Q231" s="33" t="n"/>
      <c r="R231" s="33" t="n"/>
      <c r="S231" s="33" t="n"/>
      <c r="T231" s="33" t="n"/>
      <c r="U231" s="33" t="n"/>
      <c r="V231" s="33" t="n"/>
      <c r="W231" s="34" t="n"/>
      <c r="X231" s="33" t="n"/>
      <c r="Y231" s="35" t="n"/>
      <c r="Z231" s="157">
        <f>IF(OR(Y231="",X231=""),"",IFERROR(Y231*INDEX(FXRates[USD per unit],MATCH(X231,FXRates[Currency],0)),"No rate"))</f>
        <v/>
      </c>
      <c r="AA231" s="32" t="n"/>
      <c r="AB231" s="32" t="n"/>
      <c r="AC231" s="36">
        <f>IF(A231="","",IF(COUNTIF($A$6:$A$504,A231)&gt;1,"⚠ Duplicate",""))</f>
        <v/>
      </c>
      <c r="AD231" s="43" t="n"/>
      <c r="AE231" s="43" t="n"/>
      <c r="AF231" s="43" t="n"/>
      <c r="AG231" s="43" t="n"/>
      <c r="AH231" s="43" t="n"/>
      <c r="AI231" s="43" t="n"/>
      <c r="AJ231" s="43" t="n"/>
      <c r="AK231" s="43" t="n"/>
      <c r="AL231" s="43" t="n"/>
      <c r="AM231" s="43" t="n"/>
      <c r="AN231" s="43" t="n"/>
      <c r="AO231" s="43" t="n"/>
      <c r="AP231" s="43" t="n"/>
      <c r="AQ231" s="43" t="n"/>
    </row>
    <row r="232" ht="18" customHeight="1" s="74">
      <c r="A232" s="38" t="n"/>
      <c r="B232" s="38" t="n"/>
      <c r="C232" s="38" t="n"/>
      <c r="D232" s="38" t="n"/>
      <c r="E232" s="39" t="n"/>
      <c r="F232" s="39" t="n"/>
      <c r="G232" s="39" t="n"/>
      <c r="H232" s="39" t="n"/>
      <c r="I232" s="39" t="n"/>
      <c r="J232" s="39" t="n"/>
      <c r="K232" s="39" t="n"/>
      <c r="L232" s="39" t="n"/>
      <c r="M232" s="39" t="n"/>
      <c r="N232" s="39" t="n"/>
      <c r="O232" s="39" t="n"/>
      <c r="P232" s="39" t="n"/>
      <c r="Q232" s="39" t="n"/>
      <c r="R232" s="39" t="n"/>
      <c r="S232" s="39" t="n"/>
      <c r="T232" s="39" t="n"/>
      <c r="U232" s="39" t="n"/>
      <c r="V232" s="39" t="n"/>
      <c r="W232" s="34" t="n"/>
      <c r="X232" s="39" t="n"/>
      <c r="Y232" s="40" t="n"/>
      <c r="Z232" s="158">
        <f>IF(OR(Y232="",X232=""),"",IFERROR(Y232*INDEX(FXRates[USD per unit],MATCH(X232,FXRates[Currency],0)),"No rate"))</f>
        <v/>
      </c>
      <c r="AA232" s="38" t="n"/>
      <c r="AB232" s="38" t="n"/>
      <c r="AC232" s="41">
        <f>IF(A232="","",IF(COUNTIF($A$6:$A$504,A232)&gt;1,"⚠ Duplicate",""))</f>
        <v/>
      </c>
      <c r="AD232" s="42" t="n"/>
      <c r="AE232" s="42" t="n"/>
      <c r="AF232" s="42" t="n"/>
      <c r="AG232" s="42" t="n"/>
      <c r="AH232" s="42" t="n"/>
      <c r="AI232" s="42" t="n"/>
      <c r="AJ232" s="42" t="n"/>
      <c r="AK232" s="42" t="n"/>
      <c r="AL232" s="42" t="n"/>
      <c r="AM232" s="42" t="n"/>
      <c r="AN232" s="42" t="n"/>
      <c r="AO232" s="42" t="n"/>
      <c r="AP232" s="42" t="n"/>
      <c r="AQ232" s="42" t="n"/>
    </row>
    <row r="233" ht="18" customHeight="1" s="74">
      <c r="A233" s="32" t="n"/>
      <c r="B233" s="32" t="n"/>
      <c r="C233" s="32" t="n"/>
      <c r="D233" s="32" t="n"/>
      <c r="E233" s="33" t="n"/>
      <c r="F233" s="33" t="n"/>
      <c r="G233" s="33" t="n"/>
      <c r="H233" s="33" t="n"/>
      <c r="I233" s="33" t="n"/>
      <c r="J233" s="33" t="n"/>
      <c r="K233" s="33" t="n"/>
      <c r="L233" s="33" t="n"/>
      <c r="M233" s="33" t="n"/>
      <c r="N233" s="33" t="n"/>
      <c r="O233" s="33" t="n"/>
      <c r="P233" s="33" t="n"/>
      <c r="Q233" s="33" t="n"/>
      <c r="R233" s="33" t="n"/>
      <c r="S233" s="33" t="n"/>
      <c r="T233" s="33" t="n"/>
      <c r="U233" s="33" t="n"/>
      <c r="V233" s="33" t="n"/>
      <c r="W233" s="34" t="n"/>
      <c r="X233" s="33" t="n"/>
      <c r="Y233" s="35" t="n"/>
      <c r="Z233" s="157">
        <f>IF(OR(Y233="",X233=""),"",IFERROR(Y233*INDEX(FXRates[USD per unit],MATCH(X233,FXRates[Currency],0)),"No rate"))</f>
        <v/>
      </c>
      <c r="AA233" s="32" t="n"/>
      <c r="AB233" s="32" t="n"/>
      <c r="AC233" s="36">
        <f>IF(A233="","",IF(COUNTIF($A$6:$A$504,A233)&gt;1,"⚠ Duplicate",""))</f>
        <v/>
      </c>
      <c r="AD233" s="43" t="n"/>
      <c r="AE233" s="43" t="n"/>
      <c r="AF233" s="43" t="n"/>
      <c r="AG233" s="43" t="n"/>
      <c r="AH233" s="43" t="n"/>
      <c r="AI233" s="43" t="n"/>
      <c r="AJ233" s="43" t="n"/>
      <c r="AK233" s="43" t="n"/>
      <c r="AL233" s="43" t="n"/>
      <c r="AM233" s="43" t="n"/>
      <c r="AN233" s="43" t="n"/>
      <c r="AO233" s="43" t="n"/>
      <c r="AP233" s="43" t="n"/>
      <c r="AQ233" s="43" t="n"/>
    </row>
    <row r="234" ht="18" customHeight="1" s="74">
      <c r="A234" s="38" t="n"/>
      <c r="B234" s="38" t="n"/>
      <c r="C234" s="38" t="n"/>
      <c r="D234" s="38" t="n"/>
      <c r="E234" s="39" t="n"/>
      <c r="F234" s="39" t="n"/>
      <c r="G234" s="39" t="n"/>
      <c r="H234" s="39" t="n"/>
      <c r="I234" s="39" t="n"/>
      <c r="J234" s="39" t="n"/>
      <c r="K234" s="39" t="n"/>
      <c r="L234" s="39" t="n"/>
      <c r="M234" s="39" t="n"/>
      <c r="N234" s="39" t="n"/>
      <c r="O234" s="39" t="n"/>
      <c r="P234" s="39" t="n"/>
      <c r="Q234" s="39" t="n"/>
      <c r="R234" s="39" t="n"/>
      <c r="S234" s="39" t="n"/>
      <c r="T234" s="39" t="n"/>
      <c r="U234" s="39" t="n"/>
      <c r="V234" s="39" t="n"/>
      <c r="W234" s="34" t="n"/>
      <c r="X234" s="39" t="n"/>
      <c r="Y234" s="40" t="n"/>
      <c r="Z234" s="158">
        <f>IF(OR(Y234="",X234=""),"",IFERROR(Y234*INDEX(FXRates[USD per unit],MATCH(X234,FXRates[Currency],0)),"No rate"))</f>
        <v/>
      </c>
      <c r="AA234" s="38" t="n"/>
      <c r="AB234" s="38" t="n"/>
      <c r="AC234" s="41">
        <f>IF(A234="","",IF(COUNTIF($A$6:$A$504,A234)&gt;1,"⚠ Duplicate",""))</f>
        <v/>
      </c>
      <c r="AD234" s="42" t="n"/>
      <c r="AE234" s="42" t="n"/>
      <c r="AF234" s="42" t="n"/>
      <c r="AG234" s="42" t="n"/>
      <c r="AH234" s="42" t="n"/>
      <c r="AI234" s="42" t="n"/>
      <c r="AJ234" s="42" t="n"/>
      <c r="AK234" s="42" t="n"/>
      <c r="AL234" s="42" t="n"/>
      <c r="AM234" s="42" t="n"/>
      <c r="AN234" s="42" t="n"/>
      <c r="AO234" s="42" t="n"/>
      <c r="AP234" s="42" t="n"/>
      <c r="AQ234" s="42" t="n"/>
    </row>
    <row r="235" ht="18" customHeight="1" s="74">
      <c r="A235" s="32" t="n"/>
      <c r="B235" s="32" t="n"/>
      <c r="C235" s="32" t="n"/>
      <c r="D235" s="32" t="n"/>
      <c r="E235" s="33" t="n"/>
      <c r="F235" s="33" t="n"/>
      <c r="G235" s="33" t="n"/>
      <c r="H235" s="33" t="n"/>
      <c r="I235" s="33" t="n"/>
      <c r="J235" s="33" t="n"/>
      <c r="K235" s="33" t="n"/>
      <c r="L235" s="33" t="n"/>
      <c r="M235" s="33" t="n"/>
      <c r="N235" s="33" t="n"/>
      <c r="O235" s="33" t="n"/>
      <c r="P235" s="33" t="n"/>
      <c r="Q235" s="33" t="n"/>
      <c r="R235" s="33" t="n"/>
      <c r="S235" s="33" t="n"/>
      <c r="T235" s="33" t="n"/>
      <c r="U235" s="33" t="n"/>
      <c r="V235" s="33" t="n"/>
      <c r="W235" s="34" t="n"/>
      <c r="X235" s="33" t="n"/>
      <c r="Y235" s="35" t="n"/>
      <c r="Z235" s="157">
        <f>IF(OR(Y235="",X235=""),"",IFERROR(Y235*INDEX(FXRates[USD per unit],MATCH(X235,FXRates[Currency],0)),"No rate"))</f>
        <v/>
      </c>
      <c r="AA235" s="32" t="n"/>
      <c r="AB235" s="32" t="n"/>
      <c r="AC235" s="36">
        <f>IF(A235="","",IF(COUNTIF($A$6:$A$504,A235)&gt;1,"⚠ Duplicate",""))</f>
        <v/>
      </c>
      <c r="AD235" s="43" t="n"/>
      <c r="AE235" s="43" t="n"/>
      <c r="AF235" s="43" t="n"/>
      <c r="AG235" s="43" t="n"/>
      <c r="AH235" s="43" t="n"/>
      <c r="AI235" s="43" t="n"/>
      <c r="AJ235" s="43" t="n"/>
      <c r="AK235" s="43" t="n"/>
      <c r="AL235" s="43" t="n"/>
      <c r="AM235" s="43" t="n"/>
      <c r="AN235" s="43" t="n"/>
      <c r="AO235" s="43" t="n"/>
      <c r="AP235" s="43" t="n"/>
      <c r="AQ235" s="43" t="n"/>
    </row>
    <row r="236" ht="18" customHeight="1" s="74">
      <c r="A236" s="38" t="n"/>
      <c r="B236" s="38" t="n"/>
      <c r="C236" s="38" t="n"/>
      <c r="D236" s="38" t="n"/>
      <c r="E236" s="39" t="n"/>
      <c r="F236" s="39" t="n"/>
      <c r="G236" s="39" t="n"/>
      <c r="H236" s="39" t="n"/>
      <c r="I236" s="39" t="n"/>
      <c r="J236" s="39" t="n"/>
      <c r="K236" s="39" t="n"/>
      <c r="L236" s="39" t="n"/>
      <c r="M236" s="39" t="n"/>
      <c r="N236" s="39" t="n"/>
      <c r="O236" s="39" t="n"/>
      <c r="P236" s="39" t="n"/>
      <c r="Q236" s="39" t="n"/>
      <c r="R236" s="39" t="n"/>
      <c r="S236" s="39" t="n"/>
      <c r="T236" s="39" t="n"/>
      <c r="U236" s="39" t="n"/>
      <c r="V236" s="39" t="n"/>
      <c r="W236" s="34" t="n"/>
      <c r="X236" s="39" t="n"/>
      <c r="Y236" s="40" t="n"/>
      <c r="Z236" s="158">
        <f>IF(OR(Y236="",X236=""),"",IFERROR(Y236*INDEX(FXRates[USD per unit],MATCH(X236,FXRates[Currency],0)),"No rate"))</f>
        <v/>
      </c>
      <c r="AA236" s="38" t="n"/>
      <c r="AB236" s="38" t="n"/>
      <c r="AC236" s="41">
        <f>IF(A236="","",IF(COUNTIF($A$6:$A$504,A236)&gt;1,"⚠ Duplicate",""))</f>
        <v/>
      </c>
      <c r="AD236" s="42" t="n"/>
      <c r="AE236" s="42" t="n"/>
      <c r="AF236" s="42" t="n"/>
      <c r="AG236" s="42" t="n"/>
      <c r="AH236" s="42" t="n"/>
      <c r="AI236" s="42" t="n"/>
      <c r="AJ236" s="42" t="n"/>
      <c r="AK236" s="42" t="n"/>
      <c r="AL236" s="42" t="n"/>
      <c r="AM236" s="42" t="n"/>
      <c r="AN236" s="42" t="n"/>
      <c r="AO236" s="42" t="n"/>
      <c r="AP236" s="42" t="n"/>
      <c r="AQ236" s="42" t="n"/>
    </row>
    <row r="237" ht="18" customHeight="1" s="74">
      <c r="A237" s="32" t="n"/>
      <c r="B237" s="32" t="n"/>
      <c r="C237" s="32" t="n"/>
      <c r="D237" s="32" t="n"/>
      <c r="E237" s="33" t="n"/>
      <c r="F237" s="33" t="n"/>
      <c r="G237" s="33" t="n"/>
      <c r="H237" s="33" t="n"/>
      <c r="I237" s="33" t="n"/>
      <c r="J237" s="33" t="n"/>
      <c r="K237" s="33" t="n"/>
      <c r="L237" s="33" t="n"/>
      <c r="M237" s="33" t="n"/>
      <c r="N237" s="33" t="n"/>
      <c r="O237" s="33" t="n"/>
      <c r="P237" s="33" t="n"/>
      <c r="Q237" s="33" t="n"/>
      <c r="R237" s="33" t="n"/>
      <c r="S237" s="33" t="n"/>
      <c r="T237" s="33" t="n"/>
      <c r="U237" s="33" t="n"/>
      <c r="V237" s="33" t="n"/>
      <c r="W237" s="34" t="n"/>
      <c r="X237" s="33" t="n"/>
      <c r="Y237" s="35" t="n"/>
      <c r="Z237" s="157">
        <f>IF(OR(Y237="",X237=""),"",IFERROR(Y237*INDEX(FXRates[USD per unit],MATCH(X237,FXRates[Currency],0)),"No rate"))</f>
        <v/>
      </c>
      <c r="AA237" s="32" t="n"/>
      <c r="AB237" s="32" t="n"/>
      <c r="AC237" s="36">
        <f>IF(A237="","",IF(COUNTIF($A$6:$A$504,A237)&gt;1,"⚠ Duplicate",""))</f>
        <v/>
      </c>
      <c r="AD237" s="43" t="n"/>
      <c r="AE237" s="43" t="n"/>
      <c r="AF237" s="43" t="n"/>
      <c r="AG237" s="43" t="n"/>
      <c r="AH237" s="43" t="n"/>
      <c r="AI237" s="43" t="n"/>
      <c r="AJ237" s="43" t="n"/>
      <c r="AK237" s="43" t="n"/>
      <c r="AL237" s="43" t="n"/>
      <c r="AM237" s="43" t="n"/>
      <c r="AN237" s="43" t="n"/>
      <c r="AO237" s="43" t="n"/>
      <c r="AP237" s="43" t="n"/>
      <c r="AQ237" s="43" t="n"/>
    </row>
    <row r="238" ht="18" customHeight="1" s="74">
      <c r="A238" s="38" t="n"/>
      <c r="B238" s="38" t="n"/>
      <c r="C238" s="38" t="n"/>
      <c r="D238" s="38" t="n"/>
      <c r="E238" s="39" t="n"/>
      <c r="F238" s="39" t="n"/>
      <c r="G238" s="39" t="n"/>
      <c r="H238" s="39" t="n"/>
      <c r="I238" s="39" t="n"/>
      <c r="J238" s="39" t="n"/>
      <c r="K238" s="39" t="n"/>
      <c r="L238" s="39" t="n"/>
      <c r="M238" s="39" t="n"/>
      <c r="N238" s="39" t="n"/>
      <c r="O238" s="39" t="n"/>
      <c r="P238" s="39" t="n"/>
      <c r="Q238" s="39" t="n"/>
      <c r="R238" s="39" t="n"/>
      <c r="S238" s="39" t="n"/>
      <c r="T238" s="39" t="n"/>
      <c r="U238" s="39" t="n"/>
      <c r="V238" s="39" t="n"/>
      <c r="W238" s="34" t="n"/>
      <c r="X238" s="39" t="n"/>
      <c r="Y238" s="40" t="n"/>
      <c r="Z238" s="158">
        <f>IF(OR(Y238="",X238=""),"",IFERROR(Y238*INDEX(FXRates[USD per unit],MATCH(X238,FXRates[Currency],0)),"No rate"))</f>
        <v/>
      </c>
      <c r="AA238" s="38" t="n"/>
      <c r="AB238" s="38" t="n"/>
      <c r="AC238" s="41">
        <f>IF(A238="","",IF(COUNTIF($A$6:$A$504,A238)&gt;1,"⚠ Duplicate",""))</f>
        <v/>
      </c>
      <c r="AD238" s="42" t="n"/>
      <c r="AE238" s="42" t="n"/>
      <c r="AF238" s="42" t="n"/>
      <c r="AG238" s="42" t="n"/>
      <c r="AH238" s="42" t="n"/>
      <c r="AI238" s="42" t="n"/>
      <c r="AJ238" s="42" t="n"/>
      <c r="AK238" s="42" t="n"/>
      <c r="AL238" s="42" t="n"/>
      <c r="AM238" s="42" t="n"/>
      <c r="AN238" s="42" t="n"/>
      <c r="AO238" s="42" t="n"/>
      <c r="AP238" s="42" t="n"/>
      <c r="AQ238" s="42" t="n"/>
    </row>
    <row r="239" ht="18" customHeight="1" s="74">
      <c r="A239" s="32" t="n"/>
      <c r="B239" s="32" t="n"/>
      <c r="C239" s="32" t="n"/>
      <c r="D239" s="32" t="n"/>
      <c r="E239" s="33" t="n"/>
      <c r="F239" s="33" t="n"/>
      <c r="G239" s="33" t="n"/>
      <c r="H239" s="33" t="n"/>
      <c r="I239" s="33" t="n"/>
      <c r="J239" s="33" t="n"/>
      <c r="K239" s="33" t="n"/>
      <c r="L239" s="33" t="n"/>
      <c r="M239" s="33" t="n"/>
      <c r="N239" s="33" t="n"/>
      <c r="O239" s="33" t="n"/>
      <c r="P239" s="33" t="n"/>
      <c r="Q239" s="33" t="n"/>
      <c r="R239" s="33" t="n"/>
      <c r="S239" s="33" t="n"/>
      <c r="T239" s="33" t="n"/>
      <c r="U239" s="33" t="n"/>
      <c r="V239" s="33" t="n"/>
      <c r="W239" s="34" t="n"/>
      <c r="X239" s="33" t="n"/>
      <c r="Y239" s="35" t="n"/>
      <c r="Z239" s="157">
        <f>IF(OR(Y239="",X239=""),"",IFERROR(Y239*INDEX(FXRates[USD per unit],MATCH(X239,FXRates[Currency],0)),"No rate"))</f>
        <v/>
      </c>
      <c r="AA239" s="32" t="n"/>
      <c r="AB239" s="32" t="n"/>
      <c r="AC239" s="36">
        <f>IF(A239="","",IF(COUNTIF($A$6:$A$504,A239)&gt;1,"⚠ Duplicate",""))</f>
        <v/>
      </c>
      <c r="AD239" s="43" t="n"/>
      <c r="AE239" s="43" t="n"/>
      <c r="AF239" s="43" t="n"/>
      <c r="AG239" s="43" t="n"/>
      <c r="AH239" s="43" t="n"/>
      <c r="AI239" s="43" t="n"/>
      <c r="AJ239" s="43" t="n"/>
      <c r="AK239" s="43" t="n"/>
      <c r="AL239" s="43" t="n"/>
      <c r="AM239" s="43" t="n"/>
      <c r="AN239" s="43" t="n"/>
      <c r="AO239" s="43" t="n"/>
      <c r="AP239" s="43" t="n"/>
      <c r="AQ239" s="43" t="n"/>
    </row>
    <row r="240" ht="18" customHeight="1" s="74">
      <c r="A240" s="38" t="n"/>
      <c r="B240" s="38" t="n"/>
      <c r="C240" s="38" t="n"/>
      <c r="D240" s="38" t="n"/>
      <c r="E240" s="39" t="n"/>
      <c r="F240" s="39" t="n"/>
      <c r="G240" s="39" t="n"/>
      <c r="H240" s="39" t="n"/>
      <c r="I240" s="39" t="n"/>
      <c r="J240" s="39" t="n"/>
      <c r="K240" s="39" t="n"/>
      <c r="L240" s="39" t="n"/>
      <c r="M240" s="39" t="n"/>
      <c r="N240" s="39" t="n"/>
      <c r="O240" s="39" t="n"/>
      <c r="P240" s="39" t="n"/>
      <c r="Q240" s="39" t="n"/>
      <c r="R240" s="39" t="n"/>
      <c r="S240" s="39" t="n"/>
      <c r="T240" s="39" t="n"/>
      <c r="U240" s="39" t="n"/>
      <c r="V240" s="39" t="n"/>
      <c r="W240" s="34" t="n"/>
      <c r="X240" s="39" t="n"/>
      <c r="Y240" s="40" t="n"/>
      <c r="Z240" s="158">
        <f>IF(OR(Y240="",X240=""),"",IFERROR(Y240*INDEX(FXRates[USD per unit],MATCH(X240,FXRates[Currency],0)),"No rate"))</f>
        <v/>
      </c>
      <c r="AA240" s="38" t="n"/>
      <c r="AB240" s="38" t="n"/>
      <c r="AC240" s="41">
        <f>IF(A240="","",IF(COUNTIF($A$6:$A$504,A240)&gt;1,"⚠ Duplicate",""))</f>
        <v/>
      </c>
      <c r="AD240" s="42" t="n"/>
      <c r="AE240" s="42" t="n"/>
      <c r="AF240" s="42" t="n"/>
      <c r="AG240" s="42" t="n"/>
      <c r="AH240" s="42" t="n"/>
      <c r="AI240" s="42" t="n"/>
      <c r="AJ240" s="42" t="n"/>
      <c r="AK240" s="42" t="n"/>
      <c r="AL240" s="42" t="n"/>
      <c r="AM240" s="42" t="n"/>
      <c r="AN240" s="42" t="n"/>
      <c r="AO240" s="42" t="n"/>
      <c r="AP240" s="42" t="n"/>
      <c r="AQ240" s="42" t="n"/>
    </row>
    <row r="241" ht="18" customHeight="1" s="74">
      <c r="A241" s="32" t="n"/>
      <c r="B241" s="32" t="n"/>
      <c r="C241" s="32" t="n"/>
      <c r="D241" s="32" t="n"/>
      <c r="E241" s="33" t="n"/>
      <c r="F241" s="33" t="n"/>
      <c r="G241" s="33" t="n"/>
      <c r="H241" s="33" t="n"/>
      <c r="I241" s="33" t="n"/>
      <c r="J241" s="33" t="n"/>
      <c r="K241" s="33" t="n"/>
      <c r="L241" s="33" t="n"/>
      <c r="M241" s="33" t="n"/>
      <c r="N241" s="33" t="n"/>
      <c r="O241" s="33" t="n"/>
      <c r="P241" s="33" t="n"/>
      <c r="Q241" s="33" t="n"/>
      <c r="R241" s="33" t="n"/>
      <c r="S241" s="33" t="n"/>
      <c r="T241" s="33" t="n"/>
      <c r="U241" s="33" t="n"/>
      <c r="V241" s="33" t="n"/>
      <c r="W241" s="34" t="n"/>
      <c r="X241" s="33" t="n"/>
      <c r="Y241" s="35" t="n"/>
      <c r="Z241" s="157">
        <f>IF(OR(Y241="",X241=""),"",IFERROR(Y241*INDEX(FXRates[USD per unit],MATCH(X241,FXRates[Currency],0)),"No rate"))</f>
        <v/>
      </c>
      <c r="AA241" s="32" t="n"/>
      <c r="AB241" s="32" t="n"/>
      <c r="AC241" s="36">
        <f>IF(A241="","",IF(COUNTIF($A$6:$A$504,A241)&gt;1,"⚠ Duplicate",""))</f>
        <v/>
      </c>
      <c r="AD241" s="43" t="n"/>
      <c r="AE241" s="43" t="n"/>
      <c r="AF241" s="43" t="n"/>
      <c r="AG241" s="43" t="n"/>
      <c r="AH241" s="43" t="n"/>
      <c r="AI241" s="43" t="n"/>
      <c r="AJ241" s="43" t="n"/>
      <c r="AK241" s="43" t="n"/>
      <c r="AL241" s="43" t="n"/>
      <c r="AM241" s="43" t="n"/>
      <c r="AN241" s="43" t="n"/>
      <c r="AO241" s="43" t="n"/>
      <c r="AP241" s="43" t="n"/>
      <c r="AQ241" s="43" t="n"/>
    </row>
    <row r="242" ht="18" customHeight="1" s="74">
      <c r="A242" s="38" t="n"/>
      <c r="B242" s="38" t="n"/>
      <c r="C242" s="38" t="n"/>
      <c r="D242" s="38" t="n"/>
      <c r="E242" s="39" t="n"/>
      <c r="F242" s="39" t="n"/>
      <c r="G242" s="39" t="n"/>
      <c r="H242" s="39" t="n"/>
      <c r="I242" s="39" t="n"/>
      <c r="J242" s="39" t="n"/>
      <c r="K242" s="39" t="n"/>
      <c r="L242" s="39" t="n"/>
      <c r="M242" s="39" t="n"/>
      <c r="N242" s="39" t="n"/>
      <c r="O242" s="39" t="n"/>
      <c r="P242" s="39" t="n"/>
      <c r="Q242" s="39" t="n"/>
      <c r="R242" s="39" t="n"/>
      <c r="S242" s="39" t="n"/>
      <c r="T242" s="39" t="n"/>
      <c r="U242" s="39" t="n"/>
      <c r="V242" s="39" t="n"/>
      <c r="W242" s="34" t="n"/>
      <c r="X242" s="39" t="n"/>
      <c r="Y242" s="40" t="n"/>
      <c r="Z242" s="158">
        <f>IF(OR(Y242="",X242=""),"",IFERROR(Y242*INDEX(FXRates[USD per unit],MATCH(X242,FXRates[Currency],0)),"No rate"))</f>
        <v/>
      </c>
      <c r="AA242" s="38" t="n"/>
      <c r="AB242" s="38" t="n"/>
      <c r="AC242" s="41">
        <f>IF(A242="","",IF(COUNTIF($A$6:$A$504,A242)&gt;1,"⚠ Duplicate",""))</f>
        <v/>
      </c>
      <c r="AD242" s="42" t="n"/>
      <c r="AE242" s="42" t="n"/>
      <c r="AF242" s="42" t="n"/>
      <c r="AG242" s="42" t="n"/>
      <c r="AH242" s="42" t="n"/>
      <c r="AI242" s="42" t="n"/>
      <c r="AJ242" s="42" t="n"/>
      <c r="AK242" s="42" t="n"/>
      <c r="AL242" s="42" t="n"/>
      <c r="AM242" s="42" t="n"/>
      <c r="AN242" s="42" t="n"/>
      <c r="AO242" s="42" t="n"/>
      <c r="AP242" s="42" t="n"/>
      <c r="AQ242" s="42" t="n"/>
    </row>
    <row r="243" ht="18" customHeight="1" s="74">
      <c r="A243" s="32" t="n"/>
      <c r="B243" s="32" t="n"/>
      <c r="C243" s="32" t="n"/>
      <c r="D243" s="32" t="n"/>
      <c r="E243" s="33" t="n"/>
      <c r="F243" s="33" t="n"/>
      <c r="G243" s="33" t="n"/>
      <c r="H243" s="33" t="n"/>
      <c r="I243" s="33" t="n"/>
      <c r="J243" s="33" t="n"/>
      <c r="K243" s="33" t="n"/>
      <c r="L243" s="33" t="n"/>
      <c r="M243" s="33" t="n"/>
      <c r="N243" s="33" t="n"/>
      <c r="O243" s="33" t="n"/>
      <c r="P243" s="33" t="n"/>
      <c r="Q243" s="33" t="n"/>
      <c r="R243" s="33" t="n"/>
      <c r="S243" s="33" t="n"/>
      <c r="T243" s="33" t="n"/>
      <c r="U243" s="33" t="n"/>
      <c r="V243" s="33" t="n"/>
      <c r="W243" s="34" t="n"/>
      <c r="X243" s="33" t="n"/>
      <c r="Y243" s="35" t="n"/>
      <c r="Z243" s="157">
        <f>IF(OR(Y243="",X243=""),"",IFERROR(Y243*INDEX(FXRates[USD per unit],MATCH(X243,FXRates[Currency],0)),"No rate"))</f>
        <v/>
      </c>
      <c r="AA243" s="32" t="n"/>
      <c r="AB243" s="32" t="n"/>
      <c r="AC243" s="36">
        <f>IF(A243="","",IF(COUNTIF($A$6:$A$504,A243)&gt;1,"⚠ Duplicate",""))</f>
        <v/>
      </c>
      <c r="AD243" s="43" t="n"/>
      <c r="AE243" s="43" t="n"/>
      <c r="AF243" s="43" t="n"/>
      <c r="AG243" s="43" t="n"/>
      <c r="AH243" s="43" t="n"/>
      <c r="AI243" s="43" t="n"/>
      <c r="AJ243" s="43" t="n"/>
      <c r="AK243" s="43" t="n"/>
      <c r="AL243" s="43" t="n"/>
      <c r="AM243" s="43" t="n"/>
      <c r="AN243" s="43" t="n"/>
      <c r="AO243" s="43" t="n"/>
      <c r="AP243" s="43" t="n"/>
      <c r="AQ243" s="43" t="n"/>
    </row>
    <row r="244" ht="18" customHeight="1" s="74">
      <c r="A244" s="38" t="n"/>
      <c r="B244" s="38" t="n"/>
      <c r="C244" s="38" t="n"/>
      <c r="D244" s="38" t="n"/>
      <c r="E244" s="39" t="n"/>
      <c r="F244" s="39" t="n"/>
      <c r="G244" s="39" t="n"/>
      <c r="H244" s="39" t="n"/>
      <c r="I244" s="39" t="n"/>
      <c r="J244" s="39" t="n"/>
      <c r="K244" s="39" t="n"/>
      <c r="L244" s="39" t="n"/>
      <c r="M244" s="39" t="n"/>
      <c r="N244" s="39" t="n"/>
      <c r="O244" s="39" t="n"/>
      <c r="P244" s="39" t="n"/>
      <c r="Q244" s="39" t="n"/>
      <c r="R244" s="39" t="n"/>
      <c r="S244" s="39" t="n"/>
      <c r="T244" s="39" t="n"/>
      <c r="U244" s="39" t="n"/>
      <c r="V244" s="39" t="n"/>
      <c r="W244" s="34" t="n"/>
      <c r="X244" s="39" t="n"/>
      <c r="Y244" s="40" t="n"/>
      <c r="Z244" s="158">
        <f>IF(OR(Y244="",X244=""),"",IFERROR(Y244*INDEX(FXRates[USD per unit],MATCH(X244,FXRates[Currency],0)),"No rate"))</f>
        <v/>
      </c>
      <c r="AA244" s="38" t="n"/>
      <c r="AB244" s="38" t="n"/>
      <c r="AC244" s="41">
        <f>IF(A244="","",IF(COUNTIF($A$6:$A$504,A244)&gt;1,"⚠ Duplicate",""))</f>
        <v/>
      </c>
      <c r="AD244" s="42" t="n"/>
      <c r="AE244" s="42" t="n"/>
      <c r="AF244" s="42" t="n"/>
      <c r="AG244" s="42" t="n"/>
      <c r="AH244" s="42" t="n"/>
      <c r="AI244" s="42" t="n"/>
      <c r="AJ244" s="42" t="n"/>
      <c r="AK244" s="42" t="n"/>
      <c r="AL244" s="42" t="n"/>
      <c r="AM244" s="42" t="n"/>
      <c r="AN244" s="42" t="n"/>
      <c r="AO244" s="42" t="n"/>
      <c r="AP244" s="42" t="n"/>
      <c r="AQ244" s="42" t="n"/>
    </row>
    <row r="245" ht="18" customHeight="1" s="74">
      <c r="A245" s="32" t="n"/>
      <c r="B245" s="32" t="n"/>
      <c r="C245" s="32" t="n"/>
      <c r="D245" s="32" t="n"/>
      <c r="E245" s="33" t="n"/>
      <c r="F245" s="33" t="n"/>
      <c r="G245" s="33" t="n"/>
      <c r="H245" s="33" t="n"/>
      <c r="I245" s="33" t="n"/>
      <c r="J245" s="33" t="n"/>
      <c r="K245" s="33" t="n"/>
      <c r="L245" s="33" t="n"/>
      <c r="M245" s="33" t="n"/>
      <c r="N245" s="33" t="n"/>
      <c r="O245" s="33" t="n"/>
      <c r="P245" s="33" t="n"/>
      <c r="Q245" s="33" t="n"/>
      <c r="R245" s="33" t="n"/>
      <c r="S245" s="33" t="n"/>
      <c r="T245" s="33" t="n"/>
      <c r="U245" s="33" t="n"/>
      <c r="V245" s="33" t="n"/>
      <c r="W245" s="34" t="n"/>
      <c r="X245" s="33" t="n"/>
      <c r="Y245" s="35" t="n"/>
      <c r="Z245" s="157">
        <f>IF(OR(Y245="",X245=""),"",IFERROR(Y245*INDEX(FXRates[USD per unit],MATCH(X245,FXRates[Currency],0)),"No rate"))</f>
        <v/>
      </c>
      <c r="AA245" s="32" t="n"/>
      <c r="AB245" s="32" t="n"/>
      <c r="AC245" s="36">
        <f>IF(A245="","",IF(COUNTIF($A$6:$A$504,A245)&gt;1,"⚠ Duplicate",""))</f>
        <v/>
      </c>
      <c r="AD245" s="43" t="n"/>
      <c r="AE245" s="43" t="n"/>
      <c r="AF245" s="43" t="n"/>
      <c r="AG245" s="43" t="n"/>
      <c r="AH245" s="43" t="n"/>
      <c r="AI245" s="43" t="n"/>
      <c r="AJ245" s="43" t="n"/>
      <c r="AK245" s="43" t="n"/>
      <c r="AL245" s="43" t="n"/>
      <c r="AM245" s="43" t="n"/>
      <c r="AN245" s="43" t="n"/>
      <c r="AO245" s="43" t="n"/>
      <c r="AP245" s="43" t="n"/>
      <c r="AQ245" s="43" t="n"/>
    </row>
    <row r="246" ht="18" customHeight="1" s="74">
      <c r="A246" s="38" t="n"/>
      <c r="B246" s="38" t="n"/>
      <c r="C246" s="38" t="n"/>
      <c r="D246" s="38" t="n"/>
      <c r="E246" s="39" t="n"/>
      <c r="F246" s="39" t="n"/>
      <c r="G246" s="39" t="n"/>
      <c r="H246" s="39" t="n"/>
      <c r="I246" s="39" t="n"/>
      <c r="J246" s="39" t="n"/>
      <c r="K246" s="39" t="n"/>
      <c r="L246" s="39" t="n"/>
      <c r="M246" s="39" t="n"/>
      <c r="N246" s="39" t="n"/>
      <c r="O246" s="39" t="n"/>
      <c r="P246" s="39" t="n"/>
      <c r="Q246" s="39" t="n"/>
      <c r="R246" s="39" t="n"/>
      <c r="S246" s="39" t="n"/>
      <c r="T246" s="39" t="n"/>
      <c r="U246" s="39" t="n"/>
      <c r="V246" s="39" t="n"/>
      <c r="W246" s="34" t="n"/>
      <c r="X246" s="39" t="n"/>
      <c r="Y246" s="40" t="n"/>
      <c r="Z246" s="158">
        <f>IF(OR(Y246="",X246=""),"",IFERROR(Y246*INDEX(FXRates[USD per unit],MATCH(X246,FXRates[Currency],0)),"No rate"))</f>
        <v/>
      </c>
      <c r="AA246" s="38" t="n"/>
      <c r="AB246" s="38" t="n"/>
      <c r="AC246" s="41">
        <f>IF(A246="","",IF(COUNTIF($A$6:$A$504,A246)&gt;1,"⚠ Duplicate",""))</f>
        <v/>
      </c>
      <c r="AD246" s="42" t="n"/>
      <c r="AE246" s="42" t="n"/>
      <c r="AF246" s="42" t="n"/>
      <c r="AG246" s="42" t="n"/>
      <c r="AH246" s="42" t="n"/>
      <c r="AI246" s="42" t="n"/>
      <c r="AJ246" s="42" t="n"/>
      <c r="AK246" s="42" t="n"/>
      <c r="AL246" s="42" t="n"/>
      <c r="AM246" s="42" t="n"/>
      <c r="AN246" s="42" t="n"/>
      <c r="AO246" s="42" t="n"/>
      <c r="AP246" s="42" t="n"/>
      <c r="AQ246" s="42" t="n"/>
    </row>
    <row r="247" ht="18" customHeight="1" s="74">
      <c r="A247" s="32" t="n"/>
      <c r="B247" s="32" t="n"/>
      <c r="C247" s="32" t="n"/>
      <c r="D247" s="32" t="n"/>
      <c r="E247" s="33" t="n"/>
      <c r="F247" s="33" t="n"/>
      <c r="G247" s="33" t="n"/>
      <c r="H247" s="33" t="n"/>
      <c r="I247" s="33" t="n"/>
      <c r="J247" s="33" t="n"/>
      <c r="K247" s="33" t="n"/>
      <c r="L247" s="33" t="n"/>
      <c r="M247" s="33" t="n"/>
      <c r="N247" s="33" t="n"/>
      <c r="O247" s="33" t="n"/>
      <c r="P247" s="33" t="n"/>
      <c r="Q247" s="33" t="n"/>
      <c r="R247" s="33" t="n"/>
      <c r="S247" s="33" t="n"/>
      <c r="T247" s="33" t="n"/>
      <c r="U247" s="33" t="n"/>
      <c r="V247" s="33" t="n"/>
      <c r="W247" s="34" t="n"/>
      <c r="X247" s="33" t="n"/>
      <c r="Y247" s="35" t="n"/>
      <c r="Z247" s="157">
        <f>IF(OR(Y247="",X247=""),"",IFERROR(Y247*INDEX(FXRates[USD per unit],MATCH(X247,FXRates[Currency],0)),"No rate"))</f>
        <v/>
      </c>
      <c r="AA247" s="32" t="n"/>
      <c r="AB247" s="32" t="n"/>
      <c r="AC247" s="36">
        <f>IF(A247="","",IF(COUNTIF($A$6:$A$504,A247)&gt;1,"⚠ Duplicate",""))</f>
        <v/>
      </c>
      <c r="AD247" s="43" t="n"/>
      <c r="AE247" s="43" t="n"/>
      <c r="AF247" s="43" t="n"/>
      <c r="AG247" s="43" t="n"/>
      <c r="AH247" s="43" t="n"/>
      <c r="AI247" s="43" t="n"/>
      <c r="AJ247" s="43" t="n"/>
      <c r="AK247" s="43" t="n"/>
      <c r="AL247" s="43" t="n"/>
      <c r="AM247" s="43" t="n"/>
      <c r="AN247" s="43" t="n"/>
      <c r="AO247" s="43" t="n"/>
      <c r="AP247" s="43" t="n"/>
      <c r="AQ247" s="43" t="n"/>
    </row>
    <row r="248" ht="18" customHeight="1" s="74">
      <c r="A248" s="38" t="n"/>
      <c r="B248" s="38" t="n"/>
      <c r="C248" s="38" t="n"/>
      <c r="D248" s="38" t="n"/>
      <c r="E248" s="39" t="n"/>
      <c r="F248" s="39" t="n"/>
      <c r="G248" s="39" t="n"/>
      <c r="H248" s="39" t="n"/>
      <c r="I248" s="39" t="n"/>
      <c r="J248" s="39" t="n"/>
      <c r="K248" s="39" t="n"/>
      <c r="L248" s="39" t="n"/>
      <c r="M248" s="39" t="n"/>
      <c r="N248" s="39" t="n"/>
      <c r="O248" s="39" t="n"/>
      <c r="P248" s="39" t="n"/>
      <c r="Q248" s="39" t="n"/>
      <c r="R248" s="39" t="n"/>
      <c r="S248" s="39" t="n"/>
      <c r="T248" s="39" t="n"/>
      <c r="U248" s="39" t="n"/>
      <c r="V248" s="39" t="n"/>
      <c r="W248" s="34" t="n"/>
      <c r="X248" s="39" t="n"/>
      <c r="Y248" s="40" t="n"/>
      <c r="Z248" s="158">
        <f>IF(OR(Y248="",X248=""),"",IFERROR(Y248*INDEX(FXRates[USD per unit],MATCH(X248,FXRates[Currency],0)),"No rate"))</f>
        <v/>
      </c>
      <c r="AA248" s="38" t="n"/>
      <c r="AB248" s="38" t="n"/>
      <c r="AC248" s="41">
        <f>IF(A248="","",IF(COUNTIF($A$6:$A$504,A248)&gt;1,"⚠ Duplicate",""))</f>
        <v/>
      </c>
      <c r="AD248" s="42" t="n"/>
      <c r="AE248" s="42" t="n"/>
      <c r="AF248" s="42" t="n"/>
      <c r="AG248" s="42" t="n"/>
      <c r="AH248" s="42" t="n"/>
      <c r="AI248" s="42" t="n"/>
      <c r="AJ248" s="42" t="n"/>
      <c r="AK248" s="42" t="n"/>
      <c r="AL248" s="42" t="n"/>
      <c r="AM248" s="42" t="n"/>
      <c r="AN248" s="42" t="n"/>
      <c r="AO248" s="42" t="n"/>
      <c r="AP248" s="42" t="n"/>
      <c r="AQ248" s="42" t="n"/>
    </row>
    <row r="249" ht="18" customHeight="1" s="74">
      <c r="A249" s="32" t="n"/>
      <c r="B249" s="32" t="n"/>
      <c r="C249" s="32" t="n"/>
      <c r="D249" s="32" t="n"/>
      <c r="E249" s="33" t="n"/>
      <c r="F249" s="33" t="n"/>
      <c r="G249" s="33" t="n"/>
      <c r="H249" s="33" t="n"/>
      <c r="I249" s="33" t="n"/>
      <c r="J249" s="33" t="n"/>
      <c r="K249" s="33" t="n"/>
      <c r="L249" s="33" t="n"/>
      <c r="M249" s="33" t="n"/>
      <c r="N249" s="33" t="n"/>
      <c r="O249" s="33" t="n"/>
      <c r="P249" s="33" t="n"/>
      <c r="Q249" s="33" t="n"/>
      <c r="R249" s="33" t="n"/>
      <c r="S249" s="33" t="n"/>
      <c r="T249" s="33" t="n"/>
      <c r="U249" s="33" t="n"/>
      <c r="V249" s="33" t="n"/>
      <c r="W249" s="34" t="n"/>
      <c r="X249" s="33" t="n"/>
      <c r="Y249" s="35" t="n"/>
      <c r="Z249" s="157">
        <f>IF(OR(Y249="",X249=""),"",IFERROR(Y249*INDEX(FXRates[USD per unit],MATCH(X249,FXRates[Currency],0)),"No rate"))</f>
        <v/>
      </c>
      <c r="AA249" s="32" t="n"/>
      <c r="AB249" s="32" t="n"/>
      <c r="AC249" s="36">
        <f>IF(A249="","",IF(COUNTIF($A$6:$A$504,A249)&gt;1,"⚠ Duplicate",""))</f>
        <v/>
      </c>
      <c r="AD249" s="43" t="n"/>
      <c r="AE249" s="43" t="n"/>
      <c r="AF249" s="43" t="n"/>
      <c r="AG249" s="43" t="n"/>
      <c r="AH249" s="43" t="n"/>
      <c r="AI249" s="43" t="n"/>
      <c r="AJ249" s="43" t="n"/>
      <c r="AK249" s="43" t="n"/>
      <c r="AL249" s="43" t="n"/>
      <c r="AM249" s="43" t="n"/>
      <c r="AN249" s="43" t="n"/>
      <c r="AO249" s="43" t="n"/>
      <c r="AP249" s="43" t="n"/>
      <c r="AQ249" s="43" t="n"/>
    </row>
    <row r="250" ht="18" customHeight="1" s="74">
      <c r="A250" s="38" t="n"/>
      <c r="B250" s="38" t="n"/>
      <c r="C250" s="38" t="n"/>
      <c r="D250" s="38" t="n"/>
      <c r="E250" s="39" t="n"/>
      <c r="F250" s="39" t="n"/>
      <c r="G250" s="39" t="n"/>
      <c r="H250" s="39" t="n"/>
      <c r="I250" s="39" t="n"/>
      <c r="J250" s="39" t="n"/>
      <c r="K250" s="39" t="n"/>
      <c r="L250" s="39" t="n"/>
      <c r="M250" s="39" t="n"/>
      <c r="N250" s="39" t="n"/>
      <c r="O250" s="39" t="n"/>
      <c r="P250" s="39" t="n"/>
      <c r="Q250" s="39" t="n"/>
      <c r="R250" s="39" t="n"/>
      <c r="S250" s="39" t="n"/>
      <c r="T250" s="39" t="n"/>
      <c r="U250" s="39" t="n"/>
      <c r="V250" s="39" t="n"/>
      <c r="W250" s="34" t="n"/>
      <c r="X250" s="39" t="n"/>
      <c r="Y250" s="40" t="n"/>
      <c r="Z250" s="158">
        <f>IF(OR(Y250="",X250=""),"",IFERROR(Y250*INDEX(FXRates[USD per unit],MATCH(X250,FXRates[Currency],0)),"No rate"))</f>
        <v/>
      </c>
      <c r="AA250" s="38" t="n"/>
      <c r="AB250" s="38" t="n"/>
      <c r="AC250" s="41">
        <f>IF(A250="","",IF(COUNTIF($A$6:$A$504,A250)&gt;1,"⚠ Duplicate",""))</f>
        <v/>
      </c>
      <c r="AD250" s="42" t="n"/>
      <c r="AE250" s="42" t="n"/>
      <c r="AF250" s="42" t="n"/>
      <c r="AG250" s="42" t="n"/>
      <c r="AH250" s="42" t="n"/>
      <c r="AI250" s="42" t="n"/>
      <c r="AJ250" s="42" t="n"/>
      <c r="AK250" s="42" t="n"/>
      <c r="AL250" s="42" t="n"/>
      <c r="AM250" s="42" t="n"/>
      <c r="AN250" s="42" t="n"/>
      <c r="AO250" s="42" t="n"/>
      <c r="AP250" s="42" t="n"/>
      <c r="AQ250" s="42" t="n"/>
    </row>
    <row r="251" ht="18" customHeight="1" s="74">
      <c r="A251" s="32" t="n"/>
      <c r="B251" s="32" t="n"/>
      <c r="C251" s="32" t="n"/>
      <c r="D251" s="32" t="n"/>
      <c r="E251" s="33" t="n"/>
      <c r="F251" s="33" t="n"/>
      <c r="G251" s="33" t="n"/>
      <c r="H251" s="33" t="n"/>
      <c r="I251" s="33" t="n"/>
      <c r="J251" s="33" t="n"/>
      <c r="K251" s="33" t="n"/>
      <c r="L251" s="33" t="n"/>
      <c r="M251" s="33" t="n"/>
      <c r="N251" s="33" t="n"/>
      <c r="O251" s="33" t="n"/>
      <c r="P251" s="33" t="n"/>
      <c r="Q251" s="33" t="n"/>
      <c r="R251" s="33" t="n"/>
      <c r="S251" s="33" t="n"/>
      <c r="T251" s="33" t="n"/>
      <c r="U251" s="33" t="n"/>
      <c r="V251" s="33" t="n"/>
      <c r="W251" s="34" t="n"/>
      <c r="X251" s="33" t="n"/>
      <c r="Y251" s="35" t="n"/>
      <c r="Z251" s="157">
        <f>IF(OR(Y251="",X251=""),"",IFERROR(Y251*INDEX(FXRates[USD per unit],MATCH(X251,FXRates[Currency],0)),"No rate"))</f>
        <v/>
      </c>
      <c r="AA251" s="32" t="n"/>
      <c r="AB251" s="32" t="n"/>
      <c r="AC251" s="36">
        <f>IF(A251="","",IF(COUNTIF($A$6:$A$504,A251)&gt;1,"⚠ Duplicate",""))</f>
        <v/>
      </c>
      <c r="AD251" s="43" t="n"/>
      <c r="AE251" s="43" t="n"/>
      <c r="AF251" s="43" t="n"/>
      <c r="AG251" s="43" t="n"/>
      <c r="AH251" s="43" t="n"/>
      <c r="AI251" s="43" t="n"/>
      <c r="AJ251" s="43" t="n"/>
      <c r="AK251" s="43" t="n"/>
      <c r="AL251" s="43" t="n"/>
      <c r="AM251" s="43" t="n"/>
      <c r="AN251" s="43" t="n"/>
      <c r="AO251" s="43" t="n"/>
      <c r="AP251" s="43" t="n"/>
      <c r="AQ251" s="43" t="n"/>
    </row>
    <row r="252" ht="18" customHeight="1" s="74">
      <c r="A252" s="38" t="n"/>
      <c r="B252" s="38" t="n"/>
      <c r="C252" s="38" t="n"/>
      <c r="D252" s="38" t="n"/>
      <c r="E252" s="39" t="n"/>
      <c r="F252" s="39" t="n"/>
      <c r="G252" s="39" t="n"/>
      <c r="H252" s="39" t="n"/>
      <c r="I252" s="39" t="n"/>
      <c r="J252" s="39" t="n"/>
      <c r="K252" s="39" t="n"/>
      <c r="L252" s="39" t="n"/>
      <c r="M252" s="39" t="n"/>
      <c r="N252" s="39" t="n"/>
      <c r="O252" s="39" t="n"/>
      <c r="P252" s="39" t="n"/>
      <c r="Q252" s="39" t="n"/>
      <c r="R252" s="39" t="n"/>
      <c r="S252" s="39" t="n"/>
      <c r="T252" s="39" t="n"/>
      <c r="U252" s="39" t="n"/>
      <c r="V252" s="39" t="n"/>
      <c r="W252" s="34" t="n"/>
      <c r="X252" s="39" t="n"/>
      <c r="Y252" s="40" t="n"/>
      <c r="Z252" s="158">
        <f>IF(OR(Y252="",X252=""),"",IFERROR(Y252*INDEX(FXRates[USD per unit],MATCH(X252,FXRates[Currency],0)),"No rate"))</f>
        <v/>
      </c>
      <c r="AA252" s="38" t="n"/>
      <c r="AB252" s="38" t="n"/>
      <c r="AC252" s="41">
        <f>IF(A252="","",IF(COUNTIF($A$6:$A$504,A252)&gt;1,"⚠ Duplicate",""))</f>
        <v/>
      </c>
      <c r="AD252" s="42" t="n"/>
      <c r="AE252" s="42" t="n"/>
      <c r="AF252" s="42" t="n"/>
      <c r="AG252" s="42" t="n"/>
      <c r="AH252" s="42" t="n"/>
      <c r="AI252" s="42" t="n"/>
      <c r="AJ252" s="42" t="n"/>
      <c r="AK252" s="42" t="n"/>
      <c r="AL252" s="42" t="n"/>
      <c r="AM252" s="42" t="n"/>
      <c r="AN252" s="42" t="n"/>
      <c r="AO252" s="42" t="n"/>
      <c r="AP252" s="42" t="n"/>
      <c r="AQ252" s="42" t="n"/>
    </row>
    <row r="253" ht="18" customHeight="1" s="74">
      <c r="A253" s="32" t="n"/>
      <c r="B253" s="32" t="n"/>
      <c r="C253" s="32" t="n"/>
      <c r="D253" s="32" t="n"/>
      <c r="E253" s="33" t="n"/>
      <c r="F253" s="33" t="n"/>
      <c r="G253" s="33" t="n"/>
      <c r="H253" s="33" t="n"/>
      <c r="I253" s="33" t="n"/>
      <c r="J253" s="33" t="n"/>
      <c r="K253" s="33" t="n"/>
      <c r="L253" s="33" t="n"/>
      <c r="M253" s="33" t="n"/>
      <c r="N253" s="33" t="n"/>
      <c r="O253" s="33" t="n"/>
      <c r="P253" s="33" t="n"/>
      <c r="Q253" s="33" t="n"/>
      <c r="R253" s="33" t="n"/>
      <c r="S253" s="33" t="n"/>
      <c r="T253" s="33" t="n"/>
      <c r="U253" s="33" t="n"/>
      <c r="V253" s="33" t="n"/>
      <c r="W253" s="34" t="n"/>
      <c r="X253" s="33" t="n"/>
      <c r="Y253" s="35" t="n"/>
      <c r="Z253" s="157">
        <f>IF(OR(Y253="",X253=""),"",IFERROR(Y253*INDEX(FXRates[USD per unit],MATCH(X253,FXRates[Currency],0)),"No rate"))</f>
        <v/>
      </c>
      <c r="AA253" s="32" t="n"/>
      <c r="AB253" s="32" t="n"/>
      <c r="AC253" s="36">
        <f>IF(A253="","",IF(COUNTIF($A$6:$A$504,A253)&gt;1,"⚠ Duplicate",""))</f>
        <v/>
      </c>
      <c r="AD253" s="43" t="n"/>
      <c r="AE253" s="43" t="n"/>
      <c r="AF253" s="43" t="n"/>
      <c r="AG253" s="43" t="n"/>
      <c r="AH253" s="43" t="n"/>
      <c r="AI253" s="43" t="n"/>
      <c r="AJ253" s="43" t="n"/>
      <c r="AK253" s="43" t="n"/>
      <c r="AL253" s="43" t="n"/>
      <c r="AM253" s="43" t="n"/>
      <c r="AN253" s="43" t="n"/>
      <c r="AO253" s="43" t="n"/>
      <c r="AP253" s="43" t="n"/>
      <c r="AQ253" s="43" t="n"/>
    </row>
    <row r="254" ht="18" customHeight="1" s="74">
      <c r="A254" s="38" t="n"/>
      <c r="B254" s="38" t="n"/>
      <c r="C254" s="38" t="n"/>
      <c r="D254" s="38" t="n"/>
      <c r="E254" s="39" t="n"/>
      <c r="F254" s="39" t="n"/>
      <c r="G254" s="39" t="n"/>
      <c r="H254" s="39" t="n"/>
      <c r="I254" s="39" t="n"/>
      <c r="J254" s="39" t="n"/>
      <c r="K254" s="39" t="n"/>
      <c r="L254" s="39" t="n"/>
      <c r="M254" s="39" t="n"/>
      <c r="N254" s="39" t="n"/>
      <c r="O254" s="39" t="n"/>
      <c r="P254" s="39" t="n"/>
      <c r="Q254" s="39" t="n"/>
      <c r="R254" s="39" t="n"/>
      <c r="S254" s="39" t="n"/>
      <c r="T254" s="39" t="n"/>
      <c r="U254" s="39" t="n"/>
      <c r="V254" s="39" t="n"/>
      <c r="W254" s="34" t="n"/>
      <c r="X254" s="39" t="n"/>
      <c r="Y254" s="40" t="n"/>
      <c r="Z254" s="158">
        <f>IF(OR(Y254="",X254=""),"",IFERROR(Y254*INDEX(FXRates[USD per unit],MATCH(X254,FXRates[Currency],0)),"No rate"))</f>
        <v/>
      </c>
      <c r="AA254" s="38" t="n"/>
      <c r="AB254" s="38" t="n"/>
      <c r="AC254" s="41">
        <f>IF(A254="","",IF(COUNTIF($A$6:$A$504,A254)&gt;1,"⚠ Duplicate",""))</f>
        <v/>
      </c>
      <c r="AD254" s="42" t="n"/>
      <c r="AE254" s="42" t="n"/>
      <c r="AF254" s="42" t="n"/>
      <c r="AG254" s="42" t="n"/>
      <c r="AH254" s="42" t="n"/>
      <c r="AI254" s="42" t="n"/>
      <c r="AJ254" s="42" t="n"/>
      <c r="AK254" s="42" t="n"/>
      <c r="AL254" s="42" t="n"/>
      <c r="AM254" s="42" t="n"/>
      <c r="AN254" s="42" t="n"/>
      <c r="AO254" s="42" t="n"/>
      <c r="AP254" s="42" t="n"/>
      <c r="AQ254" s="42" t="n"/>
    </row>
    <row r="255" ht="18" customHeight="1" s="74">
      <c r="A255" s="32" t="n"/>
      <c r="B255" s="32" t="n"/>
      <c r="C255" s="32" t="n"/>
      <c r="D255" s="32" t="n"/>
      <c r="E255" s="33" t="n"/>
      <c r="F255" s="33" t="n"/>
      <c r="G255" s="33" t="n"/>
      <c r="H255" s="33" t="n"/>
      <c r="I255" s="33" t="n"/>
      <c r="J255" s="33" t="n"/>
      <c r="K255" s="33" t="n"/>
      <c r="L255" s="33" t="n"/>
      <c r="M255" s="33" t="n"/>
      <c r="N255" s="33" t="n"/>
      <c r="O255" s="33" t="n"/>
      <c r="P255" s="33" t="n"/>
      <c r="Q255" s="33" t="n"/>
      <c r="R255" s="33" t="n"/>
      <c r="S255" s="33" t="n"/>
      <c r="T255" s="33" t="n"/>
      <c r="U255" s="33" t="n"/>
      <c r="V255" s="33" t="n"/>
      <c r="W255" s="34" t="n"/>
      <c r="X255" s="33" t="n"/>
      <c r="Y255" s="35" t="n"/>
      <c r="Z255" s="157">
        <f>IF(OR(Y255="",X255=""),"",IFERROR(Y255*INDEX(FXRates[USD per unit],MATCH(X255,FXRates[Currency],0)),"No rate"))</f>
        <v/>
      </c>
      <c r="AA255" s="32" t="n"/>
      <c r="AB255" s="32" t="n"/>
      <c r="AC255" s="36">
        <f>IF(A255="","",IF(COUNTIF($A$6:$A$504,A255)&gt;1,"⚠ Duplicate",""))</f>
        <v/>
      </c>
      <c r="AD255" s="43" t="n"/>
      <c r="AE255" s="43" t="n"/>
      <c r="AF255" s="43" t="n"/>
      <c r="AG255" s="43" t="n"/>
      <c r="AH255" s="43" t="n"/>
      <c r="AI255" s="43" t="n"/>
      <c r="AJ255" s="43" t="n"/>
      <c r="AK255" s="43" t="n"/>
      <c r="AL255" s="43" t="n"/>
      <c r="AM255" s="43" t="n"/>
      <c r="AN255" s="43" t="n"/>
      <c r="AO255" s="43" t="n"/>
      <c r="AP255" s="43" t="n"/>
      <c r="AQ255" s="43" t="n"/>
    </row>
    <row r="256" ht="18" customHeight="1" s="74">
      <c r="A256" s="38" t="n"/>
      <c r="B256" s="38" t="n"/>
      <c r="C256" s="38" t="n"/>
      <c r="D256" s="38" t="n"/>
      <c r="E256" s="39" t="n"/>
      <c r="F256" s="39" t="n"/>
      <c r="G256" s="39" t="n"/>
      <c r="H256" s="39" t="n"/>
      <c r="I256" s="39" t="n"/>
      <c r="J256" s="39" t="n"/>
      <c r="K256" s="39" t="n"/>
      <c r="L256" s="39" t="n"/>
      <c r="M256" s="39" t="n"/>
      <c r="N256" s="39" t="n"/>
      <c r="O256" s="39" t="n"/>
      <c r="P256" s="39" t="n"/>
      <c r="Q256" s="39" t="n"/>
      <c r="R256" s="39" t="n"/>
      <c r="S256" s="39" t="n"/>
      <c r="T256" s="39" t="n"/>
      <c r="U256" s="39" t="n"/>
      <c r="V256" s="39" t="n"/>
      <c r="W256" s="34" t="n"/>
      <c r="X256" s="39" t="n"/>
      <c r="Y256" s="40" t="n"/>
      <c r="Z256" s="158">
        <f>IF(OR(Y256="",X256=""),"",IFERROR(Y256*INDEX(FXRates[USD per unit],MATCH(X256,FXRates[Currency],0)),"No rate"))</f>
        <v/>
      </c>
      <c r="AA256" s="38" t="n"/>
      <c r="AB256" s="38" t="n"/>
      <c r="AC256" s="41">
        <f>IF(A256="","",IF(COUNTIF($A$6:$A$504,A256)&gt;1,"⚠ Duplicate",""))</f>
        <v/>
      </c>
      <c r="AD256" s="42" t="n"/>
      <c r="AE256" s="42" t="n"/>
      <c r="AF256" s="42" t="n"/>
      <c r="AG256" s="42" t="n"/>
      <c r="AH256" s="42" t="n"/>
      <c r="AI256" s="42" t="n"/>
      <c r="AJ256" s="42" t="n"/>
      <c r="AK256" s="42" t="n"/>
      <c r="AL256" s="42" t="n"/>
      <c r="AM256" s="42" t="n"/>
      <c r="AN256" s="42" t="n"/>
      <c r="AO256" s="42" t="n"/>
      <c r="AP256" s="42" t="n"/>
      <c r="AQ256" s="42" t="n"/>
    </row>
    <row r="257" ht="18" customHeight="1" s="74">
      <c r="A257" s="32" t="n"/>
      <c r="B257" s="32" t="n"/>
      <c r="C257" s="32" t="n"/>
      <c r="D257" s="32" t="n"/>
      <c r="E257" s="33" t="n"/>
      <c r="F257" s="33" t="n"/>
      <c r="G257" s="33" t="n"/>
      <c r="H257" s="33" t="n"/>
      <c r="I257" s="33" t="n"/>
      <c r="J257" s="33" t="n"/>
      <c r="K257" s="33" t="n"/>
      <c r="L257" s="33" t="n"/>
      <c r="M257" s="33" t="n"/>
      <c r="N257" s="33" t="n"/>
      <c r="O257" s="33" t="n"/>
      <c r="P257" s="33" t="n"/>
      <c r="Q257" s="33" t="n"/>
      <c r="R257" s="33" t="n"/>
      <c r="S257" s="33" t="n"/>
      <c r="T257" s="33" t="n"/>
      <c r="U257" s="33" t="n"/>
      <c r="V257" s="33" t="n"/>
      <c r="W257" s="34" t="n"/>
      <c r="X257" s="33" t="n"/>
      <c r="Y257" s="35" t="n"/>
      <c r="Z257" s="157">
        <f>IF(OR(Y257="",X257=""),"",IFERROR(Y257*INDEX(FXRates[USD per unit],MATCH(X257,FXRates[Currency],0)),"No rate"))</f>
        <v/>
      </c>
      <c r="AA257" s="32" t="n"/>
      <c r="AB257" s="32" t="n"/>
      <c r="AC257" s="36">
        <f>IF(A257="","",IF(COUNTIF($A$6:$A$504,A257)&gt;1,"⚠ Duplicate",""))</f>
        <v/>
      </c>
      <c r="AD257" s="43" t="n"/>
      <c r="AE257" s="43" t="n"/>
      <c r="AF257" s="43" t="n"/>
      <c r="AG257" s="43" t="n"/>
      <c r="AH257" s="43" t="n"/>
      <c r="AI257" s="43" t="n"/>
      <c r="AJ257" s="43" t="n"/>
      <c r="AK257" s="43" t="n"/>
      <c r="AL257" s="43" t="n"/>
      <c r="AM257" s="43" t="n"/>
      <c r="AN257" s="43" t="n"/>
      <c r="AO257" s="43" t="n"/>
      <c r="AP257" s="43" t="n"/>
      <c r="AQ257" s="43" t="n"/>
    </row>
    <row r="258" ht="18" customHeight="1" s="74">
      <c r="A258" s="38" t="n"/>
      <c r="B258" s="38" t="n"/>
      <c r="C258" s="38" t="n"/>
      <c r="D258" s="38" t="n"/>
      <c r="E258" s="39" t="n"/>
      <c r="F258" s="39" t="n"/>
      <c r="G258" s="39" t="n"/>
      <c r="H258" s="39" t="n"/>
      <c r="I258" s="39" t="n"/>
      <c r="J258" s="39" t="n"/>
      <c r="K258" s="39" t="n"/>
      <c r="L258" s="39" t="n"/>
      <c r="M258" s="39" t="n"/>
      <c r="N258" s="39" t="n"/>
      <c r="O258" s="39" t="n"/>
      <c r="P258" s="39" t="n"/>
      <c r="Q258" s="39" t="n"/>
      <c r="R258" s="39" t="n"/>
      <c r="S258" s="39" t="n"/>
      <c r="T258" s="39" t="n"/>
      <c r="U258" s="39" t="n"/>
      <c r="V258" s="39" t="n"/>
      <c r="W258" s="34" t="n"/>
      <c r="X258" s="39" t="n"/>
      <c r="Y258" s="40" t="n"/>
      <c r="Z258" s="158">
        <f>IF(OR(Y258="",X258=""),"",IFERROR(Y258*INDEX(FXRates[USD per unit],MATCH(X258,FXRates[Currency],0)),"No rate"))</f>
        <v/>
      </c>
      <c r="AA258" s="38" t="n"/>
      <c r="AB258" s="38" t="n"/>
      <c r="AC258" s="41">
        <f>IF(A258="","",IF(COUNTIF($A$6:$A$504,A258)&gt;1,"⚠ Duplicate",""))</f>
        <v/>
      </c>
      <c r="AD258" s="42" t="n"/>
      <c r="AE258" s="42" t="n"/>
      <c r="AF258" s="42" t="n"/>
      <c r="AG258" s="42" t="n"/>
      <c r="AH258" s="42" t="n"/>
      <c r="AI258" s="42" t="n"/>
      <c r="AJ258" s="42" t="n"/>
      <c r="AK258" s="42" t="n"/>
      <c r="AL258" s="42" t="n"/>
      <c r="AM258" s="42" t="n"/>
      <c r="AN258" s="42" t="n"/>
      <c r="AO258" s="42" t="n"/>
      <c r="AP258" s="42" t="n"/>
      <c r="AQ258" s="42" t="n"/>
    </row>
    <row r="259" ht="18" customHeight="1" s="74">
      <c r="A259" s="32" t="n"/>
      <c r="B259" s="32" t="n"/>
      <c r="C259" s="32" t="n"/>
      <c r="D259" s="32" t="n"/>
      <c r="E259" s="33" t="n"/>
      <c r="F259" s="33" t="n"/>
      <c r="G259" s="33" t="n"/>
      <c r="H259" s="33" t="n"/>
      <c r="I259" s="33" t="n"/>
      <c r="J259" s="33" t="n"/>
      <c r="K259" s="33" t="n"/>
      <c r="L259" s="33" t="n"/>
      <c r="M259" s="33" t="n"/>
      <c r="N259" s="33" t="n"/>
      <c r="O259" s="33" t="n"/>
      <c r="P259" s="33" t="n"/>
      <c r="Q259" s="33" t="n"/>
      <c r="R259" s="33" t="n"/>
      <c r="S259" s="33" t="n"/>
      <c r="T259" s="33" t="n"/>
      <c r="U259" s="33" t="n"/>
      <c r="V259" s="33" t="n"/>
      <c r="W259" s="34" t="n"/>
      <c r="X259" s="33" t="n"/>
      <c r="Y259" s="35" t="n"/>
      <c r="Z259" s="157">
        <f>IF(OR(Y259="",X259=""),"",IFERROR(Y259*INDEX(FXRates[USD per unit],MATCH(X259,FXRates[Currency],0)),"No rate"))</f>
        <v/>
      </c>
      <c r="AA259" s="32" t="n"/>
      <c r="AB259" s="32" t="n"/>
      <c r="AC259" s="36">
        <f>IF(A259="","",IF(COUNTIF($A$6:$A$504,A259)&gt;1,"⚠ Duplicate",""))</f>
        <v/>
      </c>
      <c r="AD259" s="43" t="n"/>
      <c r="AE259" s="43" t="n"/>
      <c r="AF259" s="43" t="n"/>
      <c r="AG259" s="43" t="n"/>
      <c r="AH259" s="43" t="n"/>
      <c r="AI259" s="43" t="n"/>
      <c r="AJ259" s="43" t="n"/>
      <c r="AK259" s="43" t="n"/>
      <c r="AL259" s="43" t="n"/>
      <c r="AM259" s="43" t="n"/>
      <c r="AN259" s="43" t="n"/>
      <c r="AO259" s="43" t="n"/>
      <c r="AP259" s="43" t="n"/>
      <c r="AQ259" s="43" t="n"/>
    </row>
    <row r="260" ht="18" customHeight="1" s="74">
      <c r="A260" s="38" t="n"/>
      <c r="B260" s="38" t="n"/>
      <c r="C260" s="38" t="n"/>
      <c r="D260" s="38" t="n"/>
      <c r="E260" s="39" t="n"/>
      <c r="F260" s="39" t="n"/>
      <c r="G260" s="39" t="n"/>
      <c r="H260" s="39" t="n"/>
      <c r="I260" s="39" t="n"/>
      <c r="J260" s="39" t="n"/>
      <c r="K260" s="39" t="n"/>
      <c r="L260" s="39" t="n"/>
      <c r="M260" s="39" t="n"/>
      <c r="N260" s="39" t="n"/>
      <c r="O260" s="39" t="n"/>
      <c r="P260" s="39" t="n"/>
      <c r="Q260" s="39" t="n"/>
      <c r="R260" s="39" t="n"/>
      <c r="S260" s="39" t="n"/>
      <c r="T260" s="39" t="n"/>
      <c r="U260" s="39" t="n"/>
      <c r="V260" s="39" t="n"/>
      <c r="W260" s="34" t="n"/>
      <c r="X260" s="39" t="n"/>
      <c r="Y260" s="40" t="n"/>
      <c r="Z260" s="158">
        <f>IF(OR(Y260="",X260=""),"",IFERROR(Y260*INDEX(FXRates[USD per unit],MATCH(X260,FXRates[Currency],0)),"No rate"))</f>
        <v/>
      </c>
      <c r="AA260" s="38" t="n"/>
      <c r="AB260" s="38" t="n"/>
      <c r="AC260" s="41">
        <f>IF(A260="","",IF(COUNTIF($A$6:$A$504,A260)&gt;1,"⚠ Duplicate",""))</f>
        <v/>
      </c>
      <c r="AD260" s="42" t="n"/>
      <c r="AE260" s="42" t="n"/>
      <c r="AF260" s="42" t="n"/>
      <c r="AG260" s="42" t="n"/>
      <c r="AH260" s="42" t="n"/>
      <c r="AI260" s="42" t="n"/>
      <c r="AJ260" s="42" t="n"/>
      <c r="AK260" s="42" t="n"/>
      <c r="AL260" s="42" t="n"/>
      <c r="AM260" s="42" t="n"/>
      <c r="AN260" s="42" t="n"/>
      <c r="AO260" s="42" t="n"/>
      <c r="AP260" s="42" t="n"/>
      <c r="AQ260" s="42" t="n"/>
    </row>
    <row r="261" ht="18" customHeight="1" s="74">
      <c r="A261" s="32" t="n"/>
      <c r="B261" s="32" t="n"/>
      <c r="C261" s="32" t="n"/>
      <c r="D261" s="32" t="n"/>
      <c r="E261" s="33" t="n"/>
      <c r="F261" s="33" t="n"/>
      <c r="G261" s="33" t="n"/>
      <c r="H261" s="33" t="n"/>
      <c r="I261" s="33" t="n"/>
      <c r="J261" s="33" t="n"/>
      <c r="K261" s="33" t="n"/>
      <c r="L261" s="33" t="n"/>
      <c r="M261" s="33" t="n"/>
      <c r="N261" s="33" t="n"/>
      <c r="O261" s="33" t="n"/>
      <c r="P261" s="33" t="n"/>
      <c r="Q261" s="33" t="n"/>
      <c r="R261" s="33" t="n"/>
      <c r="S261" s="33" t="n"/>
      <c r="T261" s="33" t="n"/>
      <c r="U261" s="33" t="n"/>
      <c r="V261" s="33" t="n"/>
      <c r="W261" s="34" t="n"/>
      <c r="X261" s="33" t="n"/>
      <c r="Y261" s="35" t="n"/>
      <c r="Z261" s="157">
        <f>IF(OR(Y261="",X261=""),"",IFERROR(Y261*INDEX(FXRates[USD per unit],MATCH(X261,FXRates[Currency],0)),"No rate"))</f>
        <v/>
      </c>
      <c r="AA261" s="32" t="n"/>
      <c r="AB261" s="32" t="n"/>
      <c r="AC261" s="36">
        <f>IF(A261="","",IF(COUNTIF($A$6:$A$504,A261)&gt;1,"⚠ Duplicate",""))</f>
        <v/>
      </c>
      <c r="AD261" s="43" t="n"/>
      <c r="AE261" s="43" t="n"/>
      <c r="AF261" s="43" t="n"/>
      <c r="AG261" s="43" t="n"/>
      <c r="AH261" s="43" t="n"/>
      <c r="AI261" s="43" t="n"/>
      <c r="AJ261" s="43" t="n"/>
      <c r="AK261" s="43" t="n"/>
      <c r="AL261" s="43" t="n"/>
      <c r="AM261" s="43" t="n"/>
      <c r="AN261" s="43" t="n"/>
      <c r="AO261" s="43" t="n"/>
      <c r="AP261" s="43" t="n"/>
      <c r="AQ261" s="43" t="n"/>
    </row>
    <row r="262" ht="18" customHeight="1" s="74">
      <c r="A262" s="38" t="n"/>
      <c r="B262" s="38" t="n"/>
      <c r="C262" s="38" t="n"/>
      <c r="D262" s="38" t="n"/>
      <c r="E262" s="39" t="n"/>
      <c r="F262" s="39" t="n"/>
      <c r="G262" s="39" t="n"/>
      <c r="H262" s="39" t="n"/>
      <c r="I262" s="39" t="n"/>
      <c r="J262" s="39" t="n"/>
      <c r="K262" s="39" t="n"/>
      <c r="L262" s="39" t="n"/>
      <c r="M262" s="39" t="n"/>
      <c r="N262" s="39" t="n"/>
      <c r="O262" s="39" t="n"/>
      <c r="P262" s="39" t="n"/>
      <c r="Q262" s="39" t="n"/>
      <c r="R262" s="39" t="n"/>
      <c r="S262" s="39" t="n"/>
      <c r="T262" s="39" t="n"/>
      <c r="U262" s="39" t="n"/>
      <c r="V262" s="39" t="n"/>
      <c r="W262" s="34" t="n"/>
      <c r="X262" s="39" t="n"/>
      <c r="Y262" s="40" t="n"/>
      <c r="Z262" s="158">
        <f>IF(OR(Y262="",X262=""),"",IFERROR(Y262*INDEX(FXRates[USD per unit],MATCH(X262,FXRates[Currency],0)),"No rate"))</f>
        <v/>
      </c>
      <c r="AA262" s="38" t="n"/>
      <c r="AB262" s="38" t="n"/>
      <c r="AC262" s="41">
        <f>IF(A262="","",IF(COUNTIF($A$6:$A$504,A262)&gt;1,"⚠ Duplicate",""))</f>
        <v/>
      </c>
      <c r="AD262" s="42" t="n"/>
      <c r="AE262" s="42" t="n"/>
      <c r="AF262" s="42" t="n"/>
      <c r="AG262" s="42" t="n"/>
      <c r="AH262" s="42" t="n"/>
      <c r="AI262" s="42" t="n"/>
      <c r="AJ262" s="42" t="n"/>
      <c r="AK262" s="42" t="n"/>
      <c r="AL262" s="42" t="n"/>
      <c r="AM262" s="42" t="n"/>
      <c r="AN262" s="42" t="n"/>
      <c r="AO262" s="42" t="n"/>
      <c r="AP262" s="42" t="n"/>
      <c r="AQ262" s="42" t="n"/>
    </row>
    <row r="263" ht="18" customHeight="1" s="74">
      <c r="A263" s="32" t="n"/>
      <c r="B263" s="32" t="n"/>
      <c r="C263" s="32" t="n"/>
      <c r="D263" s="32" t="n"/>
      <c r="E263" s="33" t="n"/>
      <c r="F263" s="33" t="n"/>
      <c r="G263" s="33" t="n"/>
      <c r="H263" s="33" t="n"/>
      <c r="I263" s="33" t="n"/>
      <c r="J263" s="33" t="n"/>
      <c r="K263" s="33" t="n"/>
      <c r="L263" s="33" t="n"/>
      <c r="M263" s="33" t="n"/>
      <c r="N263" s="33" t="n"/>
      <c r="O263" s="33" t="n"/>
      <c r="P263" s="33" t="n"/>
      <c r="Q263" s="33" t="n"/>
      <c r="R263" s="33" t="n"/>
      <c r="S263" s="33" t="n"/>
      <c r="T263" s="33" t="n"/>
      <c r="U263" s="33" t="n"/>
      <c r="V263" s="33" t="n"/>
      <c r="W263" s="34" t="n"/>
      <c r="X263" s="33" t="n"/>
      <c r="Y263" s="35" t="n"/>
      <c r="Z263" s="157">
        <f>IF(OR(Y263="",X263=""),"",IFERROR(Y263*INDEX(FXRates[USD per unit],MATCH(X263,FXRates[Currency],0)),"No rate"))</f>
        <v/>
      </c>
      <c r="AA263" s="32" t="n"/>
      <c r="AB263" s="32" t="n"/>
      <c r="AC263" s="36">
        <f>IF(A263="","",IF(COUNTIF($A$6:$A$504,A263)&gt;1,"⚠ Duplicate",""))</f>
        <v/>
      </c>
      <c r="AD263" s="43" t="n"/>
      <c r="AE263" s="43" t="n"/>
      <c r="AF263" s="43" t="n"/>
      <c r="AG263" s="43" t="n"/>
      <c r="AH263" s="43" t="n"/>
      <c r="AI263" s="43" t="n"/>
      <c r="AJ263" s="43" t="n"/>
      <c r="AK263" s="43" t="n"/>
      <c r="AL263" s="43" t="n"/>
      <c r="AM263" s="43" t="n"/>
      <c r="AN263" s="43" t="n"/>
      <c r="AO263" s="43" t="n"/>
      <c r="AP263" s="43" t="n"/>
      <c r="AQ263" s="43" t="n"/>
    </row>
    <row r="264" ht="18" customHeight="1" s="74">
      <c r="A264" s="38" t="n"/>
      <c r="B264" s="38" t="n"/>
      <c r="C264" s="38" t="n"/>
      <c r="D264" s="38" t="n"/>
      <c r="E264" s="39" t="n"/>
      <c r="F264" s="39" t="n"/>
      <c r="G264" s="39" t="n"/>
      <c r="H264" s="39" t="n"/>
      <c r="I264" s="39" t="n"/>
      <c r="J264" s="39" t="n"/>
      <c r="K264" s="39" t="n"/>
      <c r="L264" s="39" t="n"/>
      <c r="M264" s="39" t="n"/>
      <c r="N264" s="39" t="n"/>
      <c r="O264" s="39" t="n"/>
      <c r="P264" s="39" t="n"/>
      <c r="Q264" s="39" t="n"/>
      <c r="R264" s="39" t="n"/>
      <c r="S264" s="39" t="n"/>
      <c r="T264" s="39" t="n"/>
      <c r="U264" s="39" t="n"/>
      <c r="V264" s="39" t="n"/>
      <c r="W264" s="34" t="n"/>
      <c r="X264" s="39" t="n"/>
      <c r="Y264" s="40" t="n"/>
      <c r="Z264" s="158">
        <f>IF(OR(Y264="",X264=""),"",IFERROR(Y264*INDEX(FXRates[USD per unit],MATCH(X264,FXRates[Currency],0)),"No rate"))</f>
        <v/>
      </c>
      <c r="AA264" s="38" t="n"/>
      <c r="AB264" s="38" t="n"/>
      <c r="AC264" s="41">
        <f>IF(A264="","",IF(COUNTIF($A$6:$A$504,A264)&gt;1,"⚠ Duplicate",""))</f>
        <v/>
      </c>
      <c r="AD264" s="42" t="n"/>
      <c r="AE264" s="42" t="n"/>
      <c r="AF264" s="42" t="n"/>
      <c r="AG264" s="42" t="n"/>
      <c r="AH264" s="42" t="n"/>
      <c r="AI264" s="42" t="n"/>
      <c r="AJ264" s="42" t="n"/>
      <c r="AK264" s="42" t="n"/>
      <c r="AL264" s="42" t="n"/>
      <c r="AM264" s="42" t="n"/>
      <c r="AN264" s="42" t="n"/>
      <c r="AO264" s="42" t="n"/>
      <c r="AP264" s="42" t="n"/>
      <c r="AQ264" s="42" t="n"/>
    </row>
    <row r="265" ht="18" customHeight="1" s="74">
      <c r="A265" s="32" t="n"/>
      <c r="B265" s="32" t="n"/>
      <c r="C265" s="32" t="n"/>
      <c r="D265" s="32" t="n"/>
      <c r="E265" s="33" t="n"/>
      <c r="F265" s="33" t="n"/>
      <c r="G265" s="33" t="n"/>
      <c r="H265" s="33" t="n"/>
      <c r="I265" s="33" t="n"/>
      <c r="J265" s="33" t="n"/>
      <c r="K265" s="33" t="n"/>
      <c r="L265" s="33" t="n"/>
      <c r="M265" s="33" t="n"/>
      <c r="N265" s="33" t="n"/>
      <c r="O265" s="33" t="n"/>
      <c r="P265" s="33" t="n"/>
      <c r="Q265" s="33" t="n"/>
      <c r="R265" s="33" t="n"/>
      <c r="S265" s="33" t="n"/>
      <c r="T265" s="33" t="n"/>
      <c r="U265" s="33" t="n"/>
      <c r="V265" s="33" t="n"/>
      <c r="W265" s="34" t="n"/>
      <c r="X265" s="33" t="n"/>
      <c r="Y265" s="35" t="n"/>
      <c r="Z265" s="157">
        <f>IF(OR(Y265="",X265=""),"",IFERROR(Y265*INDEX(FXRates[USD per unit],MATCH(X265,FXRates[Currency],0)),"No rate"))</f>
        <v/>
      </c>
      <c r="AA265" s="32" t="n"/>
      <c r="AB265" s="32" t="n"/>
      <c r="AC265" s="36">
        <f>IF(A265="","",IF(COUNTIF($A$6:$A$504,A265)&gt;1,"⚠ Duplicate",""))</f>
        <v/>
      </c>
      <c r="AD265" s="43" t="n"/>
      <c r="AE265" s="43" t="n"/>
      <c r="AF265" s="43" t="n"/>
      <c r="AG265" s="43" t="n"/>
      <c r="AH265" s="43" t="n"/>
      <c r="AI265" s="43" t="n"/>
      <c r="AJ265" s="43" t="n"/>
      <c r="AK265" s="43" t="n"/>
      <c r="AL265" s="43" t="n"/>
      <c r="AM265" s="43" t="n"/>
      <c r="AN265" s="43" t="n"/>
      <c r="AO265" s="43" t="n"/>
      <c r="AP265" s="43" t="n"/>
      <c r="AQ265" s="43" t="n"/>
    </row>
    <row r="266" ht="18" customHeight="1" s="74">
      <c r="A266" s="38" t="n"/>
      <c r="B266" s="38" t="n"/>
      <c r="C266" s="38" t="n"/>
      <c r="D266" s="38" t="n"/>
      <c r="E266" s="39" t="n"/>
      <c r="F266" s="39" t="n"/>
      <c r="G266" s="39" t="n"/>
      <c r="H266" s="39" t="n"/>
      <c r="I266" s="39" t="n"/>
      <c r="J266" s="39" t="n"/>
      <c r="K266" s="39" t="n"/>
      <c r="L266" s="39" t="n"/>
      <c r="M266" s="39" t="n"/>
      <c r="N266" s="39" t="n"/>
      <c r="O266" s="39" t="n"/>
      <c r="P266" s="39" t="n"/>
      <c r="Q266" s="39" t="n"/>
      <c r="R266" s="39" t="n"/>
      <c r="S266" s="39" t="n"/>
      <c r="T266" s="39" t="n"/>
      <c r="U266" s="39" t="n"/>
      <c r="V266" s="39" t="n"/>
      <c r="W266" s="34" t="n"/>
      <c r="X266" s="39" t="n"/>
      <c r="Y266" s="40" t="n"/>
      <c r="Z266" s="158">
        <f>IF(OR(Y266="",X266=""),"",IFERROR(Y266*INDEX(FXRates[USD per unit],MATCH(X266,FXRates[Currency],0)),"No rate"))</f>
        <v/>
      </c>
      <c r="AA266" s="38" t="n"/>
      <c r="AB266" s="38" t="n"/>
      <c r="AC266" s="41">
        <f>IF(A266="","",IF(COUNTIF($A$6:$A$504,A266)&gt;1,"⚠ Duplicate",""))</f>
        <v/>
      </c>
      <c r="AD266" s="42" t="n"/>
      <c r="AE266" s="42" t="n"/>
      <c r="AF266" s="42" t="n"/>
      <c r="AG266" s="42" t="n"/>
      <c r="AH266" s="42" t="n"/>
      <c r="AI266" s="42" t="n"/>
      <c r="AJ266" s="42" t="n"/>
      <c r="AK266" s="42" t="n"/>
      <c r="AL266" s="42" t="n"/>
      <c r="AM266" s="42" t="n"/>
      <c r="AN266" s="42" t="n"/>
      <c r="AO266" s="42" t="n"/>
      <c r="AP266" s="42" t="n"/>
      <c r="AQ266" s="42" t="n"/>
    </row>
    <row r="267" ht="18" customHeight="1" s="74">
      <c r="A267" s="32" t="n"/>
      <c r="B267" s="32" t="n"/>
      <c r="C267" s="32" t="n"/>
      <c r="D267" s="32" t="n"/>
      <c r="E267" s="33" t="n"/>
      <c r="F267" s="33" t="n"/>
      <c r="G267" s="33" t="n"/>
      <c r="H267" s="33" t="n"/>
      <c r="I267" s="33" t="n"/>
      <c r="J267" s="33" t="n"/>
      <c r="K267" s="33" t="n"/>
      <c r="L267" s="33" t="n"/>
      <c r="M267" s="33" t="n"/>
      <c r="N267" s="33" t="n"/>
      <c r="O267" s="33" t="n"/>
      <c r="P267" s="33" t="n"/>
      <c r="Q267" s="33" t="n"/>
      <c r="R267" s="33" t="n"/>
      <c r="S267" s="33" t="n"/>
      <c r="T267" s="33" t="n"/>
      <c r="U267" s="33" t="n"/>
      <c r="V267" s="33" t="n"/>
      <c r="W267" s="34" t="n"/>
      <c r="X267" s="33" t="n"/>
      <c r="Y267" s="35" t="n"/>
      <c r="Z267" s="157">
        <f>IF(OR(Y267="",X267=""),"",IFERROR(Y267*INDEX(FXRates[USD per unit],MATCH(X267,FXRates[Currency],0)),"No rate"))</f>
        <v/>
      </c>
      <c r="AA267" s="32" t="n"/>
      <c r="AB267" s="32" t="n"/>
      <c r="AC267" s="36">
        <f>IF(A267="","",IF(COUNTIF($A$6:$A$504,A267)&gt;1,"⚠ Duplicate",""))</f>
        <v/>
      </c>
      <c r="AD267" s="43" t="n"/>
      <c r="AE267" s="43" t="n"/>
      <c r="AF267" s="43" t="n"/>
      <c r="AG267" s="43" t="n"/>
      <c r="AH267" s="43" t="n"/>
      <c r="AI267" s="43" t="n"/>
      <c r="AJ267" s="43" t="n"/>
      <c r="AK267" s="43" t="n"/>
      <c r="AL267" s="43" t="n"/>
      <c r="AM267" s="43" t="n"/>
      <c r="AN267" s="43" t="n"/>
      <c r="AO267" s="43" t="n"/>
      <c r="AP267" s="43" t="n"/>
      <c r="AQ267" s="43" t="n"/>
    </row>
    <row r="268" ht="18" customHeight="1" s="74">
      <c r="A268" s="38" t="n"/>
      <c r="B268" s="38" t="n"/>
      <c r="C268" s="38" t="n"/>
      <c r="D268" s="38" t="n"/>
      <c r="E268" s="39" t="n"/>
      <c r="F268" s="39" t="n"/>
      <c r="G268" s="39" t="n"/>
      <c r="H268" s="39" t="n"/>
      <c r="I268" s="39" t="n"/>
      <c r="J268" s="39" t="n"/>
      <c r="K268" s="39" t="n"/>
      <c r="L268" s="39" t="n"/>
      <c r="M268" s="39" t="n"/>
      <c r="N268" s="39" t="n"/>
      <c r="O268" s="39" t="n"/>
      <c r="P268" s="39" t="n"/>
      <c r="Q268" s="39" t="n"/>
      <c r="R268" s="39" t="n"/>
      <c r="S268" s="39" t="n"/>
      <c r="T268" s="39" t="n"/>
      <c r="U268" s="39" t="n"/>
      <c r="V268" s="39" t="n"/>
      <c r="W268" s="34" t="n"/>
      <c r="X268" s="39" t="n"/>
      <c r="Y268" s="40" t="n"/>
      <c r="Z268" s="158">
        <f>IF(OR(Y268="",X268=""),"",IFERROR(Y268*INDEX(FXRates[USD per unit],MATCH(X268,FXRates[Currency],0)),"No rate"))</f>
        <v/>
      </c>
      <c r="AA268" s="38" t="n"/>
      <c r="AB268" s="38" t="n"/>
      <c r="AC268" s="41">
        <f>IF(A268="","",IF(COUNTIF($A$6:$A$504,A268)&gt;1,"⚠ Duplicate",""))</f>
        <v/>
      </c>
      <c r="AD268" s="42" t="n"/>
      <c r="AE268" s="42" t="n"/>
      <c r="AF268" s="42" t="n"/>
      <c r="AG268" s="42" t="n"/>
      <c r="AH268" s="42" t="n"/>
      <c r="AI268" s="42" t="n"/>
      <c r="AJ268" s="42" t="n"/>
      <c r="AK268" s="42" t="n"/>
      <c r="AL268" s="42" t="n"/>
      <c r="AM268" s="42" t="n"/>
      <c r="AN268" s="42" t="n"/>
      <c r="AO268" s="42" t="n"/>
      <c r="AP268" s="42" t="n"/>
      <c r="AQ268" s="42" t="n"/>
    </row>
    <row r="269" ht="18" customHeight="1" s="74">
      <c r="A269" s="32" t="n"/>
      <c r="B269" s="32" t="n"/>
      <c r="C269" s="32" t="n"/>
      <c r="D269" s="32" t="n"/>
      <c r="E269" s="33" t="n"/>
      <c r="F269" s="33" t="n"/>
      <c r="G269" s="33" t="n"/>
      <c r="H269" s="33" t="n"/>
      <c r="I269" s="33" t="n"/>
      <c r="J269" s="33" t="n"/>
      <c r="K269" s="33" t="n"/>
      <c r="L269" s="33" t="n"/>
      <c r="M269" s="33" t="n"/>
      <c r="N269" s="33" t="n"/>
      <c r="O269" s="33" t="n"/>
      <c r="P269" s="33" t="n"/>
      <c r="Q269" s="33" t="n"/>
      <c r="R269" s="33" t="n"/>
      <c r="S269" s="33" t="n"/>
      <c r="T269" s="33" t="n"/>
      <c r="U269" s="33" t="n"/>
      <c r="V269" s="33" t="n"/>
      <c r="W269" s="34" t="n"/>
      <c r="X269" s="33" t="n"/>
      <c r="Y269" s="35" t="n"/>
      <c r="Z269" s="157">
        <f>IF(OR(Y269="",X269=""),"",IFERROR(Y269*INDEX(FXRates[USD per unit],MATCH(X269,FXRates[Currency],0)),"No rate"))</f>
        <v/>
      </c>
      <c r="AA269" s="32" t="n"/>
      <c r="AB269" s="32" t="n"/>
      <c r="AC269" s="36">
        <f>IF(A269="","",IF(COUNTIF($A$6:$A$504,A269)&gt;1,"⚠ Duplicate",""))</f>
        <v/>
      </c>
      <c r="AD269" s="43" t="n"/>
      <c r="AE269" s="43" t="n"/>
      <c r="AF269" s="43" t="n"/>
      <c r="AG269" s="43" t="n"/>
      <c r="AH269" s="43" t="n"/>
      <c r="AI269" s="43" t="n"/>
      <c r="AJ269" s="43" t="n"/>
      <c r="AK269" s="43" t="n"/>
      <c r="AL269" s="43" t="n"/>
      <c r="AM269" s="43" t="n"/>
      <c r="AN269" s="43" t="n"/>
      <c r="AO269" s="43" t="n"/>
      <c r="AP269" s="43" t="n"/>
      <c r="AQ269" s="43" t="n"/>
    </row>
    <row r="270" ht="18" customHeight="1" s="74">
      <c r="A270" s="38" t="n"/>
      <c r="B270" s="38" t="n"/>
      <c r="C270" s="38" t="n"/>
      <c r="D270" s="38" t="n"/>
      <c r="E270" s="39" t="n"/>
      <c r="F270" s="39" t="n"/>
      <c r="G270" s="39" t="n"/>
      <c r="H270" s="39" t="n"/>
      <c r="I270" s="39" t="n"/>
      <c r="J270" s="39" t="n"/>
      <c r="K270" s="39" t="n"/>
      <c r="L270" s="39" t="n"/>
      <c r="M270" s="39" t="n"/>
      <c r="N270" s="39" t="n"/>
      <c r="O270" s="39" t="n"/>
      <c r="P270" s="39" t="n"/>
      <c r="Q270" s="39" t="n"/>
      <c r="R270" s="39" t="n"/>
      <c r="S270" s="39" t="n"/>
      <c r="T270" s="39" t="n"/>
      <c r="U270" s="39" t="n"/>
      <c r="V270" s="39" t="n"/>
      <c r="W270" s="34" t="n"/>
      <c r="X270" s="39" t="n"/>
      <c r="Y270" s="40" t="n"/>
      <c r="Z270" s="158">
        <f>IF(OR(Y270="",X270=""),"",IFERROR(Y270*INDEX(FXRates[USD per unit],MATCH(X270,FXRates[Currency],0)),"No rate"))</f>
        <v/>
      </c>
      <c r="AA270" s="38" t="n"/>
      <c r="AB270" s="38" t="n"/>
      <c r="AC270" s="41">
        <f>IF(A270="","",IF(COUNTIF($A$6:$A$504,A270)&gt;1,"⚠ Duplicate",""))</f>
        <v/>
      </c>
      <c r="AD270" s="42" t="n"/>
      <c r="AE270" s="42" t="n"/>
      <c r="AF270" s="42" t="n"/>
      <c r="AG270" s="42" t="n"/>
      <c r="AH270" s="42" t="n"/>
      <c r="AI270" s="42" t="n"/>
      <c r="AJ270" s="42" t="n"/>
      <c r="AK270" s="42" t="n"/>
      <c r="AL270" s="42" t="n"/>
      <c r="AM270" s="42" t="n"/>
      <c r="AN270" s="42" t="n"/>
      <c r="AO270" s="42" t="n"/>
      <c r="AP270" s="42" t="n"/>
      <c r="AQ270" s="42" t="n"/>
    </row>
    <row r="271" ht="18" customHeight="1" s="74">
      <c r="A271" s="32" t="n"/>
      <c r="B271" s="32" t="n"/>
      <c r="C271" s="32" t="n"/>
      <c r="D271" s="32" t="n"/>
      <c r="E271" s="33" t="n"/>
      <c r="F271" s="33" t="n"/>
      <c r="G271" s="33" t="n"/>
      <c r="H271" s="33" t="n"/>
      <c r="I271" s="33" t="n"/>
      <c r="J271" s="33" t="n"/>
      <c r="K271" s="33" t="n"/>
      <c r="L271" s="33" t="n"/>
      <c r="M271" s="33" t="n"/>
      <c r="N271" s="33" t="n"/>
      <c r="O271" s="33" t="n"/>
      <c r="P271" s="33" t="n"/>
      <c r="Q271" s="33" t="n"/>
      <c r="R271" s="33" t="n"/>
      <c r="S271" s="33" t="n"/>
      <c r="T271" s="33" t="n"/>
      <c r="U271" s="33" t="n"/>
      <c r="V271" s="33" t="n"/>
      <c r="W271" s="34" t="n"/>
      <c r="X271" s="33" t="n"/>
      <c r="Y271" s="35" t="n"/>
      <c r="Z271" s="157">
        <f>IF(OR(Y271="",X271=""),"",IFERROR(Y271*INDEX(FXRates[USD per unit],MATCH(X271,FXRates[Currency],0)),"No rate"))</f>
        <v/>
      </c>
      <c r="AA271" s="32" t="n"/>
      <c r="AB271" s="32" t="n"/>
      <c r="AC271" s="36">
        <f>IF(A271="","",IF(COUNTIF($A$6:$A$504,A271)&gt;1,"⚠ Duplicate",""))</f>
        <v/>
      </c>
      <c r="AD271" s="43" t="n"/>
      <c r="AE271" s="43" t="n"/>
      <c r="AF271" s="43" t="n"/>
      <c r="AG271" s="43" t="n"/>
      <c r="AH271" s="43" t="n"/>
      <c r="AI271" s="43" t="n"/>
      <c r="AJ271" s="43" t="n"/>
      <c r="AK271" s="43" t="n"/>
      <c r="AL271" s="43" t="n"/>
      <c r="AM271" s="43" t="n"/>
      <c r="AN271" s="43" t="n"/>
      <c r="AO271" s="43" t="n"/>
      <c r="AP271" s="43" t="n"/>
      <c r="AQ271" s="43" t="n"/>
    </row>
    <row r="272" ht="18" customHeight="1" s="74">
      <c r="A272" s="38" t="n"/>
      <c r="B272" s="38" t="n"/>
      <c r="C272" s="38" t="n"/>
      <c r="D272" s="38" t="n"/>
      <c r="E272" s="39" t="n"/>
      <c r="F272" s="39" t="n"/>
      <c r="G272" s="39" t="n"/>
      <c r="H272" s="39" t="n"/>
      <c r="I272" s="39" t="n"/>
      <c r="J272" s="39" t="n"/>
      <c r="K272" s="39" t="n"/>
      <c r="L272" s="39" t="n"/>
      <c r="M272" s="39" t="n"/>
      <c r="N272" s="39" t="n"/>
      <c r="O272" s="39" t="n"/>
      <c r="P272" s="39" t="n"/>
      <c r="Q272" s="39" t="n"/>
      <c r="R272" s="39" t="n"/>
      <c r="S272" s="39" t="n"/>
      <c r="T272" s="39" t="n"/>
      <c r="U272" s="39" t="n"/>
      <c r="V272" s="39" t="n"/>
      <c r="W272" s="34" t="n"/>
      <c r="X272" s="39" t="n"/>
      <c r="Y272" s="40" t="n"/>
      <c r="Z272" s="158">
        <f>IF(OR(Y272="",X272=""),"",IFERROR(Y272*INDEX(FXRates[USD per unit],MATCH(X272,FXRates[Currency],0)),"No rate"))</f>
        <v/>
      </c>
      <c r="AA272" s="38" t="n"/>
      <c r="AB272" s="38" t="n"/>
      <c r="AC272" s="41">
        <f>IF(A272="","",IF(COUNTIF($A$6:$A$504,A272)&gt;1,"⚠ Duplicate",""))</f>
        <v/>
      </c>
      <c r="AD272" s="42" t="n"/>
      <c r="AE272" s="42" t="n"/>
      <c r="AF272" s="42" t="n"/>
      <c r="AG272" s="42" t="n"/>
      <c r="AH272" s="42" t="n"/>
      <c r="AI272" s="42" t="n"/>
      <c r="AJ272" s="42" t="n"/>
      <c r="AK272" s="42" t="n"/>
      <c r="AL272" s="42" t="n"/>
      <c r="AM272" s="42" t="n"/>
      <c r="AN272" s="42" t="n"/>
      <c r="AO272" s="42" t="n"/>
      <c r="AP272" s="42" t="n"/>
      <c r="AQ272" s="42" t="n"/>
    </row>
    <row r="273" ht="18" customHeight="1" s="74">
      <c r="A273" s="32" t="n"/>
      <c r="B273" s="32" t="n"/>
      <c r="C273" s="32" t="n"/>
      <c r="D273" s="32" t="n"/>
      <c r="E273" s="33" t="n"/>
      <c r="F273" s="33" t="n"/>
      <c r="G273" s="33" t="n"/>
      <c r="H273" s="33" t="n"/>
      <c r="I273" s="33" t="n"/>
      <c r="J273" s="33" t="n"/>
      <c r="K273" s="33" t="n"/>
      <c r="L273" s="33" t="n"/>
      <c r="M273" s="33" t="n"/>
      <c r="N273" s="33" t="n"/>
      <c r="O273" s="33" t="n"/>
      <c r="P273" s="33" t="n"/>
      <c r="Q273" s="33" t="n"/>
      <c r="R273" s="33" t="n"/>
      <c r="S273" s="33" t="n"/>
      <c r="T273" s="33" t="n"/>
      <c r="U273" s="33" t="n"/>
      <c r="V273" s="33" t="n"/>
      <c r="W273" s="34" t="n"/>
      <c r="X273" s="33" t="n"/>
      <c r="Y273" s="35" t="n"/>
      <c r="Z273" s="157">
        <f>IF(OR(Y273="",X273=""),"",IFERROR(Y273*INDEX(FXRates[USD per unit],MATCH(X273,FXRates[Currency],0)),"No rate"))</f>
        <v/>
      </c>
      <c r="AA273" s="32" t="n"/>
      <c r="AB273" s="32" t="n"/>
      <c r="AC273" s="36">
        <f>IF(A273="","",IF(COUNTIF($A$6:$A$504,A273)&gt;1,"⚠ Duplicate",""))</f>
        <v/>
      </c>
      <c r="AD273" s="43" t="n"/>
      <c r="AE273" s="43" t="n"/>
      <c r="AF273" s="43" t="n"/>
      <c r="AG273" s="43" t="n"/>
      <c r="AH273" s="43" t="n"/>
      <c r="AI273" s="43" t="n"/>
      <c r="AJ273" s="43" t="n"/>
      <c r="AK273" s="43" t="n"/>
      <c r="AL273" s="43" t="n"/>
      <c r="AM273" s="43" t="n"/>
      <c r="AN273" s="43" t="n"/>
      <c r="AO273" s="43" t="n"/>
      <c r="AP273" s="43" t="n"/>
      <c r="AQ273" s="43" t="n"/>
    </row>
    <row r="274" ht="18" customHeight="1" s="74">
      <c r="A274" s="38" t="n"/>
      <c r="B274" s="38" t="n"/>
      <c r="C274" s="38" t="n"/>
      <c r="D274" s="38" t="n"/>
      <c r="E274" s="39" t="n"/>
      <c r="F274" s="39" t="n"/>
      <c r="G274" s="39" t="n"/>
      <c r="H274" s="39" t="n"/>
      <c r="I274" s="39" t="n"/>
      <c r="J274" s="39" t="n"/>
      <c r="K274" s="39" t="n"/>
      <c r="L274" s="39" t="n"/>
      <c r="M274" s="39" t="n"/>
      <c r="N274" s="39" t="n"/>
      <c r="O274" s="39" t="n"/>
      <c r="P274" s="39" t="n"/>
      <c r="Q274" s="39" t="n"/>
      <c r="R274" s="39" t="n"/>
      <c r="S274" s="39" t="n"/>
      <c r="T274" s="39" t="n"/>
      <c r="U274" s="39" t="n"/>
      <c r="V274" s="39" t="n"/>
      <c r="W274" s="34" t="n"/>
      <c r="X274" s="39" t="n"/>
      <c r="Y274" s="40" t="n"/>
      <c r="Z274" s="158">
        <f>IF(OR(Y274="",X274=""),"",IFERROR(Y274*INDEX(FXRates[USD per unit],MATCH(X274,FXRates[Currency],0)),"No rate"))</f>
        <v/>
      </c>
      <c r="AA274" s="38" t="n"/>
      <c r="AB274" s="38" t="n"/>
      <c r="AC274" s="41">
        <f>IF(A274="","",IF(COUNTIF($A$6:$A$504,A274)&gt;1,"⚠ Duplicate",""))</f>
        <v/>
      </c>
      <c r="AD274" s="42" t="n"/>
      <c r="AE274" s="42" t="n"/>
      <c r="AF274" s="42" t="n"/>
      <c r="AG274" s="42" t="n"/>
      <c r="AH274" s="42" t="n"/>
      <c r="AI274" s="42" t="n"/>
      <c r="AJ274" s="42" t="n"/>
      <c r="AK274" s="42" t="n"/>
      <c r="AL274" s="42" t="n"/>
      <c r="AM274" s="42" t="n"/>
      <c r="AN274" s="42" t="n"/>
      <c r="AO274" s="42" t="n"/>
      <c r="AP274" s="42" t="n"/>
      <c r="AQ274" s="42" t="n"/>
    </row>
    <row r="275" ht="18" customHeight="1" s="74">
      <c r="A275" s="32" t="n"/>
      <c r="B275" s="32" t="n"/>
      <c r="C275" s="32" t="n"/>
      <c r="D275" s="32" t="n"/>
      <c r="E275" s="33" t="n"/>
      <c r="F275" s="33" t="n"/>
      <c r="G275" s="33" t="n"/>
      <c r="H275" s="33" t="n"/>
      <c r="I275" s="33" t="n"/>
      <c r="J275" s="33" t="n"/>
      <c r="K275" s="33" t="n"/>
      <c r="L275" s="33" t="n"/>
      <c r="M275" s="33" t="n"/>
      <c r="N275" s="33" t="n"/>
      <c r="O275" s="33" t="n"/>
      <c r="P275" s="33" t="n"/>
      <c r="Q275" s="33" t="n"/>
      <c r="R275" s="33" t="n"/>
      <c r="S275" s="33" t="n"/>
      <c r="T275" s="33" t="n"/>
      <c r="U275" s="33" t="n"/>
      <c r="V275" s="33" t="n"/>
      <c r="W275" s="34" t="n"/>
      <c r="X275" s="33" t="n"/>
      <c r="Y275" s="35" t="n"/>
      <c r="Z275" s="157">
        <f>IF(OR(Y275="",X275=""),"",IFERROR(Y275*INDEX(FXRates[USD per unit],MATCH(X275,FXRates[Currency],0)),"No rate"))</f>
        <v/>
      </c>
      <c r="AA275" s="32" t="n"/>
      <c r="AB275" s="32" t="n"/>
      <c r="AC275" s="36">
        <f>IF(A275="","",IF(COUNTIF($A$6:$A$504,A275)&gt;1,"⚠ Duplicate",""))</f>
        <v/>
      </c>
      <c r="AD275" s="43" t="n"/>
      <c r="AE275" s="43" t="n"/>
      <c r="AF275" s="43" t="n"/>
      <c r="AG275" s="43" t="n"/>
      <c r="AH275" s="43" t="n"/>
      <c r="AI275" s="43" t="n"/>
      <c r="AJ275" s="43" t="n"/>
      <c r="AK275" s="43" t="n"/>
      <c r="AL275" s="43" t="n"/>
      <c r="AM275" s="43" t="n"/>
      <c r="AN275" s="43" t="n"/>
      <c r="AO275" s="43" t="n"/>
      <c r="AP275" s="43" t="n"/>
      <c r="AQ275" s="43" t="n"/>
    </row>
    <row r="276" ht="18" customHeight="1" s="74">
      <c r="A276" s="38" t="n"/>
      <c r="B276" s="38" t="n"/>
      <c r="C276" s="38" t="n"/>
      <c r="D276" s="38" t="n"/>
      <c r="E276" s="39" t="n"/>
      <c r="F276" s="39" t="n"/>
      <c r="G276" s="39" t="n"/>
      <c r="H276" s="39" t="n"/>
      <c r="I276" s="39" t="n"/>
      <c r="J276" s="39" t="n"/>
      <c r="K276" s="39" t="n"/>
      <c r="L276" s="39" t="n"/>
      <c r="M276" s="39" t="n"/>
      <c r="N276" s="39" t="n"/>
      <c r="O276" s="39" t="n"/>
      <c r="P276" s="39" t="n"/>
      <c r="Q276" s="39" t="n"/>
      <c r="R276" s="39" t="n"/>
      <c r="S276" s="39" t="n"/>
      <c r="T276" s="39" t="n"/>
      <c r="U276" s="39" t="n"/>
      <c r="V276" s="39" t="n"/>
      <c r="W276" s="34" t="n"/>
      <c r="X276" s="39" t="n"/>
      <c r="Y276" s="40" t="n"/>
      <c r="Z276" s="158">
        <f>IF(OR(Y276="",X276=""),"",IFERROR(Y276*INDEX(FXRates[USD per unit],MATCH(X276,FXRates[Currency],0)),"No rate"))</f>
        <v/>
      </c>
      <c r="AA276" s="38" t="n"/>
      <c r="AB276" s="38" t="n"/>
      <c r="AC276" s="41">
        <f>IF(A276="","",IF(COUNTIF($A$6:$A$504,A276)&gt;1,"⚠ Duplicate",""))</f>
        <v/>
      </c>
      <c r="AD276" s="42" t="n"/>
      <c r="AE276" s="42" t="n"/>
      <c r="AF276" s="42" t="n"/>
      <c r="AG276" s="42" t="n"/>
      <c r="AH276" s="42" t="n"/>
      <c r="AI276" s="42" t="n"/>
      <c r="AJ276" s="42" t="n"/>
      <c r="AK276" s="42" t="n"/>
      <c r="AL276" s="42" t="n"/>
      <c r="AM276" s="42" t="n"/>
      <c r="AN276" s="42" t="n"/>
      <c r="AO276" s="42" t="n"/>
      <c r="AP276" s="42" t="n"/>
      <c r="AQ276" s="42" t="n"/>
    </row>
    <row r="277" ht="18" customHeight="1" s="74">
      <c r="A277" s="32" t="n"/>
      <c r="B277" s="32" t="n"/>
      <c r="C277" s="32" t="n"/>
      <c r="D277" s="32" t="n"/>
      <c r="E277" s="33" t="n"/>
      <c r="F277" s="33" t="n"/>
      <c r="G277" s="33" t="n"/>
      <c r="H277" s="33" t="n"/>
      <c r="I277" s="33" t="n"/>
      <c r="J277" s="33" t="n"/>
      <c r="K277" s="33" t="n"/>
      <c r="L277" s="33" t="n"/>
      <c r="M277" s="33" t="n"/>
      <c r="N277" s="33" t="n"/>
      <c r="O277" s="33" t="n"/>
      <c r="P277" s="33" t="n"/>
      <c r="Q277" s="33" t="n"/>
      <c r="R277" s="33" t="n"/>
      <c r="S277" s="33" t="n"/>
      <c r="T277" s="33" t="n"/>
      <c r="U277" s="33" t="n"/>
      <c r="V277" s="33" t="n"/>
      <c r="W277" s="34" t="n"/>
      <c r="X277" s="33" t="n"/>
      <c r="Y277" s="35" t="n"/>
      <c r="Z277" s="157">
        <f>IF(OR(Y277="",X277=""),"",IFERROR(Y277*INDEX(FXRates[USD per unit],MATCH(X277,FXRates[Currency],0)),"No rate"))</f>
        <v/>
      </c>
      <c r="AA277" s="32" t="n"/>
      <c r="AB277" s="32" t="n"/>
      <c r="AC277" s="36">
        <f>IF(A277="","",IF(COUNTIF($A$6:$A$504,A277)&gt;1,"⚠ Duplicate",""))</f>
        <v/>
      </c>
      <c r="AD277" s="43" t="n"/>
      <c r="AE277" s="43" t="n"/>
      <c r="AF277" s="43" t="n"/>
      <c r="AG277" s="43" t="n"/>
      <c r="AH277" s="43" t="n"/>
      <c r="AI277" s="43" t="n"/>
      <c r="AJ277" s="43" t="n"/>
      <c r="AK277" s="43" t="n"/>
      <c r="AL277" s="43" t="n"/>
      <c r="AM277" s="43" t="n"/>
      <c r="AN277" s="43" t="n"/>
      <c r="AO277" s="43" t="n"/>
      <c r="AP277" s="43" t="n"/>
      <c r="AQ277" s="43" t="n"/>
    </row>
    <row r="278" ht="18" customHeight="1" s="74">
      <c r="A278" s="38" t="n"/>
      <c r="B278" s="38" t="n"/>
      <c r="C278" s="38" t="n"/>
      <c r="D278" s="38" t="n"/>
      <c r="E278" s="39" t="n"/>
      <c r="F278" s="39" t="n"/>
      <c r="G278" s="39" t="n"/>
      <c r="H278" s="39" t="n"/>
      <c r="I278" s="39" t="n"/>
      <c r="J278" s="39" t="n"/>
      <c r="K278" s="39" t="n"/>
      <c r="L278" s="39" t="n"/>
      <c r="M278" s="39" t="n"/>
      <c r="N278" s="39" t="n"/>
      <c r="O278" s="39" t="n"/>
      <c r="P278" s="39" t="n"/>
      <c r="Q278" s="39" t="n"/>
      <c r="R278" s="39" t="n"/>
      <c r="S278" s="39" t="n"/>
      <c r="T278" s="39" t="n"/>
      <c r="U278" s="39" t="n"/>
      <c r="V278" s="39" t="n"/>
      <c r="W278" s="34" t="n"/>
      <c r="X278" s="39" t="n"/>
      <c r="Y278" s="40" t="n"/>
      <c r="Z278" s="158">
        <f>IF(OR(Y278="",X278=""),"",IFERROR(Y278*INDEX(FXRates[USD per unit],MATCH(X278,FXRates[Currency],0)),"No rate"))</f>
        <v/>
      </c>
      <c r="AA278" s="38" t="n"/>
      <c r="AB278" s="38" t="n"/>
      <c r="AC278" s="41">
        <f>IF(A278="","",IF(COUNTIF($A$6:$A$504,A278)&gt;1,"⚠ Duplicate",""))</f>
        <v/>
      </c>
      <c r="AD278" s="42" t="n"/>
      <c r="AE278" s="42" t="n"/>
      <c r="AF278" s="42" t="n"/>
      <c r="AG278" s="42" t="n"/>
      <c r="AH278" s="42" t="n"/>
      <c r="AI278" s="42" t="n"/>
      <c r="AJ278" s="42" t="n"/>
      <c r="AK278" s="42" t="n"/>
      <c r="AL278" s="42" t="n"/>
      <c r="AM278" s="42" t="n"/>
      <c r="AN278" s="42" t="n"/>
      <c r="AO278" s="42" t="n"/>
      <c r="AP278" s="42" t="n"/>
      <c r="AQ278" s="42" t="n"/>
    </row>
    <row r="279" ht="18" customHeight="1" s="74">
      <c r="A279" s="32" t="n"/>
      <c r="B279" s="32" t="n"/>
      <c r="C279" s="32" t="n"/>
      <c r="D279" s="32" t="n"/>
      <c r="E279" s="33" t="n"/>
      <c r="F279" s="33" t="n"/>
      <c r="G279" s="33" t="n"/>
      <c r="H279" s="33" t="n"/>
      <c r="I279" s="33" t="n"/>
      <c r="J279" s="33" t="n"/>
      <c r="K279" s="33" t="n"/>
      <c r="L279" s="33" t="n"/>
      <c r="M279" s="33" t="n"/>
      <c r="N279" s="33" t="n"/>
      <c r="O279" s="33" t="n"/>
      <c r="P279" s="33" t="n"/>
      <c r="Q279" s="33" t="n"/>
      <c r="R279" s="33" t="n"/>
      <c r="S279" s="33" t="n"/>
      <c r="T279" s="33" t="n"/>
      <c r="U279" s="33" t="n"/>
      <c r="V279" s="33" t="n"/>
      <c r="W279" s="34" t="n"/>
      <c r="X279" s="33" t="n"/>
      <c r="Y279" s="35" t="n"/>
      <c r="Z279" s="157">
        <f>IF(OR(Y279="",X279=""),"",IFERROR(Y279*INDEX(FXRates[USD per unit],MATCH(X279,FXRates[Currency],0)),"No rate"))</f>
        <v/>
      </c>
      <c r="AA279" s="32" t="n"/>
      <c r="AB279" s="32" t="n"/>
      <c r="AC279" s="36">
        <f>IF(A279="","",IF(COUNTIF($A$6:$A$504,A279)&gt;1,"⚠ Duplicate",""))</f>
        <v/>
      </c>
      <c r="AD279" s="43" t="n"/>
      <c r="AE279" s="43" t="n"/>
      <c r="AF279" s="43" t="n"/>
      <c r="AG279" s="43" t="n"/>
      <c r="AH279" s="43" t="n"/>
      <c r="AI279" s="43" t="n"/>
      <c r="AJ279" s="43" t="n"/>
      <c r="AK279" s="43" t="n"/>
      <c r="AL279" s="43" t="n"/>
      <c r="AM279" s="43" t="n"/>
      <c r="AN279" s="43" t="n"/>
      <c r="AO279" s="43" t="n"/>
      <c r="AP279" s="43" t="n"/>
      <c r="AQ279" s="43" t="n"/>
    </row>
    <row r="280" ht="18" customHeight="1" s="74">
      <c r="A280" s="38" t="n"/>
      <c r="B280" s="38" t="n"/>
      <c r="C280" s="38" t="n"/>
      <c r="D280" s="38" t="n"/>
      <c r="E280" s="39" t="n"/>
      <c r="F280" s="39" t="n"/>
      <c r="G280" s="39" t="n"/>
      <c r="H280" s="39" t="n"/>
      <c r="I280" s="39" t="n"/>
      <c r="J280" s="39" t="n"/>
      <c r="K280" s="39" t="n"/>
      <c r="L280" s="39" t="n"/>
      <c r="M280" s="39" t="n"/>
      <c r="N280" s="39" t="n"/>
      <c r="O280" s="39" t="n"/>
      <c r="P280" s="39" t="n"/>
      <c r="Q280" s="39" t="n"/>
      <c r="R280" s="39" t="n"/>
      <c r="S280" s="39" t="n"/>
      <c r="T280" s="39" t="n"/>
      <c r="U280" s="39" t="n"/>
      <c r="V280" s="39" t="n"/>
      <c r="W280" s="34" t="n"/>
      <c r="X280" s="39" t="n"/>
      <c r="Y280" s="40" t="n"/>
      <c r="Z280" s="158">
        <f>IF(OR(Y280="",X280=""),"",IFERROR(Y280*INDEX(FXRates[USD per unit],MATCH(X280,FXRates[Currency],0)),"No rate"))</f>
        <v/>
      </c>
      <c r="AA280" s="38" t="n"/>
      <c r="AB280" s="38" t="n"/>
      <c r="AC280" s="41">
        <f>IF(A280="","",IF(COUNTIF($A$6:$A$504,A280)&gt;1,"⚠ Duplicate",""))</f>
        <v/>
      </c>
      <c r="AD280" s="42" t="n"/>
      <c r="AE280" s="42" t="n"/>
      <c r="AF280" s="42" t="n"/>
      <c r="AG280" s="42" t="n"/>
      <c r="AH280" s="42" t="n"/>
      <c r="AI280" s="42" t="n"/>
      <c r="AJ280" s="42" t="n"/>
      <c r="AK280" s="42" t="n"/>
      <c r="AL280" s="42" t="n"/>
      <c r="AM280" s="42" t="n"/>
      <c r="AN280" s="42" t="n"/>
      <c r="AO280" s="42" t="n"/>
      <c r="AP280" s="42" t="n"/>
      <c r="AQ280" s="42" t="n"/>
    </row>
    <row r="281" ht="18" customHeight="1" s="74">
      <c r="A281" s="32" t="n"/>
      <c r="B281" s="32" t="n"/>
      <c r="C281" s="32" t="n"/>
      <c r="D281" s="32" t="n"/>
      <c r="E281" s="33" t="n"/>
      <c r="F281" s="33" t="n"/>
      <c r="G281" s="33" t="n"/>
      <c r="H281" s="33" t="n"/>
      <c r="I281" s="33" t="n"/>
      <c r="J281" s="33" t="n"/>
      <c r="K281" s="33" t="n"/>
      <c r="L281" s="33" t="n"/>
      <c r="M281" s="33" t="n"/>
      <c r="N281" s="33" t="n"/>
      <c r="O281" s="33" t="n"/>
      <c r="P281" s="33" t="n"/>
      <c r="Q281" s="33" t="n"/>
      <c r="R281" s="33" t="n"/>
      <c r="S281" s="33" t="n"/>
      <c r="T281" s="33" t="n"/>
      <c r="U281" s="33" t="n"/>
      <c r="V281" s="33" t="n"/>
      <c r="W281" s="34" t="n"/>
      <c r="X281" s="33" t="n"/>
      <c r="Y281" s="35" t="n"/>
      <c r="Z281" s="157">
        <f>IF(OR(Y281="",X281=""),"",IFERROR(Y281*INDEX(FXRates[USD per unit],MATCH(X281,FXRates[Currency],0)),"No rate"))</f>
        <v/>
      </c>
      <c r="AA281" s="32" t="n"/>
      <c r="AB281" s="32" t="n"/>
      <c r="AC281" s="36">
        <f>IF(A281="","",IF(COUNTIF($A$6:$A$504,A281)&gt;1,"⚠ Duplicate",""))</f>
        <v/>
      </c>
      <c r="AD281" s="43" t="n"/>
      <c r="AE281" s="43" t="n"/>
      <c r="AF281" s="43" t="n"/>
      <c r="AG281" s="43" t="n"/>
      <c r="AH281" s="43" t="n"/>
      <c r="AI281" s="43" t="n"/>
      <c r="AJ281" s="43" t="n"/>
      <c r="AK281" s="43" t="n"/>
      <c r="AL281" s="43" t="n"/>
      <c r="AM281" s="43" t="n"/>
      <c r="AN281" s="43" t="n"/>
      <c r="AO281" s="43" t="n"/>
      <c r="AP281" s="43" t="n"/>
      <c r="AQ281" s="43" t="n"/>
    </row>
    <row r="282" ht="18" customHeight="1" s="74">
      <c r="A282" s="38" t="n"/>
      <c r="B282" s="38" t="n"/>
      <c r="C282" s="38" t="n"/>
      <c r="D282" s="38" t="n"/>
      <c r="E282" s="39" t="n"/>
      <c r="F282" s="39" t="n"/>
      <c r="G282" s="39" t="n"/>
      <c r="H282" s="39" t="n"/>
      <c r="I282" s="39" t="n"/>
      <c r="J282" s="39" t="n"/>
      <c r="K282" s="39" t="n"/>
      <c r="L282" s="39" t="n"/>
      <c r="M282" s="39" t="n"/>
      <c r="N282" s="39" t="n"/>
      <c r="O282" s="39" t="n"/>
      <c r="P282" s="39" t="n"/>
      <c r="Q282" s="39" t="n"/>
      <c r="R282" s="39" t="n"/>
      <c r="S282" s="39" t="n"/>
      <c r="T282" s="39" t="n"/>
      <c r="U282" s="39" t="n"/>
      <c r="V282" s="39" t="n"/>
      <c r="W282" s="34" t="n"/>
      <c r="X282" s="39" t="n"/>
      <c r="Y282" s="40" t="n"/>
      <c r="Z282" s="158">
        <f>IF(OR(Y282="",X282=""),"",IFERROR(Y282*INDEX(FXRates[USD per unit],MATCH(X282,FXRates[Currency],0)),"No rate"))</f>
        <v/>
      </c>
      <c r="AA282" s="38" t="n"/>
      <c r="AB282" s="38" t="n"/>
      <c r="AC282" s="41">
        <f>IF(A282="","",IF(COUNTIF($A$6:$A$504,A282)&gt;1,"⚠ Duplicate",""))</f>
        <v/>
      </c>
      <c r="AD282" s="42" t="n"/>
      <c r="AE282" s="42" t="n"/>
      <c r="AF282" s="42" t="n"/>
      <c r="AG282" s="42" t="n"/>
      <c r="AH282" s="42" t="n"/>
      <c r="AI282" s="42" t="n"/>
      <c r="AJ282" s="42" t="n"/>
      <c r="AK282" s="42" t="n"/>
      <c r="AL282" s="42" t="n"/>
      <c r="AM282" s="42" t="n"/>
      <c r="AN282" s="42" t="n"/>
      <c r="AO282" s="42" t="n"/>
      <c r="AP282" s="42" t="n"/>
      <c r="AQ282" s="42" t="n"/>
    </row>
    <row r="283" ht="18" customHeight="1" s="74">
      <c r="A283" s="32" t="n"/>
      <c r="B283" s="32" t="n"/>
      <c r="C283" s="32" t="n"/>
      <c r="D283" s="32" t="n"/>
      <c r="E283" s="33" t="n"/>
      <c r="F283" s="33" t="n"/>
      <c r="G283" s="33" t="n"/>
      <c r="H283" s="33" t="n"/>
      <c r="I283" s="33" t="n"/>
      <c r="J283" s="33" t="n"/>
      <c r="K283" s="33" t="n"/>
      <c r="L283" s="33" t="n"/>
      <c r="M283" s="33" t="n"/>
      <c r="N283" s="33" t="n"/>
      <c r="O283" s="33" t="n"/>
      <c r="P283" s="33" t="n"/>
      <c r="Q283" s="33" t="n"/>
      <c r="R283" s="33" t="n"/>
      <c r="S283" s="33" t="n"/>
      <c r="T283" s="33" t="n"/>
      <c r="U283" s="33" t="n"/>
      <c r="V283" s="33" t="n"/>
      <c r="W283" s="34" t="n"/>
      <c r="X283" s="33" t="n"/>
      <c r="Y283" s="35" t="n"/>
      <c r="Z283" s="157">
        <f>IF(OR(Y283="",X283=""),"",IFERROR(Y283*INDEX(FXRates[USD per unit],MATCH(X283,FXRates[Currency],0)),"No rate"))</f>
        <v/>
      </c>
      <c r="AA283" s="32" t="n"/>
      <c r="AB283" s="32" t="n"/>
      <c r="AC283" s="36">
        <f>IF(A283="","",IF(COUNTIF($A$6:$A$504,A283)&gt;1,"⚠ Duplicate",""))</f>
        <v/>
      </c>
      <c r="AD283" s="43" t="n"/>
      <c r="AE283" s="43" t="n"/>
      <c r="AF283" s="43" t="n"/>
      <c r="AG283" s="43" t="n"/>
      <c r="AH283" s="43" t="n"/>
      <c r="AI283" s="43" t="n"/>
      <c r="AJ283" s="43" t="n"/>
      <c r="AK283" s="43" t="n"/>
      <c r="AL283" s="43" t="n"/>
      <c r="AM283" s="43" t="n"/>
      <c r="AN283" s="43" t="n"/>
      <c r="AO283" s="43" t="n"/>
      <c r="AP283" s="43" t="n"/>
      <c r="AQ283" s="43" t="n"/>
    </row>
    <row r="284" ht="18" customHeight="1" s="74">
      <c r="A284" s="38" t="n"/>
      <c r="B284" s="38" t="n"/>
      <c r="C284" s="38" t="n"/>
      <c r="D284" s="38" t="n"/>
      <c r="E284" s="39" t="n"/>
      <c r="F284" s="39" t="n"/>
      <c r="G284" s="39" t="n"/>
      <c r="H284" s="39" t="n"/>
      <c r="I284" s="39" t="n"/>
      <c r="J284" s="39" t="n"/>
      <c r="K284" s="39" t="n"/>
      <c r="L284" s="39" t="n"/>
      <c r="M284" s="39" t="n"/>
      <c r="N284" s="39" t="n"/>
      <c r="O284" s="39" t="n"/>
      <c r="P284" s="39" t="n"/>
      <c r="Q284" s="39" t="n"/>
      <c r="R284" s="39" t="n"/>
      <c r="S284" s="39" t="n"/>
      <c r="T284" s="39" t="n"/>
      <c r="U284" s="39" t="n"/>
      <c r="V284" s="39" t="n"/>
      <c r="W284" s="34" t="n"/>
      <c r="X284" s="39" t="n"/>
      <c r="Y284" s="40" t="n"/>
      <c r="Z284" s="158">
        <f>IF(OR(Y284="",X284=""),"",IFERROR(Y284*INDEX(FXRates[USD per unit],MATCH(X284,FXRates[Currency],0)),"No rate"))</f>
        <v/>
      </c>
      <c r="AA284" s="38" t="n"/>
      <c r="AB284" s="38" t="n"/>
      <c r="AC284" s="41">
        <f>IF(A284="","",IF(COUNTIF($A$6:$A$504,A284)&gt;1,"⚠ Duplicate",""))</f>
        <v/>
      </c>
      <c r="AD284" s="42" t="n"/>
      <c r="AE284" s="42" t="n"/>
      <c r="AF284" s="42" t="n"/>
      <c r="AG284" s="42" t="n"/>
      <c r="AH284" s="42" t="n"/>
      <c r="AI284" s="42" t="n"/>
      <c r="AJ284" s="42" t="n"/>
      <c r="AK284" s="42" t="n"/>
      <c r="AL284" s="42" t="n"/>
      <c r="AM284" s="42" t="n"/>
      <c r="AN284" s="42" t="n"/>
      <c r="AO284" s="42" t="n"/>
      <c r="AP284" s="42" t="n"/>
      <c r="AQ284" s="42" t="n"/>
    </row>
    <row r="285" ht="18" customHeight="1" s="74">
      <c r="A285" s="32" t="n"/>
      <c r="B285" s="32" t="n"/>
      <c r="C285" s="32" t="n"/>
      <c r="D285" s="32" t="n"/>
      <c r="E285" s="33" t="n"/>
      <c r="F285" s="33" t="n"/>
      <c r="G285" s="33" t="n"/>
      <c r="H285" s="33" t="n"/>
      <c r="I285" s="33" t="n"/>
      <c r="J285" s="33" t="n"/>
      <c r="K285" s="33" t="n"/>
      <c r="L285" s="33" t="n"/>
      <c r="M285" s="33" t="n"/>
      <c r="N285" s="33" t="n"/>
      <c r="O285" s="33" t="n"/>
      <c r="P285" s="33" t="n"/>
      <c r="Q285" s="33" t="n"/>
      <c r="R285" s="33" t="n"/>
      <c r="S285" s="33" t="n"/>
      <c r="T285" s="33" t="n"/>
      <c r="U285" s="33" t="n"/>
      <c r="V285" s="33" t="n"/>
      <c r="W285" s="34" t="n"/>
      <c r="X285" s="33" t="n"/>
      <c r="Y285" s="35" t="n"/>
      <c r="Z285" s="157">
        <f>IF(OR(Y285="",X285=""),"",IFERROR(Y285*INDEX(FXRates[USD per unit],MATCH(X285,FXRates[Currency],0)),"No rate"))</f>
        <v/>
      </c>
      <c r="AA285" s="32" t="n"/>
      <c r="AB285" s="32" t="n"/>
      <c r="AC285" s="36">
        <f>IF(A285="","",IF(COUNTIF($A$6:$A$504,A285)&gt;1,"⚠ Duplicate",""))</f>
        <v/>
      </c>
      <c r="AD285" s="43" t="n"/>
      <c r="AE285" s="43" t="n"/>
      <c r="AF285" s="43" t="n"/>
      <c r="AG285" s="43" t="n"/>
      <c r="AH285" s="43" t="n"/>
      <c r="AI285" s="43" t="n"/>
      <c r="AJ285" s="43" t="n"/>
      <c r="AK285" s="43" t="n"/>
      <c r="AL285" s="43" t="n"/>
      <c r="AM285" s="43" t="n"/>
      <c r="AN285" s="43" t="n"/>
      <c r="AO285" s="43" t="n"/>
      <c r="AP285" s="43" t="n"/>
      <c r="AQ285" s="43" t="n"/>
    </row>
    <row r="286" ht="18" customHeight="1" s="74">
      <c r="A286" s="38" t="n"/>
      <c r="B286" s="38" t="n"/>
      <c r="C286" s="38" t="n"/>
      <c r="D286" s="38" t="n"/>
      <c r="E286" s="39" t="n"/>
      <c r="F286" s="39" t="n"/>
      <c r="G286" s="39" t="n"/>
      <c r="H286" s="39" t="n"/>
      <c r="I286" s="39" t="n"/>
      <c r="J286" s="39" t="n"/>
      <c r="K286" s="39" t="n"/>
      <c r="L286" s="39" t="n"/>
      <c r="M286" s="39" t="n"/>
      <c r="N286" s="39" t="n"/>
      <c r="O286" s="39" t="n"/>
      <c r="P286" s="39" t="n"/>
      <c r="Q286" s="39" t="n"/>
      <c r="R286" s="39" t="n"/>
      <c r="S286" s="39" t="n"/>
      <c r="T286" s="39" t="n"/>
      <c r="U286" s="39" t="n"/>
      <c r="V286" s="39" t="n"/>
      <c r="W286" s="34" t="n"/>
      <c r="X286" s="39" t="n"/>
      <c r="Y286" s="40" t="n"/>
      <c r="Z286" s="158">
        <f>IF(OR(Y286="",X286=""),"",IFERROR(Y286*INDEX(FXRates[USD per unit],MATCH(X286,FXRates[Currency],0)),"No rate"))</f>
        <v/>
      </c>
      <c r="AA286" s="38" t="n"/>
      <c r="AB286" s="38" t="n"/>
      <c r="AC286" s="41">
        <f>IF(A286="","",IF(COUNTIF($A$6:$A$504,A286)&gt;1,"⚠ Duplicate",""))</f>
        <v/>
      </c>
      <c r="AD286" s="42" t="n"/>
      <c r="AE286" s="42" t="n"/>
      <c r="AF286" s="42" t="n"/>
      <c r="AG286" s="42" t="n"/>
      <c r="AH286" s="42" t="n"/>
      <c r="AI286" s="42" t="n"/>
      <c r="AJ286" s="42" t="n"/>
      <c r="AK286" s="42" t="n"/>
      <c r="AL286" s="42" t="n"/>
      <c r="AM286" s="42" t="n"/>
      <c r="AN286" s="42" t="n"/>
      <c r="AO286" s="42" t="n"/>
      <c r="AP286" s="42" t="n"/>
      <c r="AQ286" s="42" t="n"/>
    </row>
    <row r="287" ht="18" customHeight="1" s="74">
      <c r="A287" s="32" t="n"/>
      <c r="B287" s="32" t="n"/>
      <c r="C287" s="32" t="n"/>
      <c r="D287" s="32" t="n"/>
      <c r="E287" s="33" t="n"/>
      <c r="F287" s="33" t="n"/>
      <c r="G287" s="33" t="n"/>
      <c r="H287" s="33" t="n"/>
      <c r="I287" s="33" t="n"/>
      <c r="J287" s="33" t="n"/>
      <c r="K287" s="33" t="n"/>
      <c r="L287" s="33" t="n"/>
      <c r="M287" s="33" t="n"/>
      <c r="N287" s="33" t="n"/>
      <c r="O287" s="33" t="n"/>
      <c r="P287" s="33" t="n"/>
      <c r="Q287" s="33" t="n"/>
      <c r="R287" s="33" t="n"/>
      <c r="S287" s="33" t="n"/>
      <c r="T287" s="33" t="n"/>
      <c r="U287" s="33" t="n"/>
      <c r="V287" s="33" t="n"/>
      <c r="W287" s="34" t="n"/>
      <c r="X287" s="33" t="n"/>
      <c r="Y287" s="35" t="n"/>
      <c r="Z287" s="157">
        <f>IF(OR(Y287="",X287=""),"",IFERROR(Y287*INDEX(FXRates[USD per unit],MATCH(X287,FXRates[Currency],0)),"No rate"))</f>
        <v/>
      </c>
      <c r="AA287" s="32" t="n"/>
      <c r="AB287" s="32" t="n"/>
      <c r="AC287" s="36">
        <f>IF(A287="","",IF(COUNTIF($A$6:$A$504,A287)&gt;1,"⚠ Duplicate",""))</f>
        <v/>
      </c>
      <c r="AD287" s="43" t="n"/>
      <c r="AE287" s="43" t="n"/>
      <c r="AF287" s="43" t="n"/>
      <c r="AG287" s="43" t="n"/>
      <c r="AH287" s="43" t="n"/>
      <c r="AI287" s="43" t="n"/>
      <c r="AJ287" s="43" t="n"/>
      <c r="AK287" s="43" t="n"/>
      <c r="AL287" s="43" t="n"/>
      <c r="AM287" s="43" t="n"/>
      <c r="AN287" s="43" t="n"/>
      <c r="AO287" s="43" t="n"/>
      <c r="AP287" s="43" t="n"/>
      <c r="AQ287" s="43" t="n"/>
    </row>
    <row r="288" ht="18" customHeight="1" s="74">
      <c r="A288" s="38" t="n"/>
      <c r="B288" s="38" t="n"/>
      <c r="C288" s="38" t="n"/>
      <c r="D288" s="38" t="n"/>
      <c r="E288" s="39" t="n"/>
      <c r="F288" s="39" t="n"/>
      <c r="G288" s="39" t="n"/>
      <c r="H288" s="39" t="n"/>
      <c r="I288" s="39" t="n"/>
      <c r="J288" s="39" t="n"/>
      <c r="K288" s="39" t="n"/>
      <c r="L288" s="39" t="n"/>
      <c r="M288" s="39" t="n"/>
      <c r="N288" s="39" t="n"/>
      <c r="O288" s="39" t="n"/>
      <c r="P288" s="39" t="n"/>
      <c r="Q288" s="39" t="n"/>
      <c r="R288" s="39" t="n"/>
      <c r="S288" s="39" t="n"/>
      <c r="T288" s="39" t="n"/>
      <c r="U288" s="39" t="n"/>
      <c r="V288" s="39" t="n"/>
      <c r="W288" s="34" t="n"/>
      <c r="X288" s="39" t="n"/>
      <c r="Y288" s="40" t="n"/>
      <c r="Z288" s="158">
        <f>IF(OR(Y288="",X288=""),"",IFERROR(Y288*INDEX(FXRates[USD per unit],MATCH(X288,FXRates[Currency],0)),"No rate"))</f>
        <v/>
      </c>
      <c r="AA288" s="38" t="n"/>
      <c r="AB288" s="38" t="n"/>
      <c r="AC288" s="41">
        <f>IF(A288="","",IF(COUNTIF($A$6:$A$504,A288)&gt;1,"⚠ Duplicate",""))</f>
        <v/>
      </c>
      <c r="AD288" s="42" t="n"/>
      <c r="AE288" s="42" t="n"/>
      <c r="AF288" s="42" t="n"/>
      <c r="AG288" s="42" t="n"/>
      <c r="AH288" s="42" t="n"/>
      <c r="AI288" s="42" t="n"/>
      <c r="AJ288" s="42" t="n"/>
      <c r="AK288" s="42" t="n"/>
      <c r="AL288" s="42" t="n"/>
      <c r="AM288" s="42" t="n"/>
      <c r="AN288" s="42" t="n"/>
      <c r="AO288" s="42" t="n"/>
      <c r="AP288" s="42" t="n"/>
      <c r="AQ288" s="42" t="n"/>
    </row>
    <row r="289" ht="18" customHeight="1" s="74">
      <c r="A289" s="32" t="n"/>
      <c r="B289" s="32" t="n"/>
      <c r="C289" s="32" t="n"/>
      <c r="D289" s="32" t="n"/>
      <c r="E289" s="33" t="n"/>
      <c r="F289" s="33" t="n"/>
      <c r="G289" s="33" t="n"/>
      <c r="H289" s="33" t="n"/>
      <c r="I289" s="33" t="n"/>
      <c r="J289" s="33" t="n"/>
      <c r="K289" s="33" t="n"/>
      <c r="L289" s="33" t="n"/>
      <c r="M289" s="33" t="n"/>
      <c r="N289" s="33" t="n"/>
      <c r="O289" s="33" t="n"/>
      <c r="P289" s="33" t="n"/>
      <c r="Q289" s="33" t="n"/>
      <c r="R289" s="33" t="n"/>
      <c r="S289" s="33" t="n"/>
      <c r="T289" s="33" t="n"/>
      <c r="U289" s="33" t="n"/>
      <c r="V289" s="33" t="n"/>
      <c r="W289" s="34" t="n"/>
      <c r="X289" s="33" t="n"/>
      <c r="Y289" s="35" t="n"/>
      <c r="Z289" s="157">
        <f>IF(OR(Y289="",X289=""),"",IFERROR(Y289*INDEX(FXRates[USD per unit],MATCH(X289,FXRates[Currency],0)),"No rate"))</f>
        <v/>
      </c>
      <c r="AA289" s="32" t="n"/>
      <c r="AB289" s="32" t="n"/>
      <c r="AC289" s="36">
        <f>IF(A289="","",IF(COUNTIF($A$6:$A$504,A289)&gt;1,"⚠ Duplicate",""))</f>
        <v/>
      </c>
      <c r="AD289" s="43" t="n"/>
      <c r="AE289" s="43" t="n"/>
      <c r="AF289" s="43" t="n"/>
      <c r="AG289" s="43" t="n"/>
      <c r="AH289" s="43" t="n"/>
      <c r="AI289" s="43" t="n"/>
      <c r="AJ289" s="43" t="n"/>
      <c r="AK289" s="43" t="n"/>
      <c r="AL289" s="43" t="n"/>
      <c r="AM289" s="43" t="n"/>
      <c r="AN289" s="43" t="n"/>
      <c r="AO289" s="43" t="n"/>
      <c r="AP289" s="43" t="n"/>
      <c r="AQ289" s="43" t="n"/>
    </row>
    <row r="290" ht="18" customHeight="1" s="74">
      <c r="A290" s="38" t="n"/>
      <c r="B290" s="38" t="n"/>
      <c r="C290" s="38" t="n"/>
      <c r="D290" s="38" t="n"/>
      <c r="E290" s="39" t="n"/>
      <c r="F290" s="39" t="n"/>
      <c r="G290" s="39" t="n"/>
      <c r="H290" s="39" t="n"/>
      <c r="I290" s="39" t="n"/>
      <c r="J290" s="39" t="n"/>
      <c r="K290" s="39" t="n"/>
      <c r="L290" s="39" t="n"/>
      <c r="M290" s="39" t="n"/>
      <c r="N290" s="39" t="n"/>
      <c r="O290" s="39" t="n"/>
      <c r="P290" s="39" t="n"/>
      <c r="Q290" s="39" t="n"/>
      <c r="R290" s="39" t="n"/>
      <c r="S290" s="39" t="n"/>
      <c r="T290" s="39" t="n"/>
      <c r="U290" s="39" t="n"/>
      <c r="V290" s="39" t="n"/>
      <c r="W290" s="34" t="n"/>
      <c r="X290" s="39" t="n"/>
      <c r="Y290" s="40" t="n"/>
      <c r="Z290" s="158">
        <f>IF(OR(Y290="",X290=""),"",IFERROR(Y290*INDEX(FXRates[USD per unit],MATCH(X290,FXRates[Currency],0)),"No rate"))</f>
        <v/>
      </c>
      <c r="AA290" s="38" t="n"/>
      <c r="AB290" s="38" t="n"/>
      <c r="AC290" s="41">
        <f>IF(A290="","",IF(COUNTIF($A$6:$A$504,A290)&gt;1,"⚠ Duplicate",""))</f>
        <v/>
      </c>
      <c r="AD290" s="42" t="n"/>
      <c r="AE290" s="42" t="n"/>
      <c r="AF290" s="42" t="n"/>
      <c r="AG290" s="42" t="n"/>
      <c r="AH290" s="42" t="n"/>
      <c r="AI290" s="42" t="n"/>
      <c r="AJ290" s="42" t="n"/>
      <c r="AK290" s="42" t="n"/>
      <c r="AL290" s="42" t="n"/>
      <c r="AM290" s="42" t="n"/>
      <c r="AN290" s="42" t="n"/>
      <c r="AO290" s="42" t="n"/>
      <c r="AP290" s="42" t="n"/>
      <c r="AQ290" s="42" t="n"/>
    </row>
    <row r="291" ht="18" customHeight="1" s="74">
      <c r="A291" s="32" t="n"/>
      <c r="B291" s="32" t="n"/>
      <c r="C291" s="32" t="n"/>
      <c r="D291" s="32" t="n"/>
      <c r="E291" s="33" t="n"/>
      <c r="F291" s="33" t="n"/>
      <c r="G291" s="33" t="n"/>
      <c r="H291" s="33" t="n"/>
      <c r="I291" s="33" t="n"/>
      <c r="J291" s="33" t="n"/>
      <c r="K291" s="33" t="n"/>
      <c r="L291" s="33" t="n"/>
      <c r="M291" s="33" t="n"/>
      <c r="N291" s="33" t="n"/>
      <c r="O291" s="33" t="n"/>
      <c r="P291" s="33" t="n"/>
      <c r="Q291" s="33" t="n"/>
      <c r="R291" s="33" t="n"/>
      <c r="S291" s="33" t="n"/>
      <c r="T291" s="33" t="n"/>
      <c r="U291" s="33" t="n"/>
      <c r="V291" s="33" t="n"/>
      <c r="W291" s="34" t="n"/>
      <c r="X291" s="33" t="n"/>
      <c r="Y291" s="35" t="n"/>
      <c r="Z291" s="157">
        <f>IF(OR(Y291="",X291=""),"",IFERROR(Y291*INDEX(FXRates[USD per unit],MATCH(X291,FXRates[Currency],0)),"No rate"))</f>
        <v/>
      </c>
      <c r="AA291" s="32" t="n"/>
      <c r="AB291" s="32" t="n"/>
      <c r="AC291" s="36">
        <f>IF(A291="","",IF(COUNTIF($A$6:$A$504,A291)&gt;1,"⚠ Duplicate",""))</f>
        <v/>
      </c>
      <c r="AD291" s="43" t="n"/>
      <c r="AE291" s="43" t="n"/>
      <c r="AF291" s="43" t="n"/>
      <c r="AG291" s="43" t="n"/>
      <c r="AH291" s="43" t="n"/>
      <c r="AI291" s="43" t="n"/>
      <c r="AJ291" s="43" t="n"/>
      <c r="AK291" s="43" t="n"/>
      <c r="AL291" s="43" t="n"/>
      <c r="AM291" s="43" t="n"/>
      <c r="AN291" s="43" t="n"/>
      <c r="AO291" s="43" t="n"/>
      <c r="AP291" s="43" t="n"/>
      <c r="AQ291" s="43" t="n"/>
    </row>
    <row r="292" ht="18" customHeight="1" s="74">
      <c r="A292" s="38" t="n"/>
      <c r="B292" s="38" t="n"/>
      <c r="C292" s="38" t="n"/>
      <c r="D292" s="38" t="n"/>
      <c r="E292" s="39" t="n"/>
      <c r="F292" s="39" t="n"/>
      <c r="G292" s="39" t="n"/>
      <c r="H292" s="39" t="n"/>
      <c r="I292" s="39" t="n"/>
      <c r="J292" s="39" t="n"/>
      <c r="K292" s="39" t="n"/>
      <c r="L292" s="39" t="n"/>
      <c r="M292" s="39" t="n"/>
      <c r="N292" s="39" t="n"/>
      <c r="O292" s="39" t="n"/>
      <c r="P292" s="39" t="n"/>
      <c r="Q292" s="39" t="n"/>
      <c r="R292" s="39" t="n"/>
      <c r="S292" s="39" t="n"/>
      <c r="T292" s="39" t="n"/>
      <c r="U292" s="39" t="n"/>
      <c r="V292" s="39" t="n"/>
      <c r="W292" s="34" t="n"/>
      <c r="X292" s="39" t="n"/>
      <c r="Y292" s="40" t="n"/>
      <c r="Z292" s="158">
        <f>IF(OR(Y292="",X292=""),"",IFERROR(Y292*INDEX(FXRates[USD per unit],MATCH(X292,FXRates[Currency],0)),"No rate"))</f>
        <v/>
      </c>
      <c r="AA292" s="38" t="n"/>
      <c r="AB292" s="38" t="n"/>
      <c r="AC292" s="41">
        <f>IF(A292="","",IF(COUNTIF($A$6:$A$504,A292)&gt;1,"⚠ Duplicate",""))</f>
        <v/>
      </c>
      <c r="AD292" s="42" t="n"/>
      <c r="AE292" s="42" t="n"/>
      <c r="AF292" s="42" t="n"/>
      <c r="AG292" s="42" t="n"/>
      <c r="AH292" s="42" t="n"/>
      <c r="AI292" s="42" t="n"/>
      <c r="AJ292" s="42" t="n"/>
      <c r="AK292" s="42" t="n"/>
      <c r="AL292" s="42" t="n"/>
      <c r="AM292" s="42" t="n"/>
      <c r="AN292" s="42" t="n"/>
      <c r="AO292" s="42" t="n"/>
      <c r="AP292" s="42" t="n"/>
      <c r="AQ292" s="42" t="n"/>
    </row>
    <row r="293" ht="18" customHeight="1" s="74">
      <c r="A293" s="32" t="n"/>
      <c r="B293" s="32" t="n"/>
      <c r="C293" s="32" t="n"/>
      <c r="D293" s="32" t="n"/>
      <c r="E293" s="33" t="n"/>
      <c r="F293" s="33" t="n"/>
      <c r="G293" s="33" t="n"/>
      <c r="H293" s="33" t="n"/>
      <c r="I293" s="33" t="n"/>
      <c r="J293" s="33" t="n"/>
      <c r="K293" s="33" t="n"/>
      <c r="L293" s="33" t="n"/>
      <c r="M293" s="33" t="n"/>
      <c r="N293" s="33" t="n"/>
      <c r="O293" s="33" t="n"/>
      <c r="P293" s="33" t="n"/>
      <c r="Q293" s="33" t="n"/>
      <c r="R293" s="33" t="n"/>
      <c r="S293" s="33" t="n"/>
      <c r="T293" s="33" t="n"/>
      <c r="U293" s="33" t="n"/>
      <c r="V293" s="33" t="n"/>
      <c r="W293" s="34" t="n"/>
      <c r="X293" s="33" t="n"/>
      <c r="Y293" s="35" t="n"/>
      <c r="Z293" s="157">
        <f>IF(OR(Y293="",X293=""),"",IFERROR(Y293*INDEX(FXRates[USD per unit],MATCH(X293,FXRates[Currency],0)),"No rate"))</f>
        <v/>
      </c>
      <c r="AA293" s="32" t="n"/>
      <c r="AB293" s="32" t="n"/>
      <c r="AC293" s="36">
        <f>IF(A293="","",IF(COUNTIF($A$6:$A$504,A293)&gt;1,"⚠ Duplicate",""))</f>
        <v/>
      </c>
      <c r="AD293" s="43" t="n"/>
      <c r="AE293" s="43" t="n"/>
      <c r="AF293" s="43" t="n"/>
      <c r="AG293" s="43" t="n"/>
      <c r="AH293" s="43" t="n"/>
      <c r="AI293" s="43" t="n"/>
      <c r="AJ293" s="43" t="n"/>
      <c r="AK293" s="43" t="n"/>
      <c r="AL293" s="43" t="n"/>
      <c r="AM293" s="43" t="n"/>
      <c r="AN293" s="43" t="n"/>
      <c r="AO293" s="43" t="n"/>
      <c r="AP293" s="43" t="n"/>
      <c r="AQ293" s="43" t="n"/>
    </row>
    <row r="294" ht="18" customHeight="1" s="74">
      <c r="A294" s="38" t="n"/>
      <c r="B294" s="38" t="n"/>
      <c r="C294" s="38" t="n"/>
      <c r="D294" s="38" t="n"/>
      <c r="E294" s="39" t="n"/>
      <c r="F294" s="39" t="n"/>
      <c r="G294" s="39" t="n"/>
      <c r="H294" s="39" t="n"/>
      <c r="I294" s="39" t="n"/>
      <c r="J294" s="39" t="n"/>
      <c r="K294" s="39" t="n"/>
      <c r="L294" s="39" t="n"/>
      <c r="M294" s="39" t="n"/>
      <c r="N294" s="39" t="n"/>
      <c r="O294" s="39" t="n"/>
      <c r="P294" s="39" t="n"/>
      <c r="Q294" s="39" t="n"/>
      <c r="R294" s="39" t="n"/>
      <c r="S294" s="39" t="n"/>
      <c r="T294" s="39" t="n"/>
      <c r="U294" s="39" t="n"/>
      <c r="V294" s="39" t="n"/>
      <c r="W294" s="34" t="n"/>
      <c r="X294" s="39" t="n"/>
      <c r="Y294" s="40" t="n"/>
      <c r="Z294" s="158">
        <f>IF(OR(Y294="",X294=""),"",IFERROR(Y294*INDEX(FXRates[USD per unit],MATCH(X294,FXRates[Currency],0)),"No rate"))</f>
        <v/>
      </c>
      <c r="AA294" s="38" t="n"/>
      <c r="AB294" s="38" t="n"/>
      <c r="AC294" s="41">
        <f>IF(A294="","",IF(COUNTIF($A$6:$A$504,A294)&gt;1,"⚠ Duplicate",""))</f>
        <v/>
      </c>
      <c r="AD294" s="42" t="n"/>
      <c r="AE294" s="42" t="n"/>
      <c r="AF294" s="42" t="n"/>
      <c r="AG294" s="42" t="n"/>
      <c r="AH294" s="42" t="n"/>
      <c r="AI294" s="42" t="n"/>
      <c r="AJ294" s="42" t="n"/>
      <c r="AK294" s="42" t="n"/>
      <c r="AL294" s="42" t="n"/>
      <c r="AM294" s="42" t="n"/>
      <c r="AN294" s="42" t="n"/>
      <c r="AO294" s="42" t="n"/>
      <c r="AP294" s="42" t="n"/>
      <c r="AQ294" s="42" t="n"/>
    </row>
    <row r="295" ht="18" customHeight="1" s="74">
      <c r="A295" s="32" t="n"/>
      <c r="B295" s="32" t="n"/>
      <c r="C295" s="32" t="n"/>
      <c r="D295" s="32" t="n"/>
      <c r="E295" s="33" t="n"/>
      <c r="F295" s="33" t="n"/>
      <c r="G295" s="33" t="n"/>
      <c r="H295" s="33" t="n"/>
      <c r="I295" s="33" t="n"/>
      <c r="J295" s="33" t="n"/>
      <c r="K295" s="33" t="n"/>
      <c r="L295" s="33" t="n"/>
      <c r="M295" s="33" t="n"/>
      <c r="N295" s="33" t="n"/>
      <c r="O295" s="33" t="n"/>
      <c r="P295" s="33" t="n"/>
      <c r="Q295" s="33" t="n"/>
      <c r="R295" s="33" t="n"/>
      <c r="S295" s="33" t="n"/>
      <c r="T295" s="33" t="n"/>
      <c r="U295" s="33" t="n"/>
      <c r="V295" s="33" t="n"/>
      <c r="W295" s="34" t="n"/>
      <c r="X295" s="33" t="n"/>
      <c r="Y295" s="35" t="n"/>
      <c r="Z295" s="157">
        <f>IF(OR(Y295="",X295=""),"",IFERROR(Y295*INDEX(FXRates[USD per unit],MATCH(X295,FXRates[Currency],0)),"No rate"))</f>
        <v/>
      </c>
      <c r="AA295" s="32" t="n"/>
      <c r="AB295" s="32" t="n"/>
      <c r="AC295" s="36">
        <f>IF(A295="","",IF(COUNTIF($A$6:$A$504,A295)&gt;1,"⚠ Duplicate",""))</f>
        <v/>
      </c>
      <c r="AD295" s="43" t="n"/>
      <c r="AE295" s="43" t="n"/>
      <c r="AF295" s="43" t="n"/>
      <c r="AG295" s="43" t="n"/>
      <c r="AH295" s="43" t="n"/>
      <c r="AI295" s="43" t="n"/>
      <c r="AJ295" s="43" t="n"/>
      <c r="AK295" s="43" t="n"/>
      <c r="AL295" s="43" t="n"/>
      <c r="AM295" s="43" t="n"/>
      <c r="AN295" s="43" t="n"/>
      <c r="AO295" s="43" t="n"/>
      <c r="AP295" s="43" t="n"/>
      <c r="AQ295" s="43" t="n"/>
    </row>
    <row r="296" ht="18" customHeight="1" s="74">
      <c r="A296" s="38" t="n"/>
      <c r="B296" s="38" t="n"/>
      <c r="C296" s="38" t="n"/>
      <c r="D296" s="38" t="n"/>
      <c r="E296" s="39" t="n"/>
      <c r="F296" s="39" t="n"/>
      <c r="G296" s="39" t="n"/>
      <c r="H296" s="39" t="n"/>
      <c r="I296" s="39" t="n"/>
      <c r="J296" s="39" t="n"/>
      <c r="K296" s="39" t="n"/>
      <c r="L296" s="39" t="n"/>
      <c r="M296" s="39" t="n"/>
      <c r="N296" s="39" t="n"/>
      <c r="O296" s="39" t="n"/>
      <c r="P296" s="39" t="n"/>
      <c r="Q296" s="39" t="n"/>
      <c r="R296" s="39" t="n"/>
      <c r="S296" s="39" t="n"/>
      <c r="T296" s="39" t="n"/>
      <c r="U296" s="39" t="n"/>
      <c r="V296" s="39" t="n"/>
      <c r="W296" s="34" t="n"/>
      <c r="X296" s="39" t="n"/>
      <c r="Y296" s="40" t="n"/>
      <c r="Z296" s="158">
        <f>IF(OR(Y296="",X296=""),"",IFERROR(Y296*INDEX(FXRates[USD per unit],MATCH(X296,FXRates[Currency],0)),"No rate"))</f>
        <v/>
      </c>
      <c r="AA296" s="38" t="n"/>
      <c r="AB296" s="38" t="n"/>
      <c r="AC296" s="41">
        <f>IF(A296="","",IF(COUNTIF($A$6:$A$504,A296)&gt;1,"⚠ Duplicate",""))</f>
        <v/>
      </c>
      <c r="AD296" s="42" t="n"/>
      <c r="AE296" s="42" t="n"/>
      <c r="AF296" s="42" t="n"/>
      <c r="AG296" s="42" t="n"/>
      <c r="AH296" s="42" t="n"/>
      <c r="AI296" s="42" t="n"/>
      <c r="AJ296" s="42" t="n"/>
      <c r="AK296" s="42" t="n"/>
      <c r="AL296" s="42" t="n"/>
      <c r="AM296" s="42" t="n"/>
      <c r="AN296" s="42" t="n"/>
      <c r="AO296" s="42" t="n"/>
      <c r="AP296" s="42" t="n"/>
      <c r="AQ296" s="42" t="n"/>
    </row>
    <row r="297" ht="18" customHeight="1" s="74">
      <c r="A297" s="32" t="n"/>
      <c r="B297" s="32" t="n"/>
      <c r="C297" s="32" t="n"/>
      <c r="D297" s="32" t="n"/>
      <c r="E297" s="33" t="n"/>
      <c r="F297" s="33" t="n"/>
      <c r="G297" s="33" t="n"/>
      <c r="H297" s="33" t="n"/>
      <c r="I297" s="33" t="n"/>
      <c r="J297" s="33" t="n"/>
      <c r="K297" s="33" t="n"/>
      <c r="L297" s="33" t="n"/>
      <c r="M297" s="33" t="n"/>
      <c r="N297" s="33" t="n"/>
      <c r="O297" s="33" t="n"/>
      <c r="P297" s="33" t="n"/>
      <c r="Q297" s="33" t="n"/>
      <c r="R297" s="33" t="n"/>
      <c r="S297" s="33" t="n"/>
      <c r="T297" s="33" t="n"/>
      <c r="U297" s="33" t="n"/>
      <c r="V297" s="33" t="n"/>
      <c r="W297" s="34" t="n"/>
      <c r="X297" s="33" t="n"/>
      <c r="Y297" s="35" t="n"/>
      <c r="Z297" s="157">
        <f>IF(OR(Y297="",X297=""),"",IFERROR(Y297*INDEX(FXRates[USD per unit],MATCH(X297,FXRates[Currency],0)),"No rate"))</f>
        <v/>
      </c>
      <c r="AA297" s="32" t="n"/>
      <c r="AB297" s="32" t="n"/>
      <c r="AC297" s="36">
        <f>IF(A297="","",IF(COUNTIF($A$6:$A$504,A297)&gt;1,"⚠ Duplicate",""))</f>
        <v/>
      </c>
      <c r="AD297" s="43" t="n"/>
      <c r="AE297" s="43" t="n"/>
      <c r="AF297" s="43" t="n"/>
      <c r="AG297" s="43" t="n"/>
      <c r="AH297" s="43" t="n"/>
      <c r="AI297" s="43" t="n"/>
      <c r="AJ297" s="43" t="n"/>
      <c r="AK297" s="43" t="n"/>
      <c r="AL297" s="43" t="n"/>
      <c r="AM297" s="43" t="n"/>
      <c r="AN297" s="43" t="n"/>
      <c r="AO297" s="43" t="n"/>
      <c r="AP297" s="43" t="n"/>
      <c r="AQ297" s="43" t="n"/>
    </row>
    <row r="298" ht="18" customHeight="1" s="74">
      <c r="A298" s="38" t="n"/>
      <c r="B298" s="38" t="n"/>
      <c r="C298" s="38" t="n"/>
      <c r="D298" s="38" t="n"/>
      <c r="E298" s="39" t="n"/>
      <c r="F298" s="39" t="n"/>
      <c r="G298" s="39" t="n"/>
      <c r="H298" s="39" t="n"/>
      <c r="I298" s="39" t="n"/>
      <c r="J298" s="39" t="n"/>
      <c r="K298" s="39" t="n"/>
      <c r="L298" s="39" t="n"/>
      <c r="M298" s="39" t="n"/>
      <c r="N298" s="39" t="n"/>
      <c r="O298" s="39" t="n"/>
      <c r="P298" s="39" t="n"/>
      <c r="Q298" s="39" t="n"/>
      <c r="R298" s="39" t="n"/>
      <c r="S298" s="39" t="n"/>
      <c r="T298" s="39" t="n"/>
      <c r="U298" s="39" t="n"/>
      <c r="V298" s="39" t="n"/>
      <c r="W298" s="34" t="n"/>
      <c r="X298" s="39" t="n"/>
      <c r="Y298" s="40" t="n"/>
      <c r="Z298" s="158">
        <f>IF(OR(Y298="",X298=""),"",IFERROR(Y298*INDEX(FXRates[USD per unit],MATCH(X298,FXRates[Currency],0)),"No rate"))</f>
        <v/>
      </c>
      <c r="AA298" s="38" t="n"/>
      <c r="AB298" s="38" t="n"/>
      <c r="AC298" s="41">
        <f>IF(A298="","",IF(COUNTIF($A$6:$A$504,A298)&gt;1,"⚠ Duplicate",""))</f>
        <v/>
      </c>
      <c r="AD298" s="42" t="n"/>
      <c r="AE298" s="42" t="n"/>
      <c r="AF298" s="42" t="n"/>
      <c r="AG298" s="42" t="n"/>
      <c r="AH298" s="42" t="n"/>
      <c r="AI298" s="42" t="n"/>
      <c r="AJ298" s="42" t="n"/>
      <c r="AK298" s="42" t="n"/>
      <c r="AL298" s="42" t="n"/>
      <c r="AM298" s="42" t="n"/>
      <c r="AN298" s="42" t="n"/>
      <c r="AO298" s="42" t="n"/>
      <c r="AP298" s="42" t="n"/>
      <c r="AQ298" s="42" t="n"/>
    </row>
    <row r="299" ht="18" customHeight="1" s="74">
      <c r="A299" s="32" t="n"/>
      <c r="B299" s="32" t="n"/>
      <c r="C299" s="32" t="n"/>
      <c r="D299" s="32" t="n"/>
      <c r="E299" s="33" t="n"/>
      <c r="F299" s="33" t="n"/>
      <c r="G299" s="33" t="n"/>
      <c r="H299" s="33" t="n"/>
      <c r="I299" s="33" t="n"/>
      <c r="J299" s="33" t="n"/>
      <c r="K299" s="33" t="n"/>
      <c r="L299" s="33" t="n"/>
      <c r="M299" s="33" t="n"/>
      <c r="N299" s="33" t="n"/>
      <c r="O299" s="33" t="n"/>
      <c r="P299" s="33" t="n"/>
      <c r="Q299" s="33" t="n"/>
      <c r="R299" s="33" t="n"/>
      <c r="S299" s="33" t="n"/>
      <c r="T299" s="33" t="n"/>
      <c r="U299" s="33" t="n"/>
      <c r="V299" s="33" t="n"/>
      <c r="W299" s="34" t="n"/>
      <c r="X299" s="33" t="n"/>
      <c r="Y299" s="35" t="n"/>
      <c r="Z299" s="157">
        <f>IF(OR(Y299="",X299=""),"",IFERROR(Y299*INDEX(FXRates[USD per unit],MATCH(X299,FXRates[Currency],0)),"No rate"))</f>
        <v/>
      </c>
      <c r="AA299" s="32" t="n"/>
      <c r="AB299" s="32" t="n"/>
      <c r="AC299" s="36">
        <f>IF(A299="","",IF(COUNTIF($A$6:$A$504,A299)&gt;1,"⚠ Duplicate",""))</f>
        <v/>
      </c>
      <c r="AD299" s="43" t="n"/>
      <c r="AE299" s="43" t="n"/>
      <c r="AF299" s="43" t="n"/>
      <c r="AG299" s="43" t="n"/>
      <c r="AH299" s="43" t="n"/>
      <c r="AI299" s="43" t="n"/>
      <c r="AJ299" s="43" t="n"/>
      <c r="AK299" s="43" t="n"/>
      <c r="AL299" s="43" t="n"/>
      <c r="AM299" s="43" t="n"/>
      <c r="AN299" s="43" t="n"/>
      <c r="AO299" s="43" t="n"/>
      <c r="AP299" s="43" t="n"/>
      <c r="AQ299" s="43" t="n"/>
    </row>
    <row r="300" ht="18" customHeight="1" s="74">
      <c r="A300" s="38" t="n"/>
      <c r="B300" s="38" t="n"/>
      <c r="C300" s="38" t="n"/>
      <c r="D300" s="38" t="n"/>
      <c r="E300" s="39" t="n"/>
      <c r="F300" s="39" t="n"/>
      <c r="G300" s="39" t="n"/>
      <c r="H300" s="39" t="n"/>
      <c r="I300" s="39" t="n"/>
      <c r="J300" s="39" t="n"/>
      <c r="K300" s="39" t="n"/>
      <c r="L300" s="39" t="n"/>
      <c r="M300" s="39" t="n"/>
      <c r="N300" s="39" t="n"/>
      <c r="O300" s="39" t="n"/>
      <c r="P300" s="39" t="n"/>
      <c r="Q300" s="39" t="n"/>
      <c r="R300" s="39" t="n"/>
      <c r="S300" s="39" t="n"/>
      <c r="T300" s="39" t="n"/>
      <c r="U300" s="39" t="n"/>
      <c r="V300" s="39" t="n"/>
      <c r="W300" s="34" t="n"/>
      <c r="X300" s="39" t="n"/>
      <c r="Y300" s="40" t="n"/>
      <c r="Z300" s="158">
        <f>IF(OR(Y300="",X300=""),"",IFERROR(Y300*INDEX(FXRates[USD per unit],MATCH(X300,FXRates[Currency],0)),"No rate"))</f>
        <v/>
      </c>
      <c r="AA300" s="38" t="n"/>
      <c r="AB300" s="38" t="n"/>
      <c r="AC300" s="41">
        <f>IF(A300="","",IF(COUNTIF($A$6:$A$504,A300)&gt;1,"⚠ Duplicate",""))</f>
        <v/>
      </c>
      <c r="AD300" s="42" t="n"/>
      <c r="AE300" s="42" t="n"/>
      <c r="AF300" s="42" t="n"/>
      <c r="AG300" s="42" t="n"/>
      <c r="AH300" s="42" t="n"/>
      <c r="AI300" s="42" t="n"/>
      <c r="AJ300" s="42" t="n"/>
      <c r="AK300" s="42" t="n"/>
      <c r="AL300" s="42" t="n"/>
      <c r="AM300" s="42" t="n"/>
      <c r="AN300" s="42" t="n"/>
      <c r="AO300" s="42" t="n"/>
      <c r="AP300" s="42" t="n"/>
      <c r="AQ300" s="42" t="n"/>
    </row>
    <row r="301" ht="18" customHeight="1" s="74">
      <c r="A301" s="32" t="n"/>
      <c r="B301" s="32" t="n"/>
      <c r="C301" s="32" t="n"/>
      <c r="D301" s="32" t="n"/>
      <c r="E301" s="33" t="n"/>
      <c r="F301" s="33" t="n"/>
      <c r="G301" s="33" t="n"/>
      <c r="H301" s="33" t="n"/>
      <c r="I301" s="33" t="n"/>
      <c r="J301" s="33" t="n"/>
      <c r="K301" s="33" t="n"/>
      <c r="L301" s="33" t="n"/>
      <c r="M301" s="33" t="n"/>
      <c r="N301" s="33" t="n"/>
      <c r="O301" s="33" t="n"/>
      <c r="P301" s="33" t="n"/>
      <c r="Q301" s="33" t="n"/>
      <c r="R301" s="33" t="n"/>
      <c r="S301" s="33" t="n"/>
      <c r="T301" s="33" t="n"/>
      <c r="U301" s="33" t="n"/>
      <c r="V301" s="33" t="n"/>
      <c r="W301" s="34" t="n"/>
      <c r="X301" s="33" t="n"/>
      <c r="Y301" s="35" t="n"/>
      <c r="Z301" s="157">
        <f>IF(OR(Y301="",X301=""),"",IFERROR(Y301*INDEX(FXRates[USD per unit],MATCH(X301,FXRates[Currency],0)),"No rate"))</f>
        <v/>
      </c>
      <c r="AA301" s="32" t="n"/>
      <c r="AB301" s="32" t="n"/>
      <c r="AC301" s="36">
        <f>IF(A301="","",IF(COUNTIF($A$6:$A$504,A301)&gt;1,"⚠ Duplicate",""))</f>
        <v/>
      </c>
      <c r="AD301" s="43" t="n"/>
      <c r="AE301" s="43" t="n"/>
      <c r="AF301" s="43" t="n"/>
      <c r="AG301" s="43" t="n"/>
      <c r="AH301" s="43" t="n"/>
      <c r="AI301" s="43" t="n"/>
      <c r="AJ301" s="43" t="n"/>
      <c r="AK301" s="43" t="n"/>
      <c r="AL301" s="43" t="n"/>
      <c r="AM301" s="43" t="n"/>
      <c r="AN301" s="43" t="n"/>
      <c r="AO301" s="43" t="n"/>
      <c r="AP301" s="43" t="n"/>
      <c r="AQ301" s="43" t="n"/>
    </row>
    <row r="302" ht="18" customHeight="1" s="74">
      <c r="A302" s="38" t="n"/>
      <c r="B302" s="38" t="n"/>
      <c r="C302" s="38" t="n"/>
      <c r="D302" s="38" t="n"/>
      <c r="E302" s="39" t="n"/>
      <c r="F302" s="39" t="n"/>
      <c r="G302" s="39" t="n"/>
      <c r="H302" s="39" t="n"/>
      <c r="I302" s="39" t="n"/>
      <c r="J302" s="39" t="n"/>
      <c r="K302" s="39" t="n"/>
      <c r="L302" s="39" t="n"/>
      <c r="M302" s="39" t="n"/>
      <c r="N302" s="39" t="n"/>
      <c r="O302" s="39" t="n"/>
      <c r="P302" s="39" t="n"/>
      <c r="Q302" s="39" t="n"/>
      <c r="R302" s="39" t="n"/>
      <c r="S302" s="39" t="n"/>
      <c r="T302" s="39" t="n"/>
      <c r="U302" s="39" t="n"/>
      <c r="V302" s="39" t="n"/>
      <c r="W302" s="34" t="n"/>
      <c r="X302" s="39" t="n"/>
      <c r="Y302" s="40" t="n"/>
      <c r="Z302" s="158">
        <f>IF(OR(Y302="",X302=""),"",IFERROR(Y302*INDEX(FXRates[USD per unit],MATCH(X302,FXRates[Currency],0)),"No rate"))</f>
        <v/>
      </c>
      <c r="AA302" s="38" t="n"/>
      <c r="AB302" s="38" t="n"/>
      <c r="AC302" s="41">
        <f>IF(A302="","",IF(COUNTIF($A$6:$A$504,A302)&gt;1,"⚠ Duplicate",""))</f>
        <v/>
      </c>
      <c r="AD302" s="42" t="n"/>
      <c r="AE302" s="42" t="n"/>
      <c r="AF302" s="42" t="n"/>
      <c r="AG302" s="42" t="n"/>
      <c r="AH302" s="42" t="n"/>
      <c r="AI302" s="42" t="n"/>
      <c r="AJ302" s="42" t="n"/>
      <c r="AK302" s="42" t="n"/>
      <c r="AL302" s="42" t="n"/>
      <c r="AM302" s="42" t="n"/>
      <c r="AN302" s="42" t="n"/>
      <c r="AO302" s="42" t="n"/>
      <c r="AP302" s="42" t="n"/>
      <c r="AQ302" s="42" t="n"/>
    </row>
    <row r="303" ht="18" customHeight="1" s="74">
      <c r="A303" s="32" t="n"/>
      <c r="B303" s="32" t="n"/>
      <c r="C303" s="32" t="n"/>
      <c r="D303" s="32" t="n"/>
      <c r="E303" s="33" t="n"/>
      <c r="F303" s="33" t="n"/>
      <c r="G303" s="33" t="n"/>
      <c r="H303" s="33" t="n"/>
      <c r="I303" s="33" t="n"/>
      <c r="J303" s="33" t="n"/>
      <c r="K303" s="33" t="n"/>
      <c r="L303" s="33" t="n"/>
      <c r="M303" s="33" t="n"/>
      <c r="N303" s="33" t="n"/>
      <c r="O303" s="33" t="n"/>
      <c r="P303" s="33" t="n"/>
      <c r="Q303" s="33" t="n"/>
      <c r="R303" s="33" t="n"/>
      <c r="S303" s="33" t="n"/>
      <c r="T303" s="33" t="n"/>
      <c r="U303" s="33" t="n"/>
      <c r="V303" s="33" t="n"/>
      <c r="W303" s="34" t="n"/>
      <c r="X303" s="33" t="n"/>
      <c r="Y303" s="35" t="n"/>
      <c r="Z303" s="157">
        <f>IF(OR(Y303="",X303=""),"",IFERROR(Y303*INDEX(FXRates[USD per unit],MATCH(X303,FXRates[Currency],0)),"No rate"))</f>
        <v/>
      </c>
      <c r="AA303" s="32" t="n"/>
      <c r="AB303" s="32" t="n"/>
      <c r="AC303" s="36">
        <f>IF(A303="","",IF(COUNTIF($A$6:$A$504,A303)&gt;1,"⚠ Duplicate",""))</f>
        <v/>
      </c>
      <c r="AD303" s="43" t="n"/>
      <c r="AE303" s="43" t="n"/>
      <c r="AF303" s="43" t="n"/>
      <c r="AG303" s="43" t="n"/>
      <c r="AH303" s="43" t="n"/>
      <c r="AI303" s="43" t="n"/>
      <c r="AJ303" s="43" t="n"/>
      <c r="AK303" s="43" t="n"/>
      <c r="AL303" s="43" t="n"/>
      <c r="AM303" s="43" t="n"/>
      <c r="AN303" s="43" t="n"/>
      <c r="AO303" s="43" t="n"/>
      <c r="AP303" s="43" t="n"/>
      <c r="AQ303" s="43" t="n"/>
    </row>
    <row r="304" ht="18" customHeight="1" s="74">
      <c r="A304" s="38" t="n"/>
      <c r="B304" s="38" t="n"/>
      <c r="C304" s="38" t="n"/>
      <c r="D304" s="38" t="n"/>
      <c r="E304" s="39" t="n"/>
      <c r="F304" s="39" t="n"/>
      <c r="G304" s="39" t="n"/>
      <c r="H304" s="39" t="n"/>
      <c r="I304" s="39" t="n"/>
      <c r="J304" s="39" t="n"/>
      <c r="K304" s="39" t="n"/>
      <c r="L304" s="39" t="n"/>
      <c r="M304" s="39" t="n"/>
      <c r="N304" s="39" t="n"/>
      <c r="O304" s="39" t="n"/>
      <c r="P304" s="39" t="n"/>
      <c r="Q304" s="39" t="n"/>
      <c r="R304" s="39" t="n"/>
      <c r="S304" s="39" t="n"/>
      <c r="T304" s="39" t="n"/>
      <c r="U304" s="39" t="n"/>
      <c r="V304" s="39" t="n"/>
      <c r="W304" s="34" t="n"/>
      <c r="X304" s="39" t="n"/>
      <c r="Y304" s="40" t="n"/>
      <c r="Z304" s="158">
        <f>IF(OR(Y304="",X304=""),"",IFERROR(Y304*INDEX(FXRates[USD per unit],MATCH(X304,FXRates[Currency],0)),"No rate"))</f>
        <v/>
      </c>
      <c r="AA304" s="38" t="n"/>
      <c r="AB304" s="38" t="n"/>
      <c r="AC304" s="41">
        <f>IF(A304="","",IF(COUNTIF($A$6:$A$504,A304)&gt;1,"⚠ Duplicate",""))</f>
        <v/>
      </c>
      <c r="AD304" s="42" t="n"/>
      <c r="AE304" s="42" t="n"/>
      <c r="AF304" s="42" t="n"/>
      <c r="AG304" s="42" t="n"/>
      <c r="AH304" s="42" t="n"/>
      <c r="AI304" s="42" t="n"/>
      <c r="AJ304" s="42" t="n"/>
      <c r="AK304" s="42" t="n"/>
      <c r="AL304" s="42" t="n"/>
      <c r="AM304" s="42" t="n"/>
      <c r="AN304" s="42" t="n"/>
      <c r="AO304" s="42" t="n"/>
      <c r="AP304" s="42" t="n"/>
      <c r="AQ304" s="42" t="n"/>
    </row>
    <row r="305" ht="18" customHeight="1" s="74">
      <c r="A305" s="32" t="n"/>
      <c r="B305" s="32" t="n"/>
      <c r="C305" s="32" t="n"/>
      <c r="D305" s="32" t="n"/>
      <c r="E305" s="33" t="n"/>
      <c r="F305" s="33" t="n"/>
      <c r="G305" s="33" t="n"/>
      <c r="H305" s="33" t="n"/>
      <c r="I305" s="33" t="n"/>
      <c r="J305" s="33" t="n"/>
      <c r="K305" s="33" t="n"/>
      <c r="L305" s="33" t="n"/>
      <c r="M305" s="33" t="n"/>
      <c r="N305" s="33" t="n"/>
      <c r="O305" s="33" t="n"/>
      <c r="P305" s="33" t="n"/>
      <c r="Q305" s="33" t="n"/>
      <c r="R305" s="33" t="n"/>
      <c r="S305" s="33" t="n"/>
      <c r="T305" s="33" t="n"/>
      <c r="U305" s="33" t="n"/>
      <c r="V305" s="33" t="n"/>
      <c r="W305" s="34" t="n"/>
      <c r="X305" s="33" t="n"/>
      <c r="Y305" s="35" t="n"/>
      <c r="Z305" s="157">
        <f>IF(OR(Y305="",X305=""),"",IFERROR(Y305*INDEX(FXRates[USD per unit],MATCH(X305,FXRates[Currency],0)),"No rate"))</f>
        <v/>
      </c>
      <c r="AA305" s="32" t="n"/>
      <c r="AB305" s="32" t="n"/>
      <c r="AC305" s="36">
        <f>IF(A305="","",IF(COUNTIF($A$6:$A$504,A305)&gt;1,"⚠ Duplicate",""))</f>
        <v/>
      </c>
      <c r="AD305" s="43" t="n"/>
      <c r="AE305" s="43" t="n"/>
      <c r="AF305" s="43" t="n"/>
      <c r="AG305" s="43" t="n"/>
      <c r="AH305" s="43" t="n"/>
      <c r="AI305" s="43" t="n"/>
      <c r="AJ305" s="43" t="n"/>
      <c r="AK305" s="43" t="n"/>
      <c r="AL305" s="43" t="n"/>
      <c r="AM305" s="43" t="n"/>
      <c r="AN305" s="43" t="n"/>
      <c r="AO305" s="43" t="n"/>
      <c r="AP305" s="43" t="n"/>
      <c r="AQ305" s="43" t="n"/>
    </row>
    <row r="306" ht="18" customHeight="1" s="74">
      <c r="A306" s="38" t="n"/>
      <c r="B306" s="38" t="n"/>
      <c r="C306" s="38" t="n"/>
      <c r="D306" s="38" t="n"/>
      <c r="E306" s="39" t="n"/>
      <c r="F306" s="39" t="n"/>
      <c r="G306" s="39" t="n"/>
      <c r="H306" s="39" t="n"/>
      <c r="I306" s="39" t="n"/>
      <c r="J306" s="39" t="n"/>
      <c r="K306" s="39" t="n"/>
      <c r="L306" s="39" t="n"/>
      <c r="M306" s="39" t="n"/>
      <c r="N306" s="39" t="n"/>
      <c r="O306" s="39" t="n"/>
      <c r="P306" s="39" t="n"/>
      <c r="Q306" s="39" t="n"/>
      <c r="R306" s="39" t="n"/>
      <c r="S306" s="39" t="n"/>
      <c r="T306" s="39" t="n"/>
      <c r="U306" s="39" t="n"/>
      <c r="V306" s="39" t="n"/>
      <c r="W306" s="34" t="n"/>
      <c r="X306" s="39" t="n"/>
      <c r="Y306" s="40" t="n"/>
      <c r="Z306" s="158">
        <f>IF(OR(Y306="",X306=""),"",IFERROR(Y306*INDEX(FXRates[USD per unit],MATCH(X306,FXRates[Currency],0)),"No rate"))</f>
        <v/>
      </c>
      <c r="AA306" s="38" t="n"/>
      <c r="AB306" s="38" t="n"/>
      <c r="AC306" s="41">
        <f>IF(A306="","",IF(COUNTIF($A$6:$A$504,A306)&gt;1,"⚠ Duplicate",""))</f>
        <v/>
      </c>
      <c r="AD306" s="42" t="n"/>
      <c r="AE306" s="42" t="n"/>
      <c r="AF306" s="42" t="n"/>
      <c r="AG306" s="42" t="n"/>
      <c r="AH306" s="42" t="n"/>
      <c r="AI306" s="42" t="n"/>
      <c r="AJ306" s="42" t="n"/>
      <c r="AK306" s="42" t="n"/>
      <c r="AL306" s="42" t="n"/>
      <c r="AM306" s="42" t="n"/>
      <c r="AN306" s="42" t="n"/>
      <c r="AO306" s="42" t="n"/>
      <c r="AP306" s="42" t="n"/>
      <c r="AQ306" s="42" t="n"/>
    </row>
    <row r="307" ht="18" customHeight="1" s="74">
      <c r="A307" s="32" t="n"/>
      <c r="B307" s="32" t="n"/>
      <c r="C307" s="32" t="n"/>
      <c r="D307" s="32" t="n"/>
      <c r="E307" s="33" t="n"/>
      <c r="F307" s="33" t="n"/>
      <c r="G307" s="33" t="n"/>
      <c r="H307" s="33" t="n"/>
      <c r="I307" s="33" t="n"/>
      <c r="J307" s="33" t="n"/>
      <c r="K307" s="33" t="n"/>
      <c r="L307" s="33" t="n"/>
      <c r="M307" s="33" t="n"/>
      <c r="N307" s="33" t="n"/>
      <c r="O307" s="33" t="n"/>
      <c r="P307" s="33" t="n"/>
      <c r="Q307" s="33" t="n"/>
      <c r="R307" s="33" t="n"/>
      <c r="S307" s="33" t="n"/>
      <c r="T307" s="33" t="n"/>
      <c r="U307" s="33" t="n"/>
      <c r="V307" s="33" t="n"/>
      <c r="W307" s="34" t="n"/>
      <c r="X307" s="33" t="n"/>
      <c r="Y307" s="35" t="n"/>
      <c r="Z307" s="157">
        <f>IF(OR(Y307="",X307=""),"",IFERROR(Y307*INDEX(FXRates[USD per unit],MATCH(X307,FXRates[Currency],0)),"No rate"))</f>
        <v/>
      </c>
      <c r="AA307" s="32" t="n"/>
      <c r="AB307" s="32" t="n"/>
      <c r="AC307" s="36">
        <f>IF(A307="","",IF(COUNTIF($A$6:$A$504,A307)&gt;1,"⚠ Duplicate",""))</f>
        <v/>
      </c>
      <c r="AD307" s="43" t="n"/>
      <c r="AE307" s="43" t="n"/>
      <c r="AF307" s="43" t="n"/>
      <c r="AG307" s="43" t="n"/>
      <c r="AH307" s="43" t="n"/>
      <c r="AI307" s="43" t="n"/>
      <c r="AJ307" s="43" t="n"/>
      <c r="AK307" s="43" t="n"/>
      <c r="AL307" s="43" t="n"/>
      <c r="AM307" s="43" t="n"/>
      <c r="AN307" s="43" t="n"/>
      <c r="AO307" s="43" t="n"/>
      <c r="AP307" s="43" t="n"/>
      <c r="AQ307" s="43" t="n"/>
    </row>
    <row r="308" ht="18" customHeight="1" s="74">
      <c r="A308" s="38" t="n"/>
      <c r="B308" s="38" t="n"/>
      <c r="C308" s="38" t="n"/>
      <c r="D308" s="38" t="n"/>
      <c r="E308" s="39" t="n"/>
      <c r="F308" s="39" t="n"/>
      <c r="G308" s="39" t="n"/>
      <c r="H308" s="39" t="n"/>
      <c r="I308" s="39" t="n"/>
      <c r="J308" s="39" t="n"/>
      <c r="K308" s="39" t="n"/>
      <c r="L308" s="39" t="n"/>
      <c r="M308" s="39" t="n"/>
      <c r="N308" s="39" t="n"/>
      <c r="O308" s="39" t="n"/>
      <c r="P308" s="39" t="n"/>
      <c r="Q308" s="39" t="n"/>
      <c r="R308" s="39" t="n"/>
      <c r="S308" s="39" t="n"/>
      <c r="T308" s="39" t="n"/>
      <c r="U308" s="39" t="n"/>
      <c r="V308" s="39" t="n"/>
      <c r="W308" s="34" t="n"/>
      <c r="X308" s="39" t="n"/>
      <c r="Y308" s="40" t="n"/>
      <c r="Z308" s="158">
        <f>IF(OR(Y308="",X308=""),"",IFERROR(Y308*INDEX(FXRates[USD per unit],MATCH(X308,FXRates[Currency],0)),"No rate"))</f>
        <v/>
      </c>
      <c r="AA308" s="38" t="n"/>
      <c r="AB308" s="38" t="n"/>
      <c r="AC308" s="41">
        <f>IF(A308="","",IF(COUNTIF($A$6:$A$504,A308)&gt;1,"⚠ Duplicate",""))</f>
        <v/>
      </c>
      <c r="AD308" s="42" t="n"/>
      <c r="AE308" s="42" t="n"/>
      <c r="AF308" s="42" t="n"/>
      <c r="AG308" s="42" t="n"/>
      <c r="AH308" s="42" t="n"/>
      <c r="AI308" s="42" t="n"/>
      <c r="AJ308" s="42" t="n"/>
      <c r="AK308" s="42" t="n"/>
      <c r="AL308" s="42" t="n"/>
      <c r="AM308" s="42" t="n"/>
      <c r="AN308" s="42" t="n"/>
      <c r="AO308" s="42" t="n"/>
      <c r="AP308" s="42" t="n"/>
      <c r="AQ308" s="42" t="n"/>
    </row>
    <row r="309" ht="18" customHeight="1" s="74">
      <c r="A309" s="32" t="n"/>
      <c r="B309" s="32" t="n"/>
      <c r="C309" s="32" t="n"/>
      <c r="D309" s="32" t="n"/>
      <c r="E309" s="33" t="n"/>
      <c r="F309" s="33" t="n"/>
      <c r="G309" s="33" t="n"/>
      <c r="H309" s="33" t="n"/>
      <c r="I309" s="33" t="n"/>
      <c r="J309" s="33" t="n"/>
      <c r="K309" s="33" t="n"/>
      <c r="L309" s="33" t="n"/>
      <c r="M309" s="33" t="n"/>
      <c r="N309" s="33" t="n"/>
      <c r="O309" s="33" t="n"/>
      <c r="P309" s="33" t="n"/>
      <c r="Q309" s="33" t="n"/>
      <c r="R309" s="33" t="n"/>
      <c r="S309" s="33" t="n"/>
      <c r="T309" s="33" t="n"/>
      <c r="U309" s="33" t="n"/>
      <c r="V309" s="33" t="n"/>
      <c r="W309" s="34" t="n"/>
      <c r="X309" s="33" t="n"/>
      <c r="Y309" s="35" t="n"/>
      <c r="Z309" s="157">
        <f>IF(OR(Y309="",X309=""),"",IFERROR(Y309*INDEX(FXRates[USD per unit],MATCH(X309,FXRates[Currency],0)),"No rate"))</f>
        <v/>
      </c>
      <c r="AA309" s="32" t="n"/>
      <c r="AB309" s="32" t="n"/>
      <c r="AC309" s="36">
        <f>IF(A309="","",IF(COUNTIF($A$6:$A$504,A309)&gt;1,"⚠ Duplicate",""))</f>
        <v/>
      </c>
      <c r="AD309" s="43" t="n"/>
      <c r="AE309" s="43" t="n"/>
      <c r="AF309" s="43" t="n"/>
      <c r="AG309" s="43" t="n"/>
      <c r="AH309" s="43" t="n"/>
      <c r="AI309" s="43" t="n"/>
      <c r="AJ309" s="43" t="n"/>
      <c r="AK309" s="43" t="n"/>
      <c r="AL309" s="43" t="n"/>
      <c r="AM309" s="43" t="n"/>
      <c r="AN309" s="43" t="n"/>
      <c r="AO309" s="43" t="n"/>
      <c r="AP309" s="43" t="n"/>
      <c r="AQ309" s="43" t="n"/>
    </row>
    <row r="310" ht="18" customHeight="1" s="74">
      <c r="A310" s="38" t="n"/>
      <c r="B310" s="38" t="n"/>
      <c r="C310" s="38" t="n"/>
      <c r="D310" s="38" t="n"/>
      <c r="E310" s="39" t="n"/>
      <c r="F310" s="39" t="n"/>
      <c r="G310" s="39" t="n"/>
      <c r="H310" s="39" t="n"/>
      <c r="I310" s="39" t="n"/>
      <c r="J310" s="39" t="n"/>
      <c r="K310" s="39" t="n"/>
      <c r="L310" s="39" t="n"/>
      <c r="M310" s="39" t="n"/>
      <c r="N310" s="39" t="n"/>
      <c r="O310" s="39" t="n"/>
      <c r="P310" s="39" t="n"/>
      <c r="Q310" s="39" t="n"/>
      <c r="R310" s="39" t="n"/>
      <c r="S310" s="39" t="n"/>
      <c r="T310" s="39" t="n"/>
      <c r="U310" s="39" t="n"/>
      <c r="V310" s="39" t="n"/>
      <c r="W310" s="34" t="n"/>
      <c r="X310" s="39" t="n"/>
      <c r="Y310" s="40" t="n"/>
      <c r="Z310" s="158">
        <f>IF(OR(Y310="",X310=""),"",IFERROR(Y310*INDEX(FXRates[USD per unit],MATCH(X310,FXRates[Currency],0)),"No rate"))</f>
        <v/>
      </c>
      <c r="AA310" s="38" t="n"/>
      <c r="AB310" s="38" t="n"/>
      <c r="AC310" s="41">
        <f>IF(A310="","",IF(COUNTIF($A$6:$A$504,A310)&gt;1,"⚠ Duplicate",""))</f>
        <v/>
      </c>
      <c r="AD310" s="42" t="n"/>
      <c r="AE310" s="42" t="n"/>
      <c r="AF310" s="42" t="n"/>
      <c r="AG310" s="42" t="n"/>
      <c r="AH310" s="42" t="n"/>
      <c r="AI310" s="42" t="n"/>
      <c r="AJ310" s="42" t="n"/>
      <c r="AK310" s="42" t="n"/>
      <c r="AL310" s="42" t="n"/>
      <c r="AM310" s="42" t="n"/>
      <c r="AN310" s="42" t="n"/>
      <c r="AO310" s="42" t="n"/>
      <c r="AP310" s="42" t="n"/>
      <c r="AQ310" s="42" t="n"/>
    </row>
    <row r="311" ht="18" customHeight="1" s="74">
      <c r="A311" s="32" t="n"/>
      <c r="B311" s="32" t="n"/>
      <c r="C311" s="32" t="n"/>
      <c r="D311" s="32" t="n"/>
      <c r="E311" s="33" t="n"/>
      <c r="F311" s="33" t="n"/>
      <c r="G311" s="33" t="n"/>
      <c r="H311" s="33" t="n"/>
      <c r="I311" s="33" t="n"/>
      <c r="J311" s="33" t="n"/>
      <c r="K311" s="33" t="n"/>
      <c r="L311" s="33" t="n"/>
      <c r="M311" s="33" t="n"/>
      <c r="N311" s="33" t="n"/>
      <c r="O311" s="33" t="n"/>
      <c r="P311" s="33" t="n"/>
      <c r="Q311" s="33" t="n"/>
      <c r="R311" s="33" t="n"/>
      <c r="S311" s="33" t="n"/>
      <c r="T311" s="33" t="n"/>
      <c r="U311" s="33" t="n"/>
      <c r="V311" s="33" t="n"/>
      <c r="W311" s="34" t="n"/>
      <c r="X311" s="33" t="n"/>
      <c r="Y311" s="35" t="n"/>
      <c r="Z311" s="157">
        <f>IF(OR(Y311="",X311=""),"",IFERROR(Y311*INDEX(FXRates[USD per unit],MATCH(X311,FXRates[Currency],0)),"No rate"))</f>
        <v/>
      </c>
      <c r="AA311" s="32" t="n"/>
      <c r="AB311" s="32" t="n"/>
      <c r="AC311" s="36">
        <f>IF(A311="","",IF(COUNTIF($A$6:$A$504,A311)&gt;1,"⚠ Duplicate",""))</f>
        <v/>
      </c>
      <c r="AD311" s="43" t="n"/>
      <c r="AE311" s="43" t="n"/>
      <c r="AF311" s="43" t="n"/>
      <c r="AG311" s="43" t="n"/>
      <c r="AH311" s="43" t="n"/>
      <c r="AI311" s="43" t="n"/>
      <c r="AJ311" s="43" t="n"/>
      <c r="AK311" s="43" t="n"/>
      <c r="AL311" s="43" t="n"/>
      <c r="AM311" s="43" t="n"/>
      <c r="AN311" s="43" t="n"/>
      <c r="AO311" s="43" t="n"/>
      <c r="AP311" s="43" t="n"/>
      <c r="AQ311" s="43" t="n"/>
    </row>
    <row r="312" ht="18" customHeight="1" s="74">
      <c r="A312" s="38" t="n"/>
      <c r="B312" s="38" t="n"/>
      <c r="C312" s="38" t="n"/>
      <c r="D312" s="38" t="n"/>
      <c r="E312" s="39" t="n"/>
      <c r="F312" s="39" t="n"/>
      <c r="G312" s="39" t="n"/>
      <c r="H312" s="39" t="n"/>
      <c r="I312" s="39" t="n"/>
      <c r="J312" s="39" t="n"/>
      <c r="K312" s="39" t="n"/>
      <c r="L312" s="39" t="n"/>
      <c r="M312" s="39" t="n"/>
      <c r="N312" s="39" t="n"/>
      <c r="O312" s="39" t="n"/>
      <c r="P312" s="39" t="n"/>
      <c r="Q312" s="39" t="n"/>
      <c r="R312" s="39" t="n"/>
      <c r="S312" s="39" t="n"/>
      <c r="T312" s="39" t="n"/>
      <c r="U312" s="39" t="n"/>
      <c r="V312" s="39" t="n"/>
      <c r="W312" s="34" t="n"/>
      <c r="X312" s="39" t="n"/>
      <c r="Y312" s="40" t="n"/>
      <c r="Z312" s="158">
        <f>IF(OR(Y312="",X312=""),"",IFERROR(Y312*INDEX(FXRates[USD per unit],MATCH(X312,FXRates[Currency],0)),"No rate"))</f>
        <v/>
      </c>
      <c r="AA312" s="38" t="n"/>
      <c r="AB312" s="38" t="n"/>
      <c r="AC312" s="41">
        <f>IF(A312="","",IF(COUNTIF($A$6:$A$504,A312)&gt;1,"⚠ Duplicate",""))</f>
        <v/>
      </c>
      <c r="AD312" s="42" t="n"/>
      <c r="AE312" s="42" t="n"/>
      <c r="AF312" s="42" t="n"/>
      <c r="AG312" s="42" t="n"/>
      <c r="AH312" s="42" t="n"/>
      <c r="AI312" s="42" t="n"/>
      <c r="AJ312" s="42" t="n"/>
      <c r="AK312" s="42" t="n"/>
      <c r="AL312" s="42" t="n"/>
      <c r="AM312" s="42" t="n"/>
      <c r="AN312" s="42" t="n"/>
      <c r="AO312" s="42" t="n"/>
      <c r="AP312" s="42" t="n"/>
      <c r="AQ312" s="42" t="n"/>
    </row>
    <row r="313" ht="18" customHeight="1" s="74">
      <c r="A313" s="32" t="n"/>
      <c r="B313" s="32" t="n"/>
      <c r="C313" s="32" t="n"/>
      <c r="D313" s="32" t="n"/>
      <c r="E313" s="33" t="n"/>
      <c r="F313" s="33" t="n"/>
      <c r="G313" s="33" t="n"/>
      <c r="H313" s="33" t="n"/>
      <c r="I313" s="33" t="n"/>
      <c r="J313" s="33" t="n"/>
      <c r="K313" s="33" t="n"/>
      <c r="L313" s="33" t="n"/>
      <c r="M313" s="33" t="n"/>
      <c r="N313" s="33" t="n"/>
      <c r="O313" s="33" t="n"/>
      <c r="P313" s="33" t="n"/>
      <c r="Q313" s="33" t="n"/>
      <c r="R313" s="33" t="n"/>
      <c r="S313" s="33" t="n"/>
      <c r="T313" s="33" t="n"/>
      <c r="U313" s="33" t="n"/>
      <c r="V313" s="33" t="n"/>
      <c r="W313" s="34" t="n"/>
      <c r="X313" s="33" t="n"/>
      <c r="Y313" s="35" t="n"/>
      <c r="Z313" s="157">
        <f>IF(OR(Y313="",X313=""),"",IFERROR(Y313*INDEX(FXRates[USD per unit],MATCH(X313,FXRates[Currency],0)),"No rate"))</f>
        <v/>
      </c>
      <c r="AA313" s="32" t="n"/>
      <c r="AB313" s="32" t="n"/>
      <c r="AC313" s="36">
        <f>IF(A313="","",IF(COUNTIF($A$6:$A$504,A313)&gt;1,"⚠ Duplicate",""))</f>
        <v/>
      </c>
      <c r="AD313" s="43" t="n"/>
      <c r="AE313" s="43" t="n"/>
      <c r="AF313" s="43" t="n"/>
      <c r="AG313" s="43" t="n"/>
      <c r="AH313" s="43" t="n"/>
      <c r="AI313" s="43" t="n"/>
      <c r="AJ313" s="43" t="n"/>
      <c r="AK313" s="43" t="n"/>
      <c r="AL313" s="43" t="n"/>
      <c r="AM313" s="43" t="n"/>
      <c r="AN313" s="43" t="n"/>
      <c r="AO313" s="43" t="n"/>
      <c r="AP313" s="43" t="n"/>
      <c r="AQ313" s="43" t="n"/>
    </row>
    <row r="314" ht="18" customHeight="1" s="74">
      <c r="A314" s="38" t="n"/>
      <c r="B314" s="38" t="n"/>
      <c r="C314" s="38" t="n"/>
      <c r="D314" s="38" t="n"/>
      <c r="E314" s="39" t="n"/>
      <c r="F314" s="39" t="n"/>
      <c r="G314" s="39" t="n"/>
      <c r="H314" s="39" t="n"/>
      <c r="I314" s="39" t="n"/>
      <c r="J314" s="39" t="n"/>
      <c r="K314" s="39" t="n"/>
      <c r="L314" s="39" t="n"/>
      <c r="M314" s="39" t="n"/>
      <c r="N314" s="39" t="n"/>
      <c r="O314" s="39" t="n"/>
      <c r="P314" s="39" t="n"/>
      <c r="Q314" s="39" t="n"/>
      <c r="R314" s="39" t="n"/>
      <c r="S314" s="39" t="n"/>
      <c r="T314" s="39" t="n"/>
      <c r="U314" s="39" t="n"/>
      <c r="V314" s="39" t="n"/>
      <c r="W314" s="34" t="n"/>
      <c r="X314" s="39" t="n"/>
      <c r="Y314" s="40" t="n"/>
      <c r="Z314" s="158">
        <f>IF(OR(Y314="",X314=""),"",IFERROR(Y314*INDEX(FXRates[USD per unit],MATCH(X314,FXRates[Currency],0)),"No rate"))</f>
        <v/>
      </c>
      <c r="AA314" s="38" t="n"/>
      <c r="AB314" s="38" t="n"/>
      <c r="AC314" s="41">
        <f>IF(A314="","",IF(COUNTIF($A$6:$A$504,A314)&gt;1,"⚠ Duplicate",""))</f>
        <v/>
      </c>
      <c r="AD314" s="42" t="n"/>
      <c r="AE314" s="42" t="n"/>
      <c r="AF314" s="42" t="n"/>
      <c r="AG314" s="42" t="n"/>
      <c r="AH314" s="42" t="n"/>
      <c r="AI314" s="42" t="n"/>
      <c r="AJ314" s="42" t="n"/>
      <c r="AK314" s="42" t="n"/>
      <c r="AL314" s="42" t="n"/>
      <c r="AM314" s="42" t="n"/>
      <c r="AN314" s="42" t="n"/>
      <c r="AO314" s="42" t="n"/>
      <c r="AP314" s="42" t="n"/>
      <c r="AQ314" s="42" t="n"/>
    </row>
    <row r="315" ht="18" customHeight="1" s="74">
      <c r="A315" s="32" t="n"/>
      <c r="B315" s="32" t="n"/>
      <c r="C315" s="32" t="n"/>
      <c r="D315" s="32" t="n"/>
      <c r="E315" s="33" t="n"/>
      <c r="F315" s="33" t="n"/>
      <c r="G315" s="33" t="n"/>
      <c r="H315" s="33" t="n"/>
      <c r="I315" s="33" t="n"/>
      <c r="J315" s="33" t="n"/>
      <c r="K315" s="33" t="n"/>
      <c r="L315" s="33" t="n"/>
      <c r="M315" s="33" t="n"/>
      <c r="N315" s="33" t="n"/>
      <c r="O315" s="33" t="n"/>
      <c r="P315" s="33" t="n"/>
      <c r="Q315" s="33" t="n"/>
      <c r="R315" s="33" t="n"/>
      <c r="S315" s="33" t="n"/>
      <c r="T315" s="33" t="n"/>
      <c r="U315" s="33" t="n"/>
      <c r="V315" s="33" t="n"/>
      <c r="W315" s="34" t="n"/>
      <c r="X315" s="33" t="n"/>
      <c r="Y315" s="35" t="n"/>
      <c r="Z315" s="157">
        <f>IF(OR(Y315="",X315=""),"",IFERROR(Y315*INDEX(FXRates[USD per unit],MATCH(X315,FXRates[Currency],0)),"No rate"))</f>
        <v/>
      </c>
      <c r="AA315" s="32" t="n"/>
      <c r="AB315" s="32" t="n"/>
      <c r="AC315" s="36">
        <f>IF(A315="","",IF(COUNTIF($A$6:$A$504,A315)&gt;1,"⚠ Duplicate",""))</f>
        <v/>
      </c>
      <c r="AD315" s="43" t="n"/>
      <c r="AE315" s="43" t="n"/>
      <c r="AF315" s="43" t="n"/>
      <c r="AG315" s="43" t="n"/>
      <c r="AH315" s="43" t="n"/>
      <c r="AI315" s="43" t="n"/>
      <c r="AJ315" s="43" t="n"/>
      <c r="AK315" s="43" t="n"/>
      <c r="AL315" s="43" t="n"/>
      <c r="AM315" s="43" t="n"/>
      <c r="AN315" s="43" t="n"/>
      <c r="AO315" s="43" t="n"/>
      <c r="AP315" s="43" t="n"/>
      <c r="AQ315" s="43" t="n"/>
    </row>
    <row r="316" ht="18" customHeight="1" s="74">
      <c r="A316" s="38" t="n"/>
      <c r="B316" s="38" t="n"/>
      <c r="C316" s="38" t="n"/>
      <c r="D316" s="38" t="n"/>
      <c r="E316" s="39" t="n"/>
      <c r="F316" s="39" t="n"/>
      <c r="G316" s="39" t="n"/>
      <c r="H316" s="39" t="n"/>
      <c r="I316" s="39" t="n"/>
      <c r="J316" s="39" t="n"/>
      <c r="K316" s="39" t="n"/>
      <c r="L316" s="39" t="n"/>
      <c r="M316" s="39" t="n"/>
      <c r="N316" s="39" t="n"/>
      <c r="O316" s="39" t="n"/>
      <c r="P316" s="39" t="n"/>
      <c r="Q316" s="39" t="n"/>
      <c r="R316" s="39" t="n"/>
      <c r="S316" s="39" t="n"/>
      <c r="T316" s="39" t="n"/>
      <c r="U316" s="39" t="n"/>
      <c r="V316" s="39" t="n"/>
      <c r="W316" s="34" t="n"/>
      <c r="X316" s="39" t="n"/>
      <c r="Y316" s="40" t="n"/>
      <c r="Z316" s="158">
        <f>IF(OR(Y316="",X316=""),"",IFERROR(Y316*INDEX(FXRates[USD per unit],MATCH(X316,FXRates[Currency],0)),"No rate"))</f>
        <v/>
      </c>
      <c r="AA316" s="38" t="n"/>
      <c r="AB316" s="38" t="n"/>
      <c r="AC316" s="41">
        <f>IF(A316="","",IF(COUNTIF($A$6:$A$504,A316)&gt;1,"⚠ Duplicate",""))</f>
        <v/>
      </c>
      <c r="AD316" s="42" t="n"/>
      <c r="AE316" s="42" t="n"/>
      <c r="AF316" s="42" t="n"/>
      <c r="AG316" s="42" t="n"/>
      <c r="AH316" s="42" t="n"/>
      <c r="AI316" s="42" t="n"/>
      <c r="AJ316" s="42" t="n"/>
      <c r="AK316" s="42" t="n"/>
      <c r="AL316" s="42" t="n"/>
      <c r="AM316" s="42" t="n"/>
      <c r="AN316" s="42" t="n"/>
      <c r="AO316" s="42" t="n"/>
      <c r="AP316" s="42" t="n"/>
      <c r="AQ316" s="42" t="n"/>
    </row>
    <row r="317" ht="18" customHeight="1" s="74">
      <c r="A317" s="32" t="n"/>
      <c r="B317" s="32" t="n"/>
      <c r="C317" s="32" t="n"/>
      <c r="D317" s="32" t="n"/>
      <c r="E317" s="33" t="n"/>
      <c r="F317" s="33" t="n"/>
      <c r="G317" s="33" t="n"/>
      <c r="H317" s="33" t="n"/>
      <c r="I317" s="33" t="n"/>
      <c r="J317" s="33" t="n"/>
      <c r="K317" s="33" t="n"/>
      <c r="L317" s="33" t="n"/>
      <c r="M317" s="33" t="n"/>
      <c r="N317" s="33" t="n"/>
      <c r="O317" s="33" t="n"/>
      <c r="P317" s="33" t="n"/>
      <c r="Q317" s="33" t="n"/>
      <c r="R317" s="33" t="n"/>
      <c r="S317" s="33" t="n"/>
      <c r="T317" s="33" t="n"/>
      <c r="U317" s="33" t="n"/>
      <c r="V317" s="33" t="n"/>
      <c r="W317" s="34" t="n"/>
      <c r="X317" s="33" t="n"/>
      <c r="Y317" s="35" t="n"/>
      <c r="Z317" s="157">
        <f>IF(OR(Y317="",X317=""),"",IFERROR(Y317*INDEX(FXRates[USD per unit],MATCH(X317,FXRates[Currency],0)),"No rate"))</f>
        <v/>
      </c>
      <c r="AA317" s="32" t="n"/>
      <c r="AB317" s="32" t="n"/>
      <c r="AC317" s="36">
        <f>IF(A317="","",IF(COUNTIF($A$6:$A$504,A317)&gt;1,"⚠ Duplicate",""))</f>
        <v/>
      </c>
      <c r="AD317" s="43" t="n"/>
      <c r="AE317" s="43" t="n"/>
      <c r="AF317" s="43" t="n"/>
      <c r="AG317" s="43" t="n"/>
      <c r="AH317" s="43" t="n"/>
      <c r="AI317" s="43" t="n"/>
      <c r="AJ317" s="43" t="n"/>
      <c r="AK317" s="43" t="n"/>
      <c r="AL317" s="43" t="n"/>
      <c r="AM317" s="43" t="n"/>
      <c r="AN317" s="43" t="n"/>
      <c r="AO317" s="43" t="n"/>
      <c r="AP317" s="43" t="n"/>
      <c r="AQ317" s="43" t="n"/>
    </row>
    <row r="318" ht="18" customHeight="1" s="74">
      <c r="A318" s="38" t="n"/>
      <c r="B318" s="38" t="n"/>
      <c r="C318" s="38" t="n"/>
      <c r="D318" s="38" t="n"/>
      <c r="E318" s="39" t="n"/>
      <c r="F318" s="39" t="n"/>
      <c r="G318" s="39" t="n"/>
      <c r="H318" s="39" t="n"/>
      <c r="I318" s="39" t="n"/>
      <c r="J318" s="39" t="n"/>
      <c r="K318" s="39" t="n"/>
      <c r="L318" s="39" t="n"/>
      <c r="M318" s="39" t="n"/>
      <c r="N318" s="39" t="n"/>
      <c r="O318" s="39" t="n"/>
      <c r="P318" s="39" t="n"/>
      <c r="Q318" s="39" t="n"/>
      <c r="R318" s="39" t="n"/>
      <c r="S318" s="39" t="n"/>
      <c r="T318" s="39" t="n"/>
      <c r="U318" s="39" t="n"/>
      <c r="V318" s="39" t="n"/>
      <c r="W318" s="34" t="n"/>
      <c r="X318" s="39" t="n"/>
      <c r="Y318" s="40" t="n"/>
      <c r="Z318" s="158">
        <f>IF(OR(Y318="",X318=""),"",IFERROR(Y318*INDEX(FXRates[USD per unit],MATCH(X318,FXRates[Currency],0)),"No rate"))</f>
        <v/>
      </c>
      <c r="AA318" s="38" t="n"/>
      <c r="AB318" s="38" t="n"/>
      <c r="AC318" s="41">
        <f>IF(A318="","",IF(COUNTIF($A$6:$A$504,A318)&gt;1,"⚠ Duplicate",""))</f>
        <v/>
      </c>
      <c r="AD318" s="42" t="n"/>
      <c r="AE318" s="42" t="n"/>
      <c r="AF318" s="42" t="n"/>
      <c r="AG318" s="42" t="n"/>
      <c r="AH318" s="42" t="n"/>
      <c r="AI318" s="42" t="n"/>
      <c r="AJ318" s="42" t="n"/>
      <c r="AK318" s="42" t="n"/>
      <c r="AL318" s="42" t="n"/>
      <c r="AM318" s="42" t="n"/>
      <c r="AN318" s="42" t="n"/>
      <c r="AO318" s="42" t="n"/>
      <c r="AP318" s="42" t="n"/>
      <c r="AQ318" s="42" t="n"/>
    </row>
    <row r="319" ht="18" customHeight="1" s="74">
      <c r="A319" s="32" t="n"/>
      <c r="B319" s="32" t="n"/>
      <c r="C319" s="32" t="n"/>
      <c r="D319" s="32" t="n"/>
      <c r="E319" s="33" t="n"/>
      <c r="F319" s="33" t="n"/>
      <c r="G319" s="33" t="n"/>
      <c r="H319" s="33" t="n"/>
      <c r="I319" s="33" t="n"/>
      <c r="J319" s="33" t="n"/>
      <c r="K319" s="33" t="n"/>
      <c r="L319" s="33" t="n"/>
      <c r="M319" s="33" t="n"/>
      <c r="N319" s="33" t="n"/>
      <c r="O319" s="33" t="n"/>
      <c r="P319" s="33" t="n"/>
      <c r="Q319" s="33" t="n"/>
      <c r="R319" s="33" t="n"/>
      <c r="S319" s="33" t="n"/>
      <c r="T319" s="33" t="n"/>
      <c r="U319" s="33" t="n"/>
      <c r="V319" s="33" t="n"/>
      <c r="W319" s="34" t="n"/>
      <c r="X319" s="33" t="n"/>
      <c r="Y319" s="35" t="n"/>
      <c r="Z319" s="157">
        <f>IF(OR(Y319="",X319=""),"",IFERROR(Y319*INDEX(FXRates[USD per unit],MATCH(X319,FXRates[Currency],0)),"No rate"))</f>
        <v/>
      </c>
      <c r="AA319" s="32" t="n"/>
      <c r="AB319" s="32" t="n"/>
      <c r="AC319" s="36">
        <f>IF(A319="","",IF(COUNTIF($A$6:$A$504,A319)&gt;1,"⚠ Duplicate",""))</f>
        <v/>
      </c>
      <c r="AD319" s="43" t="n"/>
      <c r="AE319" s="43" t="n"/>
      <c r="AF319" s="43" t="n"/>
      <c r="AG319" s="43" t="n"/>
      <c r="AH319" s="43" t="n"/>
      <c r="AI319" s="43" t="n"/>
      <c r="AJ319" s="43" t="n"/>
      <c r="AK319" s="43" t="n"/>
      <c r="AL319" s="43" t="n"/>
      <c r="AM319" s="43" t="n"/>
      <c r="AN319" s="43" t="n"/>
      <c r="AO319" s="43" t="n"/>
      <c r="AP319" s="43" t="n"/>
      <c r="AQ319" s="43" t="n"/>
    </row>
    <row r="320" ht="18" customHeight="1" s="74">
      <c r="A320" s="38" t="n"/>
      <c r="B320" s="38" t="n"/>
      <c r="C320" s="38" t="n"/>
      <c r="D320" s="38" t="n"/>
      <c r="E320" s="39" t="n"/>
      <c r="F320" s="39" t="n"/>
      <c r="G320" s="39" t="n"/>
      <c r="H320" s="39" t="n"/>
      <c r="I320" s="39" t="n"/>
      <c r="J320" s="39" t="n"/>
      <c r="K320" s="39" t="n"/>
      <c r="L320" s="39" t="n"/>
      <c r="M320" s="39" t="n"/>
      <c r="N320" s="39" t="n"/>
      <c r="O320" s="39" t="n"/>
      <c r="P320" s="39" t="n"/>
      <c r="Q320" s="39" t="n"/>
      <c r="R320" s="39" t="n"/>
      <c r="S320" s="39" t="n"/>
      <c r="T320" s="39" t="n"/>
      <c r="U320" s="39" t="n"/>
      <c r="V320" s="39" t="n"/>
      <c r="W320" s="34" t="n"/>
      <c r="X320" s="39" t="n"/>
      <c r="Y320" s="40" t="n"/>
      <c r="Z320" s="158">
        <f>IF(OR(Y320="",X320=""),"",IFERROR(Y320*INDEX(FXRates[USD per unit],MATCH(X320,FXRates[Currency],0)),"No rate"))</f>
        <v/>
      </c>
      <c r="AA320" s="38" t="n"/>
      <c r="AB320" s="38" t="n"/>
      <c r="AC320" s="41">
        <f>IF(A320="","",IF(COUNTIF($A$6:$A$504,A320)&gt;1,"⚠ Duplicate",""))</f>
        <v/>
      </c>
      <c r="AD320" s="42" t="n"/>
      <c r="AE320" s="42" t="n"/>
      <c r="AF320" s="42" t="n"/>
      <c r="AG320" s="42" t="n"/>
      <c r="AH320" s="42" t="n"/>
      <c r="AI320" s="42" t="n"/>
      <c r="AJ320" s="42" t="n"/>
      <c r="AK320" s="42" t="n"/>
      <c r="AL320" s="42" t="n"/>
      <c r="AM320" s="42" t="n"/>
      <c r="AN320" s="42" t="n"/>
      <c r="AO320" s="42" t="n"/>
      <c r="AP320" s="42" t="n"/>
      <c r="AQ320" s="42" t="n"/>
    </row>
    <row r="321" ht="18" customHeight="1" s="74">
      <c r="A321" s="32" t="n"/>
      <c r="B321" s="32" t="n"/>
      <c r="C321" s="32" t="n"/>
      <c r="D321" s="32" t="n"/>
      <c r="E321" s="33" t="n"/>
      <c r="F321" s="33" t="n"/>
      <c r="G321" s="33" t="n"/>
      <c r="H321" s="33" t="n"/>
      <c r="I321" s="33" t="n"/>
      <c r="J321" s="33" t="n"/>
      <c r="K321" s="33" t="n"/>
      <c r="L321" s="33" t="n"/>
      <c r="M321" s="33" t="n"/>
      <c r="N321" s="33" t="n"/>
      <c r="O321" s="33" t="n"/>
      <c r="P321" s="33" t="n"/>
      <c r="Q321" s="33" t="n"/>
      <c r="R321" s="33" t="n"/>
      <c r="S321" s="33" t="n"/>
      <c r="T321" s="33" t="n"/>
      <c r="U321" s="33" t="n"/>
      <c r="V321" s="33" t="n"/>
      <c r="W321" s="34" t="n"/>
      <c r="X321" s="33" t="n"/>
      <c r="Y321" s="35" t="n"/>
      <c r="Z321" s="157">
        <f>IF(OR(Y321="",X321=""),"",IFERROR(Y321*INDEX(FXRates[USD per unit],MATCH(X321,FXRates[Currency],0)),"No rate"))</f>
        <v/>
      </c>
      <c r="AA321" s="32" t="n"/>
      <c r="AB321" s="32" t="n"/>
      <c r="AC321" s="36">
        <f>IF(A321="","",IF(COUNTIF($A$6:$A$504,A321)&gt;1,"⚠ Duplicate",""))</f>
        <v/>
      </c>
      <c r="AD321" s="43" t="n"/>
      <c r="AE321" s="43" t="n"/>
      <c r="AF321" s="43" t="n"/>
      <c r="AG321" s="43" t="n"/>
      <c r="AH321" s="43" t="n"/>
      <c r="AI321" s="43" t="n"/>
      <c r="AJ321" s="43" t="n"/>
      <c r="AK321" s="43" t="n"/>
      <c r="AL321" s="43" t="n"/>
      <c r="AM321" s="43" t="n"/>
      <c r="AN321" s="43" t="n"/>
      <c r="AO321" s="43" t="n"/>
      <c r="AP321" s="43" t="n"/>
      <c r="AQ321" s="43" t="n"/>
    </row>
    <row r="322" ht="18" customHeight="1" s="74">
      <c r="A322" s="38" t="n"/>
      <c r="B322" s="38" t="n"/>
      <c r="C322" s="38" t="n"/>
      <c r="D322" s="38" t="n"/>
      <c r="E322" s="39" t="n"/>
      <c r="F322" s="39" t="n"/>
      <c r="G322" s="39" t="n"/>
      <c r="H322" s="39" t="n"/>
      <c r="I322" s="39" t="n"/>
      <c r="J322" s="39" t="n"/>
      <c r="K322" s="39" t="n"/>
      <c r="L322" s="39" t="n"/>
      <c r="M322" s="39" t="n"/>
      <c r="N322" s="39" t="n"/>
      <c r="O322" s="39" t="n"/>
      <c r="P322" s="39" t="n"/>
      <c r="Q322" s="39" t="n"/>
      <c r="R322" s="39" t="n"/>
      <c r="S322" s="39" t="n"/>
      <c r="T322" s="39" t="n"/>
      <c r="U322" s="39" t="n"/>
      <c r="V322" s="39" t="n"/>
      <c r="W322" s="34" t="n"/>
      <c r="X322" s="39" t="n"/>
      <c r="Y322" s="40" t="n"/>
      <c r="Z322" s="158">
        <f>IF(OR(Y322="",X322=""),"",IFERROR(Y322*INDEX(FXRates[USD per unit],MATCH(X322,FXRates[Currency],0)),"No rate"))</f>
        <v/>
      </c>
      <c r="AA322" s="38" t="n"/>
      <c r="AB322" s="38" t="n"/>
      <c r="AC322" s="41">
        <f>IF(A322="","",IF(COUNTIF($A$6:$A$504,A322)&gt;1,"⚠ Duplicate",""))</f>
        <v/>
      </c>
      <c r="AD322" s="42" t="n"/>
      <c r="AE322" s="42" t="n"/>
      <c r="AF322" s="42" t="n"/>
      <c r="AG322" s="42" t="n"/>
      <c r="AH322" s="42" t="n"/>
      <c r="AI322" s="42" t="n"/>
      <c r="AJ322" s="42" t="n"/>
      <c r="AK322" s="42" t="n"/>
      <c r="AL322" s="42" t="n"/>
      <c r="AM322" s="42" t="n"/>
      <c r="AN322" s="42" t="n"/>
      <c r="AO322" s="42" t="n"/>
      <c r="AP322" s="42" t="n"/>
      <c r="AQ322" s="42" t="n"/>
    </row>
    <row r="323" ht="18" customHeight="1" s="74">
      <c r="A323" s="32" t="n"/>
      <c r="B323" s="32" t="n"/>
      <c r="C323" s="32" t="n"/>
      <c r="D323" s="32" t="n"/>
      <c r="E323" s="33" t="n"/>
      <c r="F323" s="33" t="n"/>
      <c r="G323" s="33" t="n"/>
      <c r="H323" s="33" t="n"/>
      <c r="I323" s="33" t="n"/>
      <c r="J323" s="33" t="n"/>
      <c r="K323" s="33" t="n"/>
      <c r="L323" s="33" t="n"/>
      <c r="M323" s="33" t="n"/>
      <c r="N323" s="33" t="n"/>
      <c r="O323" s="33" t="n"/>
      <c r="P323" s="33" t="n"/>
      <c r="Q323" s="33" t="n"/>
      <c r="R323" s="33" t="n"/>
      <c r="S323" s="33" t="n"/>
      <c r="T323" s="33" t="n"/>
      <c r="U323" s="33" t="n"/>
      <c r="V323" s="33" t="n"/>
      <c r="W323" s="34" t="n"/>
      <c r="X323" s="33" t="n"/>
      <c r="Y323" s="35" t="n"/>
      <c r="Z323" s="157">
        <f>IF(OR(Y323="",X323=""),"",IFERROR(Y323*INDEX(FXRates[USD per unit],MATCH(X323,FXRates[Currency],0)),"No rate"))</f>
        <v/>
      </c>
      <c r="AA323" s="32" t="n"/>
      <c r="AB323" s="32" t="n"/>
      <c r="AC323" s="36">
        <f>IF(A323="","",IF(COUNTIF($A$6:$A$504,A323)&gt;1,"⚠ Duplicate",""))</f>
        <v/>
      </c>
      <c r="AD323" s="43" t="n"/>
      <c r="AE323" s="43" t="n"/>
      <c r="AF323" s="43" t="n"/>
      <c r="AG323" s="43" t="n"/>
      <c r="AH323" s="43" t="n"/>
      <c r="AI323" s="43" t="n"/>
      <c r="AJ323" s="43" t="n"/>
      <c r="AK323" s="43" t="n"/>
      <c r="AL323" s="43" t="n"/>
      <c r="AM323" s="43" t="n"/>
      <c r="AN323" s="43" t="n"/>
      <c r="AO323" s="43" t="n"/>
      <c r="AP323" s="43" t="n"/>
      <c r="AQ323" s="43" t="n"/>
    </row>
    <row r="324" ht="18" customHeight="1" s="74">
      <c r="A324" s="38" t="n"/>
      <c r="B324" s="38" t="n"/>
      <c r="C324" s="38" t="n"/>
      <c r="D324" s="38" t="n"/>
      <c r="E324" s="39" t="n"/>
      <c r="F324" s="39" t="n"/>
      <c r="G324" s="39" t="n"/>
      <c r="H324" s="39" t="n"/>
      <c r="I324" s="39" t="n"/>
      <c r="J324" s="39" t="n"/>
      <c r="K324" s="39" t="n"/>
      <c r="L324" s="39" t="n"/>
      <c r="M324" s="39" t="n"/>
      <c r="N324" s="39" t="n"/>
      <c r="O324" s="39" t="n"/>
      <c r="P324" s="39" t="n"/>
      <c r="Q324" s="39" t="n"/>
      <c r="R324" s="39" t="n"/>
      <c r="S324" s="39" t="n"/>
      <c r="T324" s="39" t="n"/>
      <c r="U324" s="39" t="n"/>
      <c r="V324" s="39" t="n"/>
      <c r="W324" s="34" t="n"/>
      <c r="X324" s="39" t="n"/>
      <c r="Y324" s="40" t="n"/>
      <c r="Z324" s="158">
        <f>IF(OR(Y324="",X324=""),"",IFERROR(Y324*INDEX(FXRates[USD per unit],MATCH(X324,FXRates[Currency],0)),"No rate"))</f>
        <v/>
      </c>
      <c r="AA324" s="38" t="n"/>
      <c r="AB324" s="38" t="n"/>
      <c r="AC324" s="41">
        <f>IF(A324="","",IF(COUNTIF($A$6:$A$504,A324)&gt;1,"⚠ Duplicate",""))</f>
        <v/>
      </c>
      <c r="AD324" s="42" t="n"/>
      <c r="AE324" s="42" t="n"/>
      <c r="AF324" s="42" t="n"/>
      <c r="AG324" s="42" t="n"/>
      <c r="AH324" s="42" t="n"/>
      <c r="AI324" s="42" t="n"/>
      <c r="AJ324" s="42" t="n"/>
      <c r="AK324" s="42" t="n"/>
      <c r="AL324" s="42" t="n"/>
      <c r="AM324" s="42" t="n"/>
      <c r="AN324" s="42" t="n"/>
      <c r="AO324" s="42" t="n"/>
      <c r="AP324" s="42" t="n"/>
      <c r="AQ324" s="42" t="n"/>
    </row>
    <row r="325" ht="18" customHeight="1" s="74">
      <c r="A325" s="32" t="n"/>
      <c r="B325" s="32" t="n"/>
      <c r="C325" s="32" t="n"/>
      <c r="D325" s="32" t="n"/>
      <c r="E325" s="33" t="n"/>
      <c r="F325" s="33" t="n"/>
      <c r="G325" s="33" t="n"/>
      <c r="H325" s="33" t="n"/>
      <c r="I325" s="33" t="n"/>
      <c r="J325" s="33" t="n"/>
      <c r="K325" s="33" t="n"/>
      <c r="L325" s="33" t="n"/>
      <c r="M325" s="33" t="n"/>
      <c r="N325" s="33" t="n"/>
      <c r="O325" s="33" t="n"/>
      <c r="P325" s="33" t="n"/>
      <c r="Q325" s="33" t="n"/>
      <c r="R325" s="33" t="n"/>
      <c r="S325" s="33" t="n"/>
      <c r="T325" s="33" t="n"/>
      <c r="U325" s="33" t="n"/>
      <c r="V325" s="33" t="n"/>
      <c r="W325" s="34" t="n"/>
      <c r="X325" s="33" t="n"/>
      <c r="Y325" s="35" t="n"/>
      <c r="Z325" s="157">
        <f>IF(OR(Y325="",X325=""),"",IFERROR(Y325*INDEX(FXRates[USD per unit],MATCH(X325,FXRates[Currency],0)),"No rate"))</f>
        <v/>
      </c>
      <c r="AA325" s="32" t="n"/>
      <c r="AB325" s="32" t="n"/>
      <c r="AC325" s="36">
        <f>IF(A325="","",IF(COUNTIF($A$6:$A$504,A325)&gt;1,"⚠ Duplicate",""))</f>
        <v/>
      </c>
      <c r="AD325" s="43" t="n"/>
      <c r="AE325" s="43" t="n"/>
      <c r="AF325" s="43" t="n"/>
      <c r="AG325" s="43" t="n"/>
      <c r="AH325" s="43" t="n"/>
      <c r="AI325" s="43" t="n"/>
      <c r="AJ325" s="43" t="n"/>
      <c r="AK325" s="43" t="n"/>
      <c r="AL325" s="43" t="n"/>
      <c r="AM325" s="43" t="n"/>
      <c r="AN325" s="43" t="n"/>
      <c r="AO325" s="43" t="n"/>
      <c r="AP325" s="43" t="n"/>
      <c r="AQ325" s="43" t="n"/>
    </row>
    <row r="326" ht="18" customHeight="1" s="74">
      <c r="A326" s="38" t="n"/>
      <c r="B326" s="38" t="n"/>
      <c r="C326" s="38" t="n"/>
      <c r="D326" s="38" t="n"/>
      <c r="E326" s="39" t="n"/>
      <c r="F326" s="39" t="n"/>
      <c r="G326" s="39" t="n"/>
      <c r="H326" s="39" t="n"/>
      <c r="I326" s="39" t="n"/>
      <c r="J326" s="39" t="n"/>
      <c r="K326" s="39" t="n"/>
      <c r="L326" s="39" t="n"/>
      <c r="M326" s="39" t="n"/>
      <c r="N326" s="39" t="n"/>
      <c r="O326" s="39" t="n"/>
      <c r="P326" s="39" t="n"/>
      <c r="Q326" s="39" t="n"/>
      <c r="R326" s="39" t="n"/>
      <c r="S326" s="39" t="n"/>
      <c r="T326" s="39" t="n"/>
      <c r="U326" s="39" t="n"/>
      <c r="V326" s="39" t="n"/>
      <c r="W326" s="34" t="n"/>
      <c r="X326" s="39" t="n"/>
      <c r="Y326" s="40" t="n"/>
      <c r="Z326" s="158">
        <f>IF(OR(Y326="",X326=""),"",IFERROR(Y326*INDEX(FXRates[USD per unit],MATCH(X326,FXRates[Currency],0)),"No rate"))</f>
        <v/>
      </c>
      <c r="AA326" s="38" t="n"/>
      <c r="AB326" s="38" t="n"/>
      <c r="AC326" s="41">
        <f>IF(A326="","",IF(COUNTIF($A$6:$A$504,A326)&gt;1,"⚠ Duplicate",""))</f>
        <v/>
      </c>
      <c r="AD326" s="42" t="n"/>
      <c r="AE326" s="42" t="n"/>
      <c r="AF326" s="42" t="n"/>
      <c r="AG326" s="42" t="n"/>
      <c r="AH326" s="42" t="n"/>
      <c r="AI326" s="42" t="n"/>
      <c r="AJ326" s="42" t="n"/>
      <c r="AK326" s="42" t="n"/>
      <c r="AL326" s="42" t="n"/>
      <c r="AM326" s="42" t="n"/>
      <c r="AN326" s="42" t="n"/>
      <c r="AO326" s="42" t="n"/>
      <c r="AP326" s="42" t="n"/>
      <c r="AQ326" s="42" t="n"/>
    </row>
    <row r="327" ht="18" customHeight="1" s="74">
      <c r="A327" s="32" t="n"/>
      <c r="B327" s="32" t="n"/>
      <c r="C327" s="32" t="n"/>
      <c r="D327" s="32" t="n"/>
      <c r="E327" s="33" t="n"/>
      <c r="F327" s="33" t="n"/>
      <c r="G327" s="33" t="n"/>
      <c r="H327" s="33" t="n"/>
      <c r="I327" s="33" t="n"/>
      <c r="J327" s="33" t="n"/>
      <c r="K327" s="33" t="n"/>
      <c r="L327" s="33" t="n"/>
      <c r="M327" s="33" t="n"/>
      <c r="N327" s="33" t="n"/>
      <c r="O327" s="33" t="n"/>
      <c r="P327" s="33" t="n"/>
      <c r="Q327" s="33" t="n"/>
      <c r="R327" s="33" t="n"/>
      <c r="S327" s="33" t="n"/>
      <c r="T327" s="33" t="n"/>
      <c r="U327" s="33" t="n"/>
      <c r="V327" s="33" t="n"/>
      <c r="W327" s="34" t="n"/>
      <c r="X327" s="33" t="n"/>
      <c r="Y327" s="35" t="n"/>
      <c r="Z327" s="157">
        <f>IF(OR(Y327="",X327=""),"",IFERROR(Y327*INDEX(FXRates[USD per unit],MATCH(X327,FXRates[Currency],0)),"No rate"))</f>
        <v/>
      </c>
      <c r="AA327" s="32" t="n"/>
      <c r="AB327" s="32" t="n"/>
      <c r="AC327" s="36">
        <f>IF(A327="","",IF(COUNTIF($A$6:$A$504,A327)&gt;1,"⚠ Duplicate",""))</f>
        <v/>
      </c>
      <c r="AD327" s="43" t="n"/>
      <c r="AE327" s="43" t="n"/>
      <c r="AF327" s="43" t="n"/>
      <c r="AG327" s="43" t="n"/>
      <c r="AH327" s="43" t="n"/>
      <c r="AI327" s="43" t="n"/>
      <c r="AJ327" s="43" t="n"/>
      <c r="AK327" s="43" t="n"/>
      <c r="AL327" s="43" t="n"/>
      <c r="AM327" s="43" t="n"/>
      <c r="AN327" s="43" t="n"/>
      <c r="AO327" s="43" t="n"/>
      <c r="AP327" s="43" t="n"/>
      <c r="AQ327" s="43" t="n"/>
    </row>
    <row r="328" ht="18" customHeight="1" s="74">
      <c r="A328" s="38" t="n"/>
      <c r="B328" s="38" t="n"/>
      <c r="C328" s="38" t="n"/>
      <c r="D328" s="38" t="n"/>
      <c r="E328" s="39" t="n"/>
      <c r="F328" s="39" t="n"/>
      <c r="G328" s="39" t="n"/>
      <c r="H328" s="39" t="n"/>
      <c r="I328" s="39" t="n"/>
      <c r="J328" s="39" t="n"/>
      <c r="K328" s="39" t="n"/>
      <c r="L328" s="39" t="n"/>
      <c r="M328" s="39" t="n"/>
      <c r="N328" s="39" t="n"/>
      <c r="O328" s="39" t="n"/>
      <c r="P328" s="39" t="n"/>
      <c r="Q328" s="39" t="n"/>
      <c r="R328" s="39" t="n"/>
      <c r="S328" s="39" t="n"/>
      <c r="T328" s="39" t="n"/>
      <c r="U328" s="39" t="n"/>
      <c r="V328" s="39" t="n"/>
      <c r="W328" s="34" t="n"/>
      <c r="X328" s="39" t="n"/>
      <c r="Y328" s="40" t="n"/>
      <c r="Z328" s="158">
        <f>IF(OR(Y328="",X328=""),"",IFERROR(Y328*INDEX(FXRates[USD per unit],MATCH(X328,FXRates[Currency],0)),"No rate"))</f>
        <v/>
      </c>
      <c r="AA328" s="38" t="n"/>
      <c r="AB328" s="38" t="n"/>
      <c r="AC328" s="41">
        <f>IF(A328="","",IF(COUNTIF($A$6:$A$504,A328)&gt;1,"⚠ Duplicate",""))</f>
        <v/>
      </c>
      <c r="AD328" s="42" t="n"/>
      <c r="AE328" s="42" t="n"/>
      <c r="AF328" s="42" t="n"/>
      <c r="AG328" s="42" t="n"/>
      <c r="AH328" s="42" t="n"/>
      <c r="AI328" s="42" t="n"/>
      <c r="AJ328" s="42" t="n"/>
      <c r="AK328" s="42" t="n"/>
      <c r="AL328" s="42" t="n"/>
      <c r="AM328" s="42" t="n"/>
      <c r="AN328" s="42" t="n"/>
      <c r="AO328" s="42" t="n"/>
      <c r="AP328" s="42" t="n"/>
      <c r="AQ328" s="42" t="n"/>
    </row>
    <row r="329" ht="18" customHeight="1" s="74">
      <c r="A329" s="32" t="n"/>
      <c r="B329" s="32" t="n"/>
      <c r="C329" s="32" t="n"/>
      <c r="D329" s="32" t="n"/>
      <c r="E329" s="33" t="n"/>
      <c r="F329" s="33" t="n"/>
      <c r="G329" s="33" t="n"/>
      <c r="H329" s="33" t="n"/>
      <c r="I329" s="33" t="n"/>
      <c r="J329" s="33" t="n"/>
      <c r="K329" s="33" t="n"/>
      <c r="L329" s="33" t="n"/>
      <c r="M329" s="33" t="n"/>
      <c r="N329" s="33" t="n"/>
      <c r="O329" s="33" t="n"/>
      <c r="P329" s="33" t="n"/>
      <c r="Q329" s="33" t="n"/>
      <c r="R329" s="33" t="n"/>
      <c r="S329" s="33" t="n"/>
      <c r="T329" s="33" t="n"/>
      <c r="U329" s="33" t="n"/>
      <c r="V329" s="33" t="n"/>
      <c r="W329" s="34" t="n"/>
      <c r="X329" s="33" t="n"/>
      <c r="Y329" s="35" t="n"/>
      <c r="Z329" s="157">
        <f>IF(OR(Y329="",X329=""),"",IFERROR(Y329*INDEX(FXRates[USD per unit],MATCH(X329,FXRates[Currency],0)),"No rate"))</f>
        <v/>
      </c>
      <c r="AA329" s="32" t="n"/>
      <c r="AB329" s="32" t="n"/>
      <c r="AC329" s="36">
        <f>IF(A329="","",IF(COUNTIF($A$6:$A$504,A329)&gt;1,"⚠ Duplicate",""))</f>
        <v/>
      </c>
      <c r="AD329" s="43" t="n"/>
      <c r="AE329" s="43" t="n"/>
      <c r="AF329" s="43" t="n"/>
      <c r="AG329" s="43" t="n"/>
      <c r="AH329" s="43" t="n"/>
      <c r="AI329" s="43" t="n"/>
      <c r="AJ329" s="43" t="n"/>
      <c r="AK329" s="43" t="n"/>
      <c r="AL329" s="43" t="n"/>
      <c r="AM329" s="43" t="n"/>
      <c r="AN329" s="43" t="n"/>
      <c r="AO329" s="43" t="n"/>
      <c r="AP329" s="43" t="n"/>
      <c r="AQ329" s="43" t="n"/>
    </row>
    <row r="330" ht="18" customHeight="1" s="74">
      <c r="A330" s="38" t="n"/>
      <c r="B330" s="38" t="n"/>
      <c r="C330" s="38" t="n"/>
      <c r="D330" s="38" t="n"/>
      <c r="E330" s="39" t="n"/>
      <c r="F330" s="39" t="n"/>
      <c r="G330" s="39" t="n"/>
      <c r="H330" s="39" t="n"/>
      <c r="I330" s="39" t="n"/>
      <c r="J330" s="39" t="n"/>
      <c r="K330" s="39" t="n"/>
      <c r="L330" s="39" t="n"/>
      <c r="M330" s="39" t="n"/>
      <c r="N330" s="39" t="n"/>
      <c r="O330" s="39" t="n"/>
      <c r="P330" s="39" t="n"/>
      <c r="Q330" s="39" t="n"/>
      <c r="R330" s="39" t="n"/>
      <c r="S330" s="39" t="n"/>
      <c r="T330" s="39" t="n"/>
      <c r="U330" s="39" t="n"/>
      <c r="V330" s="39" t="n"/>
      <c r="W330" s="34" t="n"/>
      <c r="X330" s="39" t="n"/>
      <c r="Y330" s="40" t="n"/>
      <c r="Z330" s="158">
        <f>IF(OR(Y330="",X330=""),"",IFERROR(Y330*INDEX(FXRates[USD per unit],MATCH(X330,FXRates[Currency],0)),"No rate"))</f>
        <v/>
      </c>
      <c r="AA330" s="38" t="n"/>
      <c r="AB330" s="38" t="n"/>
      <c r="AC330" s="41">
        <f>IF(A330="","",IF(COUNTIF($A$6:$A$504,A330)&gt;1,"⚠ Duplicate",""))</f>
        <v/>
      </c>
      <c r="AD330" s="42" t="n"/>
      <c r="AE330" s="42" t="n"/>
      <c r="AF330" s="42" t="n"/>
      <c r="AG330" s="42" t="n"/>
      <c r="AH330" s="42" t="n"/>
      <c r="AI330" s="42" t="n"/>
      <c r="AJ330" s="42" t="n"/>
      <c r="AK330" s="42" t="n"/>
      <c r="AL330" s="42" t="n"/>
      <c r="AM330" s="42" t="n"/>
      <c r="AN330" s="42" t="n"/>
      <c r="AO330" s="42" t="n"/>
      <c r="AP330" s="42" t="n"/>
      <c r="AQ330" s="42" t="n"/>
    </row>
    <row r="331" ht="18" customHeight="1" s="74">
      <c r="A331" s="32" t="n"/>
      <c r="B331" s="32" t="n"/>
      <c r="C331" s="32" t="n"/>
      <c r="D331" s="32" t="n"/>
      <c r="E331" s="33" t="n"/>
      <c r="F331" s="33" t="n"/>
      <c r="G331" s="33" t="n"/>
      <c r="H331" s="33" t="n"/>
      <c r="I331" s="33" t="n"/>
      <c r="J331" s="33" t="n"/>
      <c r="K331" s="33" t="n"/>
      <c r="L331" s="33" t="n"/>
      <c r="M331" s="33" t="n"/>
      <c r="N331" s="33" t="n"/>
      <c r="O331" s="33" t="n"/>
      <c r="P331" s="33" t="n"/>
      <c r="Q331" s="33" t="n"/>
      <c r="R331" s="33" t="n"/>
      <c r="S331" s="33" t="n"/>
      <c r="T331" s="33" t="n"/>
      <c r="U331" s="33" t="n"/>
      <c r="V331" s="33" t="n"/>
      <c r="W331" s="34" t="n"/>
      <c r="X331" s="33" t="n"/>
      <c r="Y331" s="35" t="n"/>
      <c r="Z331" s="157">
        <f>IF(OR(Y331="",X331=""),"",IFERROR(Y331*INDEX(FXRates[USD per unit],MATCH(X331,FXRates[Currency],0)),"No rate"))</f>
        <v/>
      </c>
      <c r="AA331" s="32" t="n"/>
      <c r="AB331" s="32" t="n"/>
      <c r="AC331" s="36">
        <f>IF(A331="","",IF(COUNTIF($A$6:$A$504,A331)&gt;1,"⚠ Duplicate",""))</f>
        <v/>
      </c>
      <c r="AD331" s="43" t="n"/>
      <c r="AE331" s="43" t="n"/>
      <c r="AF331" s="43" t="n"/>
      <c r="AG331" s="43" t="n"/>
      <c r="AH331" s="43" t="n"/>
      <c r="AI331" s="43" t="n"/>
      <c r="AJ331" s="43" t="n"/>
      <c r="AK331" s="43" t="n"/>
      <c r="AL331" s="43" t="n"/>
      <c r="AM331" s="43" t="n"/>
      <c r="AN331" s="43" t="n"/>
      <c r="AO331" s="43" t="n"/>
      <c r="AP331" s="43" t="n"/>
      <c r="AQ331" s="43" t="n"/>
    </row>
    <row r="332" ht="18" customHeight="1" s="74">
      <c r="A332" s="38" t="n"/>
      <c r="B332" s="38" t="n"/>
      <c r="C332" s="38" t="n"/>
      <c r="D332" s="38" t="n"/>
      <c r="E332" s="39" t="n"/>
      <c r="F332" s="39" t="n"/>
      <c r="G332" s="39" t="n"/>
      <c r="H332" s="39" t="n"/>
      <c r="I332" s="39" t="n"/>
      <c r="J332" s="39" t="n"/>
      <c r="K332" s="39" t="n"/>
      <c r="L332" s="39" t="n"/>
      <c r="M332" s="39" t="n"/>
      <c r="N332" s="39" t="n"/>
      <c r="O332" s="39" t="n"/>
      <c r="P332" s="39" t="n"/>
      <c r="Q332" s="39" t="n"/>
      <c r="R332" s="39" t="n"/>
      <c r="S332" s="39" t="n"/>
      <c r="T332" s="39" t="n"/>
      <c r="U332" s="39" t="n"/>
      <c r="V332" s="39" t="n"/>
      <c r="W332" s="34" t="n"/>
      <c r="X332" s="39" t="n"/>
      <c r="Y332" s="40" t="n"/>
      <c r="Z332" s="158">
        <f>IF(OR(Y332="",X332=""),"",IFERROR(Y332*INDEX(FXRates[USD per unit],MATCH(X332,FXRates[Currency],0)),"No rate"))</f>
        <v/>
      </c>
      <c r="AA332" s="38" t="n"/>
      <c r="AB332" s="38" t="n"/>
      <c r="AC332" s="41">
        <f>IF(A332="","",IF(COUNTIF($A$6:$A$504,A332)&gt;1,"⚠ Duplicate",""))</f>
        <v/>
      </c>
      <c r="AD332" s="42" t="n"/>
      <c r="AE332" s="42" t="n"/>
      <c r="AF332" s="42" t="n"/>
      <c r="AG332" s="42" t="n"/>
      <c r="AH332" s="42" t="n"/>
      <c r="AI332" s="42" t="n"/>
      <c r="AJ332" s="42" t="n"/>
      <c r="AK332" s="42" t="n"/>
      <c r="AL332" s="42" t="n"/>
      <c r="AM332" s="42" t="n"/>
      <c r="AN332" s="42" t="n"/>
      <c r="AO332" s="42" t="n"/>
      <c r="AP332" s="42" t="n"/>
      <c r="AQ332" s="42" t="n"/>
    </row>
    <row r="333" ht="18" customHeight="1" s="74">
      <c r="A333" s="32" t="n"/>
      <c r="B333" s="32" t="n"/>
      <c r="C333" s="32" t="n"/>
      <c r="D333" s="32" t="n"/>
      <c r="E333" s="33" t="n"/>
      <c r="F333" s="33" t="n"/>
      <c r="G333" s="33" t="n"/>
      <c r="H333" s="33" t="n"/>
      <c r="I333" s="33" t="n"/>
      <c r="J333" s="33" t="n"/>
      <c r="K333" s="33" t="n"/>
      <c r="L333" s="33" t="n"/>
      <c r="M333" s="33" t="n"/>
      <c r="N333" s="33" t="n"/>
      <c r="O333" s="33" t="n"/>
      <c r="P333" s="33" t="n"/>
      <c r="Q333" s="33" t="n"/>
      <c r="R333" s="33" t="n"/>
      <c r="S333" s="33" t="n"/>
      <c r="T333" s="33" t="n"/>
      <c r="U333" s="33" t="n"/>
      <c r="V333" s="33" t="n"/>
      <c r="W333" s="34" t="n"/>
      <c r="X333" s="33" t="n"/>
      <c r="Y333" s="35" t="n"/>
      <c r="Z333" s="157">
        <f>IF(OR(Y333="",X333=""),"",IFERROR(Y333*INDEX(FXRates[USD per unit],MATCH(X333,FXRates[Currency],0)),"No rate"))</f>
        <v/>
      </c>
      <c r="AA333" s="32" t="n"/>
      <c r="AB333" s="32" t="n"/>
      <c r="AC333" s="36">
        <f>IF(A333="","",IF(COUNTIF($A$6:$A$504,A333)&gt;1,"⚠ Duplicate",""))</f>
        <v/>
      </c>
      <c r="AD333" s="43" t="n"/>
      <c r="AE333" s="43" t="n"/>
      <c r="AF333" s="43" t="n"/>
      <c r="AG333" s="43" t="n"/>
      <c r="AH333" s="43" t="n"/>
      <c r="AI333" s="43" t="n"/>
      <c r="AJ333" s="43" t="n"/>
      <c r="AK333" s="43" t="n"/>
      <c r="AL333" s="43" t="n"/>
      <c r="AM333" s="43" t="n"/>
      <c r="AN333" s="43" t="n"/>
      <c r="AO333" s="43" t="n"/>
      <c r="AP333" s="43" t="n"/>
      <c r="AQ333" s="43" t="n"/>
    </row>
    <row r="334" ht="18" customHeight="1" s="74">
      <c r="A334" s="38" t="n"/>
      <c r="B334" s="38" t="n"/>
      <c r="C334" s="38" t="n"/>
      <c r="D334" s="38" t="n"/>
      <c r="E334" s="39" t="n"/>
      <c r="F334" s="39" t="n"/>
      <c r="G334" s="39" t="n"/>
      <c r="H334" s="39" t="n"/>
      <c r="I334" s="39" t="n"/>
      <c r="J334" s="39" t="n"/>
      <c r="K334" s="39" t="n"/>
      <c r="L334" s="39" t="n"/>
      <c r="M334" s="39" t="n"/>
      <c r="N334" s="39" t="n"/>
      <c r="O334" s="39" t="n"/>
      <c r="P334" s="39" t="n"/>
      <c r="Q334" s="39" t="n"/>
      <c r="R334" s="39" t="n"/>
      <c r="S334" s="39" t="n"/>
      <c r="T334" s="39" t="n"/>
      <c r="U334" s="39" t="n"/>
      <c r="V334" s="39" t="n"/>
      <c r="W334" s="34" t="n"/>
      <c r="X334" s="39" t="n"/>
      <c r="Y334" s="40" t="n"/>
      <c r="Z334" s="158">
        <f>IF(OR(Y334="",X334=""),"",IFERROR(Y334*INDEX(FXRates[USD per unit],MATCH(X334,FXRates[Currency],0)),"No rate"))</f>
        <v/>
      </c>
      <c r="AA334" s="38" t="n"/>
      <c r="AB334" s="38" t="n"/>
      <c r="AC334" s="41">
        <f>IF(A334="","",IF(COUNTIF($A$6:$A$504,A334)&gt;1,"⚠ Duplicate",""))</f>
        <v/>
      </c>
      <c r="AD334" s="42" t="n"/>
      <c r="AE334" s="42" t="n"/>
      <c r="AF334" s="42" t="n"/>
      <c r="AG334" s="42" t="n"/>
      <c r="AH334" s="42" t="n"/>
      <c r="AI334" s="42" t="n"/>
      <c r="AJ334" s="42" t="n"/>
      <c r="AK334" s="42" t="n"/>
      <c r="AL334" s="42" t="n"/>
      <c r="AM334" s="42" t="n"/>
      <c r="AN334" s="42" t="n"/>
      <c r="AO334" s="42" t="n"/>
      <c r="AP334" s="42" t="n"/>
      <c r="AQ334" s="42" t="n"/>
    </row>
    <row r="335" ht="18" customHeight="1" s="74">
      <c r="A335" s="32" t="n"/>
      <c r="B335" s="32" t="n"/>
      <c r="C335" s="32" t="n"/>
      <c r="D335" s="32" t="n"/>
      <c r="E335" s="33" t="n"/>
      <c r="F335" s="33" t="n"/>
      <c r="G335" s="33" t="n"/>
      <c r="H335" s="33" t="n"/>
      <c r="I335" s="33" t="n"/>
      <c r="J335" s="33" t="n"/>
      <c r="K335" s="33" t="n"/>
      <c r="L335" s="33" t="n"/>
      <c r="M335" s="33" t="n"/>
      <c r="N335" s="33" t="n"/>
      <c r="O335" s="33" t="n"/>
      <c r="P335" s="33" t="n"/>
      <c r="Q335" s="33" t="n"/>
      <c r="R335" s="33" t="n"/>
      <c r="S335" s="33" t="n"/>
      <c r="T335" s="33" t="n"/>
      <c r="U335" s="33" t="n"/>
      <c r="V335" s="33" t="n"/>
      <c r="W335" s="34" t="n"/>
      <c r="X335" s="33" t="n"/>
      <c r="Y335" s="35" t="n"/>
      <c r="Z335" s="157">
        <f>IF(OR(Y335="",X335=""),"",IFERROR(Y335*INDEX(FXRates[USD per unit],MATCH(X335,FXRates[Currency],0)),"No rate"))</f>
        <v/>
      </c>
      <c r="AA335" s="32" t="n"/>
      <c r="AB335" s="32" t="n"/>
      <c r="AC335" s="36">
        <f>IF(A335="","",IF(COUNTIF($A$6:$A$504,A335)&gt;1,"⚠ Duplicate",""))</f>
        <v/>
      </c>
      <c r="AD335" s="43" t="n"/>
      <c r="AE335" s="43" t="n"/>
      <c r="AF335" s="43" t="n"/>
      <c r="AG335" s="43" t="n"/>
      <c r="AH335" s="43" t="n"/>
      <c r="AI335" s="43" t="n"/>
      <c r="AJ335" s="43" t="n"/>
      <c r="AK335" s="43" t="n"/>
      <c r="AL335" s="43" t="n"/>
      <c r="AM335" s="43" t="n"/>
      <c r="AN335" s="43" t="n"/>
      <c r="AO335" s="43" t="n"/>
      <c r="AP335" s="43" t="n"/>
      <c r="AQ335" s="43" t="n"/>
    </row>
    <row r="336" ht="18" customHeight="1" s="74">
      <c r="A336" s="38" t="n"/>
      <c r="B336" s="38" t="n"/>
      <c r="C336" s="38" t="n"/>
      <c r="D336" s="38" t="n"/>
      <c r="E336" s="39" t="n"/>
      <c r="F336" s="39" t="n"/>
      <c r="G336" s="39" t="n"/>
      <c r="H336" s="39" t="n"/>
      <c r="I336" s="39" t="n"/>
      <c r="J336" s="39" t="n"/>
      <c r="K336" s="39" t="n"/>
      <c r="L336" s="39" t="n"/>
      <c r="M336" s="39" t="n"/>
      <c r="N336" s="39" t="n"/>
      <c r="O336" s="39" t="n"/>
      <c r="P336" s="39" t="n"/>
      <c r="Q336" s="39" t="n"/>
      <c r="R336" s="39" t="n"/>
      <c r="S336" s="39" t="n"/>
      <c r="T336" s="39" t="n"/>
      <c r="U336" s="39" t="n"/>
      <c r="V336" s="39" t="n"/>
      <c r="W336" s="34" t="n"/>
      <c r="X336" s="39" t="n"/>
      <c r="Y336" s="40" t="n"/>
      <c r="Z336" s="158">
        <f>IF(OR(Y336="",X336=""),"",IFERROR(Y336*INDEX(FXRates[USD per unit],MATCH(X336,FXRates[Currency],0)),"No rate"))</f>
        <v/>
      </c>
      <c r="AA336" s="38" t="n"/>
      <c r="AB336" s="38" t="n"/>
      <c r="AC336" s="41">
        <f>IF(A336="","",IF(COUNTIF($A$6:$A$504,A336)&gt;1,"⚠ Duplicate",""))</f>
        <v/>
      </c>
      <c r="AD336" s="42" t="n"/>
      <c r="AE336" s="42" t="n"/>
      <c r="AF336" s="42" t="n"/>
      <c r="AG336" s="42" t="n"/>
      <c r="AH336" s="42" t="n"/>
      <c r="AI336" s="42" t="n"/>
      <c r="AJ336" s="42" t="n"/>
      <c r="AK336" s="42" t="n"/>
      <c r="AL336" s="42" t="n"/>
      <c r="AM336" s="42" t="n"/>
      <c r="AN336" s="42" t="n"/>
      <c r="AO336" s="42" t="n"/>
      <c r="AP336" s="42" t="n"/>
      <c r="AQ336" s="42" t="n"/>
    </row>
    <row r="337" ht="18" customHeight="1" s="74">
      <c r="A337" s="32" t="n"/>
      <c r="B337" s="32" t="n"/>
      <c r="C337" s="32" t="n"/>
      <c r="D337" s="32" t="n"/>
      <c r="E337" s="33" t="n"/>
      <c r="F337" s="33" t="n"/>
      <c r="G337" s="33" t="n"/>
      <c r="H337" s="33" t="n"/>
      <c r="I337" s="33" t="n"/>
      <c r="J337" s="33" t="n"/>
      <c r="K337" s="33" t="n"/>
      <c r="L337" s="33" t="n"/>
      <c r="M337" s="33" t="n"/>
      <c r="N337" s="33" t="n"/>
      <c r="O337" s="33" t="n"/>
      <c r="P337" s="33" t="n"/>
      <c r="Q337" s="33" t="n"/>
      <c r="R337" s="33" t="n"/>
      <c r="S337" s="33" t="n"/>
      <c r="T337" s="33" t="n"/>
      <c r="U337" s="33" t="n"/>
      <c r="V337" s="33" t="n"/>
      <c r="W337" s="34" t="n"/>
      <c r="X337" s="33" t="n"/>
      <c r="Y337" s="35" t="n"/>
      <c r="Z337" s="157">
        <f>IF(OR(Y337="",X337=""),"",IFERROR(Y337*INDEX(FXRates[USD per unit],MATCH(X337,FXRates[Currency],0)),"No rate"))</f>
        <v/>
      </c>
      <c r="AA337" s="32" t="n"/>
      <c r="AB337" s="32" t="n"/>
      <c r="AC337" s="36">
        <f>IF(A337="","",IF(COUNTIF($A$6:$A$504,A337)&gt;1,"⚠ Duplicate",""))</f>
        <v/>
      </c>
      <c r="AD337" s="43" t="n"/>
      <c r="AE337" s="43" t="n"/>
      <c r="AF337" s="43" t="n"/>
      <c r="AG337" s="43" t="n"/>
      <c r="AH337" s="43" t="n"/>
      <c r="AI337" s="43" t="n"/>
      <c r="AJ337" s="43" t="n"/>
      <c r="AK337" s="43" t="n"/>
      <c r="AL337" s="43" t="n"/>
      <c r="AM337" s="43" t="n"/>
      <c r="AN337" s="43" t="n"/>
      <c r="AO337" s="43" t="n"/>
      <c r="AP337" s="43" t="n"/>
      <c r="AQ337" s="43" t="n"/>
    </row>
    <row r="338" ht="18" customHeight="1" s="74">
      <c r="A338" s="38" t="n"/>
      <c r="B338" s="38" t="n"/>
      <c r="C338" s="38" t="n"/>
      <c r="D338" s="38" t="n"/>
      <c r="E338" s="39" t="n"/>
      <c r="F338" s="39" t="n"/>
      <c r="G338" s="39" t="n"/>
      <c r="H338" s="39" t="n"/>
      <c r="I338" s="39" t="n"/>
      <c r="J338" s="39" t="n"/>
      <c r="K338" s="39" t="n"/>
      <c r="L338" s="39" t="n"/>
      <c r="M338" s="39" t="n"/>
      <c r="N338" s="39" t="n"/>
      <c r="O338" s="39" t="n"/>
      <c r="P338" s="39" t="n"/>
      <c r="Q338" s="39" t="n"/>
      <c r="R338" s="39" t="n"/>
      <c r="S338" s="39" t="n"/>
      <c r="T338" s="39" t="n"/>
      <c r="U338" s="39" t="n"/>
      <c r="V338" s="39" t="n"/>
      <c r="W338" s="34" t="n"/>
      <c r="X338" s="39" t="n"/>
      <c r="Y338" s="40" t="n"/>
      <c r="Z338" s="158">
        <f>IF(OR(Y338="",X338=""),"",IFERROR(Y338*INDEX(FXRates[USD per unit],MATCH(X338,FXRates[Currency],0)),"No rate"))</f>
        <v/>
      </c>
      <c r="AA338" s="38" t="n"/>
      <c r="AB338" s="38" t="n"/>
      <c r="AC338" s="41">
        <f>IF(A338="","",IF(COUNTIF($A$6:$A$504,A338)&gt;1,"⚠ Duplicate",""))</f>
        <v/>
      </c>
      <c r="AD338" s="42" t="n"/>
      <c r="AE338" s="42" t="n"/>
      <c r="AF338" s="42" t="n"/>
      <c r="AG338" s="42" t="n"/>
      <c r="AH338" s="42" t="n"/>
      <c r="AI338" s="42" t="n"/>
      <c r="AJ338" s="42" t="n"/>
      <c r="AK338" s="42" t="n"/>
      <c r="AL338" s="42" t="n"/>
      <c r="AM338" s="42" t="n"/>
      <c r="AN338" s="42" t="n"/>
      <c r="AO338" s="42" t="n"/>
      <c r="AP338" s="42" t="n"/>
      <c r="AQ338" s="42" t="n"/>
    </row>
    <row r="339" ht="18" customHeight="1" s="74">
      <c r="A339" s="32" t="n"/>
      <c r="B339" s="32" t="n"/>
      <c r="C339" s="32" t="n"/>
      <c r="D339" s="32" t="n"/>
      <c r="E339" s="33" t="n"/>
      <c r="F339" s="33" t="n"/>
      <c r="G339" s="33" t="n"/>
      <c r="H339" s="33" t="n"/>
      <c r="I339" s="33" t="n"/>
      <c r="J339" s="33" t="n"/>
      <c r="K339" s="33" t="n"/>
      <c r="L339" s="33" t="n"/>
      <c r="M339" s="33" t="n"/>
      <c r="N339" s="33" t="n"/>
      <c r="O339" s="33" t="n"/>
      <c r="P339" s="33" t="n"/>
      <c r="Q339" s="33" t="n"/>
      <c r="R339" s="33" t="n"/>
      <c r="S339" s="33" t="n"/>
      <c r="T339" s="33" t="n"/>
      <c r="U339" s="33" t="n"/>
      <c r="V339" s="33" t="n"/>
      <c r="W339" s="34" t="n"/>
      <c r="X339" s="33" t="n"/>
      <c r="Y339" s="35" t="n"/>
      <c r="Z339" s="157">
        <f>IF(OR(Y339="",X339=""),"",IFERROR(Y339*INDEX(FXRates[USD per unit],MATCH(X339,FXRates[Currency],0)),"No rate"))</f>
        <v/>
      </c>
      <c r="AA339" s="32" t="n"/>
      <c r="AB339" s="32" t="n"/>
      <c r="AC339" s="36">
        <f>IF(A339="","",IF(COUNTIF($A$6:$A$504,A339)&gt;1,"⚠ Duplicate",""))</f>
        <v/>
      </c>
      <c r="AD339" s="43" t="n"/>
      <c r="AE339" s="43" t="n"/>
      <c r="AF339" s="43" t="n"/>
      <c r="AG339" s="43" t="n"/>
      <c r="AH339" s="43" t="n"/>
      <c r="AI339" s="43" t="n"/>
      <c r="AJ339" s="43" t="n"/>
      <c r="AK339" s="43" t="n"/>
      <c r="AL339" s="43" t="n"/>
      <c r="AM339" s="43" t="n"/>
      <c r="AN339" s="43" t="n"/>
      <c r="AO339" s="43" t="n"/>
      <c r="AP339" s="43" t="n"/>
      <c r="AQ339" s="43" t="n"/>
    </row>
    <row r="340" ht="18" customHeight="1" s="74">
      <c r="A340" s="38" t="n"/>
      <c r="B340" s="38" t="n"/>
      <c r="C340" s="38" t="n"/>
      <c r="D340" s="38" t="n"/>
      <c r="E340" s="39" t="n"/>
      <c r="F340" s="39" t="n"/>
      <c r="G340" s="39" t="n"/>
      <c r="H340" s="39" t="n"/>
      <c r="I340" s="39" t="n"/>
      <c r="J340" s="39" t="n"/>
      <c r="K340" s="39" t="n"/>
      <c r="L340" s="39" t="n"/>
      <c r="M340" s="39" t="n"/>
      <c r="N340" s="39" t="n"/>
      <c r="O340" s="39" t="n"/>
      <c r="P340" s="39" t="n"/>
      <c r="Q340" s="39" t="n"/>
      <c r="R340" s="39" t="n"/>
      <c r="S340" s="39" t="n"/>
      <c r="T340" s="39" t="n"/>
      <c r="U340" s="39" t="n"/>
      <c r="V340" s="39" t="n"/>
      <c r="W340" s="34" t="n"/>
      <c r="X340" s="39" t="n"/>
      <c r="Y340" s="40" t="n"/>
      <c r="Z340" s="158">
        <f>IF(OR(Y340="",X340=""),"",IFERROR(Y340*INDEX(FXRates[USD per unit],MATCH(X340,FXRates[Currency],0)),"No rate"))</f>
        <v/>
      </c>
      <c r="AA340" s="38" t="n"/>
      <c r="AB340" s="38" t="n"/>
      <c r="AC340" s="41">
        <f>IF(A340="","",IF(COUNTIF($A$6:$A$504,A340)&gt;1,"⚠ Duplicate",""))</f>
        <v/>
      </c>
      <c r="AD340" s="42" t="n"/>
      <c r="AE340" s="42" t="n"/>
      <c r="AF340" s="42" t="n"/>
      <c r="AG340" s="42" t="n"/>
      <c r="AH340" s="42" t="n"/>
      <c r="AI340" s="42" t="n"/>
      <c r="AJ340" s="42" t="n"/>
      <c r="AK340" s="42" t="n"/>
      <c r="AL340" s="42" t="n"/>
      <c r="AM340" s="42" t="n"/>
      <c r="AN340" s="42" t="n"/>
      <c r="AO340" s="42" t="n"/>
      <c r="AP340" s="42" t="n"/>
      <c r="AQ340" s="42" t="n"/>
    </row>
    <row r="341" ht="18" customHeight="1" s="74">
      <c r="A341" s="32" t="n"/>
      <c r="B341" s="32" t="n"/>
      <c r="C341" s="32" t="n"/>
      <c r="D341" s="32" t="n"/>
      <c r="E341" s="33" t="n"/>
      <c r="F341" s="33" t="n"/>
      <c r="G341" s="33" t="n"/>
      <c r="H341" s="33" t="n"/>
      <c r="I341" s="33" t="n"/>
      <c r="J341" s="33" t="n"/>
      <c r="K341" s="33" t="n"/>
      <c r="L341" s="33" t="n"/>
      <c r="M341" s="33" t="n"/>
      <c r="N341" s="33" t="n"/>
      <c r="O341" s="33" t="n"/>
      <c r="P341" s="33" t="n"/>
      <c r="Q341" s="33" t="n"/>
      <c r="R341" s="33" t="n"/>
      <c r="S341" s="33" t="n"/>
      <c r="T341" s="33" t="n"/>
      <c r="U341" s="33" t="n"/>
      <c r="V341" s="33" t="n"/>
      <c r="W341" s="34" t="n"/>
      <c r="X341" s="33" t="n"/>
      <c r="Y341" s="35" t="n"/>
      <c r="Z341" s="157">
        <f>IF(OR(Y341="",X341=""),"",IFERROR(Y341*INDEX(FXRates[USD per unit],MATCH(X341,FXRates[Currency],0)),"No rate"))</f>
        <v/>
      </c>
      <c r="AA341" s="32" t="n"/>
      <c r="AB341" s="32" t="n"/>
      <c r="AC341" s="36">
        <f>IF(A341="","",IF(COUNTIF($A$6:$A$504,A341)&gt;1,"⚠ Duplicate",""))</f>
        <v/>
      </c>
      <c r="AD341" s="43" t="n"/>
      <c r="AE341" s="43" t="n"/>
      <c r="AF341" s="43" t="n"/>
      <c r="AG341" s="43" t="n"/>
      <c r="AH341" s="43" t="n"/>
      <c r="AI341" s="43" t="n"/>
      <c r="AJ341" s="43" t="n"/>
      <c r="AK341" s="43" t="n"/>
      <c r="AL341" s="43" t="n"/>
      <c r="AM341" s="43" t="n"/>
      <c r="AN341" s="43" t="n"/>
      <c r="AO341" s="43" t="n"/>
      <c r="AP341" s="43" t="n"/>
      <c r="AQ341" s="43" t="n"/>
    </row>
    <row r="342" ht="18" customHeight="1" s="74">
      <c r="A342" s="38" t="n"/>
      <c r="B342" s="38" t="n"/>
      <c r="C342" s="38" t="n"/>
      <c r="D342" s="38" t="n"/>
      <c r="E342" s="39" t="n"/>
      <c r="F342" s="39" t="n"/>
      <c r="G342" s="39" t="n"/>
      <c r="H342" s="39" t="n"/>
      <c r="I342" s="39" t="n"/>
      <c r="J342" s="39" t="n"/>
      <c r="K342" s="39" t="n"/>
      <c r="L342" s="39" t="n"/>
      <c r="M342" s="39" t="n"/>
      <c r="N342" s="39" t="n"/>
      <c r="O342" s="39" t="n"/>
      <c r="P342" s="39" t="n"/>
      <c r="Q342" s="39" t="n"/>
      <c r="R342" s="39" t="n"/>
      <c r="S342" s="39" t="n"/>
      <c r="T342" s="39" t="n"/>
      <c r="U342" s="39" t="n"/>
      <c r="V342" s="39" t="n"/>
      <c r="W342" s="34" t="n"/>
      <c r="X342" s="39" t="n"/>
      <c r="Y342" s="40" t="n"/>
      <c r="Z342" s="158">
        <f>IF(OR(Y342="",X342=""),"",IFERROR(Y342*INDEX(FXRates[USD per unit],MATCH(X342,FXRates[Currency],0)),"No rate"))</f>
        <v/>
      </c>
      <c r="AA342" s="38" t="n"/>
      <c r="AB342" s="38" t="n"/>
      <c r="AC342" s="41">
        <f>IF(A342="","",IF(COUNTIF($A$6:$A$504,A342)&gt;1,"⚠ Duplicate",""))</f>
        <v/>
      </c>
      <c r="AD342" s="42" t="n"/>
      <c r="AE342" s="42" t="n"/>
      <c r="AF342" s="42" t="n"/>
      <c r="AG342" s="42" t="n"/>
      <c r="AH342" s="42" t="n"/>
      <c r="AI342" s="42" t="n"/>
      <c r="AJ342" s="42" t="n"/>
      <c r="AK342" s="42" t="n"/>
      <c r="AL342" s="42" t="n"/>
      <c r="AM342" s="42" t="n"/>
      <c r="AN342" s="42" t="n"/>
      <c r="AO342" s="42" t="n"/>
      <c r="AP342" s="42" t="n"/>
      <c r="AQ342" s="42" t="n"/>
    </row>
    <row r="343" ht="18" customHeight="1" s="74">
      <c r="A343" s="32" t="n"/>
      <c r="B343" s="32" t="n"/>
      <c r="C343" s="32" t="n"/>
      <c r="D343" s="32" t="n"/>
      <c r="E343" s="33" t="n"/>
      <c r="F343" s="33" t="n"/>
      <c r="G343" s="33" t="n"/>
      <c r="H343" s="33" t="n"/>
      <c r="I343" s="33" t="n"/>
      <c r="J343" s="33" t="n"/>
      <c r="K343" s="33" t="n"/>
      <c r="L343" s="33" t="n"/>
      <c r="M343" s="33" t="n"/>
      <c r="N343" s="33" t="n"/>
      <c r="O343" s="33" t="n"/>
      <c r="P343" s="33" t="n"/>
      <c r="Q343" s="33" t="n"/>
      <c r="R343" s="33" t="n"/>
      <c r="S343" s="33" t="n"/>
      <c r="T343" s="33" t="n"/>
      <c r="U343" s="33" t="n"/>
      <c r="V343" s="33" t="n"/>
      <c r="W343" s="34" t="n"/>
      <c r="X343" s="33" t="n"/>
      <c r="Y343" s="35" t="n"/>
      <c r="Z343" s="157">
        <f>IF(OR(Y343="",X343=""),"",IFERROR(Y343*INDEX(FXRates[USD per unit],MATCH(X343,FXRates[Currency],0)),"No rate"))</f>
        <v/>
      </c>
      <c r="AA343" s="32" t="n"/>
      <c r="AB343" s="32" t="n"/>
      <c r="AC343" s="36">
        <f>IF(A343="","",IF(COUNTIF($A$6:$A$504,A343)&gt;1,"⚠ Duplicate",""))</f>
        <v/>
      </c>
      <c r="AD343" s="43" t="n"/>
      <c r="AE343" s="43" t="n"/>
      <c r="AF343" s="43" t="n"/>
      <c r="AG343" s="43" t="n"/>
      <c r="AH343" s="43" t="n"/>
      <c r="AI343" s="43" t="n"/>
      <c r="AJ343" s="43" t="n"/>
      <c r="AK343" s="43" t="n"/>
      <c r="AL343" s="43" t="n"/>
      <c r="AM343" s="43" t="n"/>
      <c r="AN343" s="43" t="n"/>
      <c r="AO343" s="43" t="n"/>
      <c r="AP343" s="43" t="n"/>
      <c r="AQ343" s="43" t="n"/>
    </row>
    <row r="344" ht="18" customHeight="1" s="74">
      <c r="A344" s="38" t="n"/>
      <c r="B344" s="38" t="n"/>
      <c r="C344" s="38" t="n"/>
      <c r="D344" s="38" t="n"/>
      <c r="E344" s="39" t="n"/>
      <c r="F344" s="39" t="n"/>
      <c r="G344" s="39" t="n"/>
      <c r="H344" s="39" t="n"/>
      <c r="I344" s="39" t="n"/>
      <c r="J344" s="39" t="n"/>
      <c r="K344" s="39" t="n"/>
      <c r="L344" s="39" t="n"/>
      <c r="M344" s="39" t="n"/>
      <c r="N344" s="39" t="n"/>
      <c r="O344" s="39" t="n"/>
      <c r="P344" s="39" t="n"/>
      <c r="Q344" s="39" t="n"/>
      <c r="R344" s="39" t="n"/>
      <c r="S344" s="39" t="n"/>
      <c r="T344" s="39" t="n"/>
      <c r="U344" s="39" t="n"/>
      <c r="V344" s="39" t="n"/>
      <c r="W344" s="34" t="n"/>
      <c r="X344" s="39" t="n"/>
      <c r="Y344" s="40" t="n"/>
      <c r="Z344" s="158">
        <f>IF(OR(Y344="",X344=""),"",IFERROR(Y344*INDEX(FXRates[USD per unit],MATCH(X344,FXRates[Currency],0)),"No rate"))</f>
        <v/>
      </c>
      <c r="AA344" s="38" t="n"/>
      <c r="AB344" s="38" t="n"/>
      <c r="AC344" s="41">
        <f>IF(A344="","",IF(COUNTIF($A$6:$A$504,A344)&gt;1,"⚠ Duplicate",""))</f>
        <v/>
      </c>
      <c r="AD344" s="42" t="n"/>
      <c r="AE344" s="42" t="n"/>
      <c r="AF344" s="42" t="n"/>
      <c r="AG344" s="42" t="n"/>
      <c r="AH344" s="42" t="n"/>
      <c r="AI344" s="42" t="n"/>
      <c r="AJ344" s="42" t="n"/>
      <c r="AK344" s="42" t="n"/>
      <c r="AL344" s="42" t="n"/>
      <c r="AM344" s="42" t="n"/>
      <c r="AN344" s="42" t="n"/>
      <c r="AO344" s="42" t="n"/>
      <c r="AP344" s="42" t="n"/>
      <c r="AQ344" s="42" t="n"/>
    </row>
    <row r="345" ht="18" customHeight="1" s="74">
      <c r="A345" s="32" t="n"/>
      <c r="B345" s="32" t="n"/>
      <c r="C345" s="32" t="n"/>
      <c r="D345" s="32" t="n"/>
      <c r="E345" s="33" t="n"/>
      <c r="F345" s="33" t="n"/>
      <c r="G345" s="33" t="n"/>
      <c r="H345" s="33" t="n"/>
      <c r="I345" s="33" t="n"/>
      <c r="J345" s="33" t="n"/>
      <c r="K345" s="33" t="n"/>
      <c r="L345" s="33" t="n"/>
      <c r="M345" s="33" t="n"/>
      <c r="N345" s="33" t="n"/>
      <c r="O345" s="33" t="n"/>
      <c r="P345" s="33" t="n"/>
      <c r="Q345" s="33" t="n"/>
      <c r="R345" s="33" t="n"/>
      <c r="S345" s="33" t="n"/>
      <c r="T345" s="33" t="n"/>
      <c r="U345" s="33" t="n"/>
      <c r="V345" s="33" t="n"/>
      <c r="W345" s="34" t="n"/>
      <c r="X345" s="33" t="n"/>
      <c r="Y345" s="35" t="n"/>
      <c r="Z345" s="157">
        <f>IF(OR(Y345="",X345=""),"",IFERROR(Y345*INDEX(FXRates[USD per unit],MATCH(X345,FXRates[Currency],0)),"No rate"))</f>
        <v/>
      </c>
      <c r="AA345" s="32" t="n"/>
      <c r="AB345" s="32" t="n"/>
      <c r="AC345" s="36">
        <f>IF(A345="","",IF(COUNTIF($A$6:$A$504,A345)&gt;1,"⚠ Duplicate",""))</f>
        <v/>
      </c>
      <c r="AD345" s="43" t="n"/>
      <c r="AE345" s="43" t="n"/>
      <c r="AF345" s="43" t="n"/>
      <c r="AG345" s="43" t="n"/>
      <c r="AH345" s="43" t="n"/>
      <c r="AI345" s="43" t="n"/>
      <c r="AJ345" s="43" t="n"/>
      <c r="AK345" s="43" t="n"/>
      <c r="AL345" s="43" t="n"/>
      <c r="AM345" s="43" t="n"/>
      <c r="AN345" s="43" t="n"/>
      <c r="AO345" s="43" t="n"/>
      <c r="AP345" s="43" t="n"/>
      <c r="AQ345" s="43" t="n"/>
    </row>
    <row r="346" ht="18" customHeight="1" s="74">
      <c r="A346" s="38" t="n"/>
      <c r="B346" s="38" t="n"/>
      <c r="C346" s="38" t="n"/>
      <c r="D346" s="38" t="n"/>
      <c r="E346" s="39" t="n"/>
      <c r="F346" s="39" t="n"/>
      <c r="G346" s="39" t="n"/>
      <c r="H346" s="39" t="n"/>
      <c r="I346" s="39" t="n"/>
      <c r="J346" s="39" t="n"/>
      <c r="K346" s="39" t="n"/>
      <c r="L346" s="39" t="n"/>
      <c r="M346" s="39" t="n"/>
      <c r="N346" s="39" t="n"/>
      <c r="O346" s="39" t="n"/>
      <c r="P346" s="39" t="n"/>
      <c r="Q346" s="39" t="n"/>
      <c r="R346" s="39" t="n"/>
      <c r="S346" s="39" t="n"/>
      <c r="T346" s="39" t="n"/>
      <c r="U346" s="39" t="n"/>
      <c r="V346" s="39" t="n"/>
      <c r="W346" s="34" t="n"/>
      <c r="X346" s="39" t="n"/>
      <c r="Y346" s="40" t="n"/>
      <c r="Z346" s="158">
        <f>IF(OR(Y346="",X346=""),"",IFERROR(Y346*INDEX(FXRates[USD per unit],MATCH(X346,FXRates[Currency],0)),"No rate"))</f>
        <v/>
      </c>
      <c r="AA346" s="38" t="n"/>
      <c r="AB346" s="38" t="n"/>
      <c r="AC346" s="41">
        <f>IF(A346="","",IF(COUNTIF($A$6:$A$504,A346)&gt;1,"⚠ Duplicate",""))</f>
        <v/>
      </c>
      <c r="AD346" s="42" t="n"/>
      <c r="AE346" s="42" t="n"/>
      <c r="AF346" s="42" t="n"/>
      <c r="AG346" s="42" t="n"/>
      <c r="AH346" s="42" t="n"/>
      <c r="AI346" s="42" t="n"/>
      <c r="AJ346" s="42" t="n"/>
      <c r="AK346" s="42" t="n"/>
      <c r="AL346" s="42" t="n"/>
      <c r="AM346" s="42" t="n"/>
      <c r="AN346" s="42" t="n"/>
      <c r="AO346" s="42" t="n"/>
      <c r="AP346" s="42" t="n"/>
      <c r="AQ346" s="42" t="n"/>
    </row>
    <row r="347" ht="18" customHeight="1" s="74">
      <c r="A347" s="32" t="n"/>
      <c r="B347" s="32" t="n"/>
      <c r="C347" s="32" t="n"/>
      <c r="D347" s="32" t="n"/>
      <c r="E347" s="33" t="n"/>
      <c r="F347" s="33" t="n"/>
      <c r="G347" s="33" t="n"/>
      <c r="H347" s="33" t="n"/>
      <c r="I347" s="33" t="n"/>
      <c r="J347" s="33" t="n"/>
      <c r="K347" s="33" t="n"/>
      <c r="L347" s="33" t="n"/>
      <c r="M347" s="33" t="n"/>
      <c r="N347" s="33" t="n"/>
      <c r="O347" s="33" t="n"/>
      <c r="P347" s="33" t="n"/>
      <c r="Q347" s="33" t="n"/>
      <c r="R347" s="33" t="n"/>
      <c r="S347" s="33" t="n"/>
      <c r="T347" s="33" t="n"/>
      <c r="U347" s="33" t="n"/>
      <c r="V347" s="33" t="n"/>
      <c r="W347" s="34" t="n"/>
      <c r="X347" s="33" t="n"/>
      <c r="Y347" s="35" t="n"/>
      <c r="Z347" s="157">
        <f>IF(OR(Y347="",X347=""),"",IFERROR(Y347*INDEX(FXRates[USD per unit],MATCH(X347,FXRates[Currency],0)),"No rate"))</f>
        <v/>
      </c>
      <c r="AA347" s="32" t="n"/>
      <c r="AB347" s="32" t="n"/>
      <c r="AC347" s="36">
        <f>IF(A347="","",IF(COUNTIF($A$6:$A$504,A347)&gt;1,"⚠ Duplicate",""))</f>
        <v/>
      </c>
      <c r="AD347" s="43" t="n"/>
      <c r="AE347" s="43" t="n"/>
      <c r="AF347" s="43" t="n"/>
      <c r="AG347" s="43" t="n"/>
      <c r="AH347" s="43" t="n"/>
      <c r="AI347" s="43" t="n"/>
      <c r="AJ347" s="43" t="n"/>
      <c r="AK347" s="43" t="n"/>
      <c r="AL347" s="43" t="n"/>
      <c r="AM347" s="43" t="n"/>
      <c r="AN347" s="43" t="n"/>
      <c r="AO347" s="43" t="n"/>
      <c r="AP347" s="43" t="n"/>
      <c r="AQ347" s="43" t="n"/>
    </row>
    <row r="348" ht="18" customHeight="1" s="74">
      <c r="A348" s="38" t="n"/>
      <c r="B348" s="38" t="n"/>
      <c r="C348" s="38" t="n"/>
      <c r="D348" s="38" t="n"/>
      <c r="E348" s="39" t="n"/>
      <c r="F348" s="39" t="n"/>
      <c r="G348" s="39" t="n"/>
      <c r="H348" s="39" t="n"/>
      <c r="I348" s="39" t="n"/>
      <c r="J348" s="39" t="n"/>
      <c r="K348" s="39" t="n"/>
      <c r="L348" s="39" t="n"/>
      <c r="M348" s="39" t="n"/>
      <c r="N348" s="39" t="n"/>
      <c r="O348" s="39" t="n"/>
      <c r="P348" s="39" t="n"/>
      <c r="Q348" s="39" t="n"/>
      <c r="R348" s="39" t="n"/>
      <c r="S348" s="39" t="n"/>
      <c r="T348" s="39" t="n"/>
      <c r="U348" s="39" t="n"/>
      <c r="V348" s="39" t="n"/>
      <c r="W348" s="34" t="n"/>
      <c r="X348" s="39" t="n"/>
      <c r="Y348" s="40" t="n"/>
      <c r="Z348" s="158">
        <f>IF(OR(Y348="",X348=""),"",IFERROR(Y348*INDEX(FXRates[USD per unit],MATCH(X348,FXRates[Currency],0)),"No rate"))</f>
        <v/>
      </c>
      <c r="AA348" s="38" t="n"/>
      <c r="AB348" s="38" t="n"/>
      <c r="AC348" s="41">
        <f>IF(A348="","",IF(COUNTIF($A$6:$A$504,A348)&gt;1,"⚠ Duplicate",""))</f>
        <v/>
      </c>
      <c r="AD348" s="42" t="n"/>
      <c r="AE348" s="42" t="n"/>
      <c r="AF348" s="42" t="n"/>
      <c r="AG348" s="42" t="n"/>
      <c r="AH348" s="42" t="n"/>
      <c r="AI348" s="42" t="n"/>
      <c r="AJ348" s="42" t="n"/>
      <c r="AK348" s="42" t="n"/>
      <c r="AL348" s="42" t="n"/>
      <c r="AM348" s="42" t="n"/>
      <c r="AN348" s="42" t="n"/>
      <c r="AO348" s="42" t="n"/>
      <c r="AP348" s="42" t="n"/>
      <c r="AQ348" s="42" t="n"/>
    </row>
    <row r="349" ht="18" customHeight="1" s="74">
      <c r="A349" s="32" t="n"/>
      <c r="B349" s="32" t="n"/>
      <c r="C349" s="32" t="n"/>
      <c r="D349" s="32" t="n"/>
      <c r="E349" s="33" t="n"/>
      <c r="F349" s="33" t="n"/>
      <c r="G349" s="33" t="n"/>
      <c r="H349" s="33" t="n"/>
      <c r="I349" s="33" t="n"/>
      <c r="J349" s="33" t="n"/>
      <c r="K349" s="33" t="n"/>
      <c r="L349" s="33" t="n"/>
      <c r="M349" s="33" t="n"/>
      <c r="N349" s="33" t="n"/>
      <c r="O349" s="33" t="n"/>
      <c r="P349" s="33" t="n"/>
      <c r="Q349" s="33" t="n"/>
      <c r="R349" s="33" t="n"/>
      <c r="S349" s="33" t="n"/>
      <c r="T349" s="33" t="n"/>
      <c r="U349" s="33" t="n"/>
      <c r="V349" s="33" t="n"/>
      <c r="W349" s="34" t="n"/>
      <c r="X349" s="33" t="n"/>
      <c r="Y349" s="35" t="n"/>
      <c r="Z349" s="157">
        <f>IF(OR(Y349="",X349=""),"",IFERROR(Y349*INDEX(FXRates[USD per unit],MATCH(X349,FXRates[Currency],0)),"No rate"))</f>
        <v/>
      </c>
      <c r="AA349" s="32" t="n"/>
      <c r="AB349" s="32" t="n"/>
      <c r="AC349" s="36">
        <f>IF(A349="","",IF(COUNTIF($A$6:$A$504,A349)&gt;1,"⚠ Duplicate",""))</f>
        <v/>
      </c>
      <c r="AD349" s="43" t="n"/>
      <c r="AE349" s="43" t="n"/>
      <c r="AF349" s="43" t="n"/>
      <c r="AG349" s="43" t="n"/>
      <c r="AH349" s="43" t="n"/>
      <c r="AI349" s="43" t="n"/>
      <c r="AJ349" s="43" t="n"/>
      <c r="AK349" s="43" t="n"/>
      <c r="AL349" s="43" t="n"/>
      <c r="AM349" s="43" t="n"/>
      <c r="AN349" s="43" t="n"/>
      <c r="AO349" s="43" t="n"/>
      <c r="AP349" s="43" t="n"/>
      <c r="AQ349" s="43" t="n"/>
    </row>
    <row r="350" ht="18" customHeight="1" s="74">
      <c r="A350" s="38" t="n"/>
      <c r="B350" s="38" t="n"/>
      <c r="C350" s="38" t="n"/>
      <c r="D350" s="38" t="n"/>
      <c r="E350" s="39" t="n"/>
      <c r="F350" s="39" t="n"/>
      <c r="G350" s="39" t="n"/>
      <c r="H350" s="39" t="n"/>
      <c r="I350" s="39" t="n"/>
      <c r="J350" s="39" t="n"/>
      <c r="K350" s="39" t="n"/>
      <c r="L350" s="39" t="n"/>
      <c r="M350" s="39" t="n"/>
      <c r="N350" s="39" t="n"/>
      <c r="O350" s="39" t="n"/>
      <c r="P350" s="39" t="n"/>
      <c r="Q350" s="39" t="n"/>
      <c r="R350" s="39" t="n"/>
      <c r="S350" s="39" t="n"/>
      <c r="T350" s="39" t="n"/>
      <c r="U350" s="39" t="n"/>
      <c r="V350" s="39" t="n"/>
      <c r="W350" s="34" t="n"/>
      <c r="X350" s="39" t="n"/>
      <c r="Y350" s="40" t="n"/>
      <c r="Z350" s="158">
        <f>IF(OR(Y350="",X350=""),"",IFERROR(Y350*INDEX(FXRates[USD per unit],MATCH(X350,FXRates[Currency],0)),"No rate"))</f>
        <v/>
      </c>
      <c r="AA350" s="38" t="n"/>
      <c r="AB350" s="38" t="n"/>
      <c r="AC350" s="41">
        <f>IF(A350="","",IF(COUNTIF($A$6:$A$504,A350)&gt;1,"⚠ Duplicate",""))</f>
        <v/>
      </c>
      <c r="AD350" s="42" t="n"/>
      <c r="AE350" s="42" t="n"/>
      <c r="AF350" s="42" t="n"/>
      <c r="AG350" s="42" t="n"/>
      <c r="AH350" s="42" t="n"/>
      <c r="AI350" s="42" t="n"/>
      <c r="AJ350" s="42" t="n"/>
      <c r="AK350" s="42" t="n"/>
      <c r="AL350" s="42" t="n"/>
      <c r="AM350" s="42" t="n"/>
      <c r="AN350" s="42" t="n"/>
      <c r="AO350" s="42" t="n"/>
      <c r="AP350" s="42" t="n"/>
      <c r="AQ350" s="42" t="n"/>
    </row>
    <row r="351" ht="18" customHeight="1" s="74">
      <c r="A351" s="32" t="n"/>
      <c r="B351" s="32" t="n"/>
      <c r="C351" s="32" t="n"/>
      <c r="D351" s="32" t="n"/>
      <c r="E351" s="33" t="n"/>
      <c r="F351" s="33" t="n"/>
      <c r="G351" s="33" t="n"/>
      <c r="H351" s="33" t="n"/>
      <c r="I351" s="33" t="n"/>
      <c r="J351" s="33" t="n"/>
      <c r="K351" s="33" t="n"/>
      <c r="L351" s="33" t="n"/>
      <c r="M351" s="33" t="n"/>
      <c r="N351" s="33" t="n"/>
      <c r="O351" s="33" t="n"/>
      <c r="P351" s="33" t="n"/>
      <c r="Q351" s="33" t="n"/>
      <c r="R351" s="33" t="n"/>
      <c r="S351" s="33" t="n"/>
      <c r="T351" s="33" t="n"/>
      <c r="U351" s="33" t="n"/>
      <c r="V351" s="33" t="n"/>
      <c r="W351" s="34" t="n"/>
      <c r="X351" s="33" t="n"/>
      <c r="Y351" s="35" t="n"/>
      <c r="Z351" s="157">
        <f>IF(OR(Y351="",X351=""),"",IFERROR(Y351*INDEX(FXRates[USD per unit],MATCH(X351,FXRates[Currency],0)),"No rate"))</f>
        <v/>
      </c>
      <c r="AA351" s="32" t="n"/>
      <c r="AB351" s="32" t="n"/>
      <c r="AC351" s="36">
        <f>IF(A351="","",IF(COUNTIF($A$6:$A$504,A351)&gt;1,"⚠ Duplicate",""))</f>
        <v/>
      </c>
      <c r="AD351" s="43" t="n"/>
      <c r="AE351" s="43" t="n"/>
      <c r="AF351" s="43" t="n"/>
      <c r="AG351" s="43" t="n"/>
      <c r="AH351" s="43" t="n"/>
      <c r="AI351" s="43" t="n"/>
      <c r="AJ351" s="43" t="n"/>
      <c r="AK351" s="43" t="n"/>
      <c r="AL351" s="43" t="n"/>
      <c r="AM351" s="43" t="n"/>
      <c r="AN351" s="43" t="n"/>
      <c r="AO351" s="43" t="n"/>
      <c r="AP351" s="43" t="n"/>
      <c r="AQ351" s="43" t="n"/>
    </row>
    <row r="352" ht="18" customHeight="1" s="74">
      <c r="A352" s="38" t="n"/>
      <c r="B352" s="38" t="n"/>
      <c r="C352" s="38" t="n"/>
      <c r="D352" s="38" t="n"/>
      <c r="E352" s="39" t="n"/>
      <c r="F352" s="39" t="n"/>
      <c r="G352" s="39" t="n"/>
      <c r="H352" s="39" t="n"/>
      <c r="I352" s="39" t="n"/>
      <c r="J352" s="39" t="n"/>
      <c r="K352" s="39" t="n"/>
      <c r="L352" s="39" t="n"/>
      <c r="M352" s="39" t="n"/>
      <c r="N352" s="39" t="n"/>
      <c r="O352" s="39" t="n"/>
      <c r="P352" s="39" t="n"/>
      <c r="Q352" s="39" t="n"/>
      <c r="R352" s="39" t="n"/>
      <c r="S352" s="39" t="n"/>
      <c r="T352" s="39" t="n"/>
      <c r="U352" s="39" t="n"/>
      <c r="V352" s="39" t="n"/>
      <c r="W352" s="34" t="n"/>
      <c r="X352" s="39" t="n"/>
      <c r="Y352" s="40" t="n"/>
      <c r="Z352" s="158">
        <f>IF(OR(Y352="",X352=""),"",IFERROR(Y352*INDEX(FXRates[USD per unit],MATCH(X352,FXRates[Currency],0)),"No rate"))</f>
        <v/>
      </c>
      <c r="AA352" s="38" t="n"/>
      <c r="AB352" s="38" t="n"/>
      <c r="AC352" s="41">
        <f>IF(A352="","",IF(COUNTIF($A$6:$A$504,A352)&gt;1,"⚠ Duplicate",""))</f>
        <v/>
      </c>
      <c r="AD352" s="42" t="n"/>
      <c r="AE352" s="42" t="n"/>
      <c r="AF352" s="42" t="n"/>
      <c r="AG352" s="42" t="n"/>
      <c r="AH352" s="42" t="n"/>
      <c r="AI352" s="42" t="n"/>
      <c r="AJ352" s="42" t="n"/>
      <c r="AK352" s="42" t="n"/>
      <c r="AL352" s="42" t="n"/>
      <c r="AM352" s="42" t="n"/>
      <c r="AN352" s="42" t="n"/>
      <c r="AO352" s="42" t="n"/>
      <c r="AP352" s="42" t="n"/>
      <c r="AQ352" s="42" t="n"/>
    </row>
    <row r="353" ht="18" customHeight="1" s="74">
      <c r="A353" s="32" t="n"/>
      <c r="B353" s="32" t="n"/>
      <c r="C353" s="32" t="n"/>
      <c r="D353" s="32" t="n"/>
      <c r="E353" s="33" t="n"/>
      <c r="F353" s="33" t="n"/>
      <c r="G353" s="33" t="n"/>
      <c r="H353" s="33" t="n"/>
      <c r="I353" s="33" t="n"/>
      <c r="J353" s="33" t="n"/>
      <c r="K353" s="33" t="n"/>
      <c r="L353" s="33" t="n"/>
      <c r="M353" s="33" t="n"/>
      <c r="N353" s="33" t="n"/>
      <c r="O353" s="33" t="n"/>
      <c r="P353" s="33" t="n"/>
      <c r="Q353" s="33" t="n"/>
      <c r="R353" s="33" t="n"/>
      <c r="S353" s="33" t="n"/>
      <c r="T353" s="33" t="n"/>
      <c r="U353" s="33" t="n"/>
      <c r="V353" s="33" t="n"/>
      <c r="W353" s="34" t="n"/>
      <c r="X353" s="33" t="n"/>
      <c r="Y353" s="35" t="n"/>
      <c r="Z353" s="157">
        <f>IF(OR(Y353="",X353=""),"",IFERROR(Y353*INDEX(FXRates[USD per unit],MATCH(X353,FXRates[Currency],0)),"No rate"))</f>
        <v/>
      </c>
      <c r="AA353" s="32" t="n"/>
      <c r="AB353" s="32" t="n"/>
      <c r="AC353" s="36">
        <f>IF(A353="","",IF(COUNTIF($A$6:$A$504,A353)&gt;1,"⚠ Duplicate",""))</f>
        <v/>
      </c>
      <c r="AD353" s="43" t="n"/>
      <c r="AE353" s="43" t="n"/>
      <c r="AF353" s="43" t="n"/>
      <c r="AG353" s="43" t="n"/>
      <c r="AH353" s="43" t="n"/>
      <c r="AI353" s="43" t="n"/>
      <c r="AJ353" s="43" t="n"/>
      <c r="AK353" s="43" t="n"/>
      <c r="AL353" s="43" t="n"/>
      <c r="AM353" s="43" t="n"/>
      <c r="AN353" s="43" t="n"/>
      <c r="AO353" s="43" t="n"/>
      <c r="AP353" s="43" t="n"/>
      <c r="AQ353" s="43" t="n"/>
    </row>
    <row r="354" ht="18" customHeight="1" s="74">
      <c r="A354" s="38" t="n"/>
      <c r="B354" s="38" t="n"/>
      <c r="C354" s="38" t="n"/>
      <c r="D354" s="38" t="n"/>
      <c r="E354" s="39" t="n"/>
      <c r="F354" s="39" t="n"/>
      <c r="G354" s="39" t="n"/>
      <c r="H354" s="39" t="n"/>
      <c r="I354" s="39" t="n"/>
      <c r="J354" s="39" t="n"/>
      <c r="K354" s="39" t="n"/>
      <c r="L354" s="39" t="n"/>
      <c r="M354" s="39" t="n"/>
      <c r="N354" s="39" t="n"/>
      <c r="O354" s="39" t="n"/>
      <c r="P354" s="39" t="n"/>
      <c r="Q354" s="39" t="n"/>
      <c r="R354" s="39" t="n"/>
      <c r="S354" s="39" t="n"/>
      <c r="T354" s="39" t="n"/>
      <c r="U354" s="39" t="n"/>
      <c r="V354" s="39" t="n"/>
      <c r="W354" s="34" t="n"/>
      <c r="X354" s="39" t="n"/>
      <c r="Y354" s="40" t="n"/>
      <c r="Z354" s="158">
        <f>IF(OR(Y354="",X354=""),"",IFERROR(Y354*INDEX(FXRates[USD per unit],MATCH(X354,FXRates[Currency],0)),"No rate"))</f>
        <v/>
      </c>
      <c r="AA354" s="38" t="n"/>
      <c r="AB354" s="38" t="n"/>
      <c r="AC354" s="41">
        <f>IF(A354="","",IF(COUNTIF($A$6:$A$504,A354)&gt;1,"⚠ Duplicate",""))</f>
        <v/>
      </c>
      <c r="AD354" s="42" t="n"/>
      <c r="AE354" s="42" t="n"/>
      <c r="AF354" s="42" t="n"/>
      <c r="AG354" s="42" t="n"/>
      <c r="AH354" s="42" t="n"/>
      <c r="AI354" s="42" t="n"/>
      <c r="AJ354" s="42" t="n"/>
      <c r="AK354" s="42" t="n"/>
      <c r="AL354" s="42" t="n"/>
      <c r="AM354" s="42" t="n"/>
      <c r="AN354" s="42" t="n"/>
      <c r="AO354" s="42" t="n"/>
      <c r="AP354" s="42" t="n"/>
      <c r="AQ354" s="42" t="n"/>
    </row>
    <row r="355" ht="18" customHeight="1" s="74">
      <c r="A355" s="32" t="n"/>
      <c r="B355" s="32" t="n"/>
      <c r="C355" s="32" t="n"/>
      <c r="D355" s="32" t="n"/>
      <c r="E355" s="33" t="n"/>
      <c r="F355" s="33" t="n"/>
      <c r="G355" s="33" t="n"/>
      <c r="H355" s="33" t="n"/>
      <c r="I355" s="33" t="n"/>
      <c r="J355" s="33" t="n"/>
      <c r="K355" s="33" t="n"/>
      <c r="L355" s="33" t="n"/>
      <c r="M355" s="33" t="n"/>
      <c r="N355" s="33" t="n"/>
      <c r="O355" s="33" t="n"/>
      <c r="P355" s="33" t="n"/>
      <c r="Q355" s="33" t="n"/>
      <c r="R355" s="33" t="n"/>
      <c r="S355" s="33" t="n"/>
      <c r="T355" s="33" t="n"/>
      <c r="U355" s="33" t="n"/>
      <c r="V355" s="33" t="n"/>
      <c r="W355" s="34" t="n"/>
      <c r="X355" s="33" t="n"/>
      <c r="Y355" s="35" t="n"/>
      <c r="Z355" s="157">
        <f>IF(OR(Y355="",X355=""),"",IFERROR(Y355*INDEX(FXRates[USD per unit],MATCH(X355,FXRates[Currency],0)),"No rate"))</f>
        <v/>
      </c>
      <c r="AA355" s="32" t="n"/>
      <c r="AB355" s="32" t="n"/>
      <c r="AC355" s="36">
        <f>IF(A355="","",IF(COUNTIF($A$6:$A$504,A355)&gt;1,"⚠ Duplicate",""))</f>
        <v/>
      </c>
      <c r="AD355" s="43" t="n"/>
      <c r="AE355" s="43" t="n"/>
      <c r="AF355" s="43" t="n"/>
      <c r="AG355" s="43" t="n"/>
      <c r="AH355" s="43" t="n"/>
      <c r="AI355" s="43" t="n"/>
      <c r="AJ355" s="43" t="n"/>
      <c r="AK355" s="43" t="n"/>
      <c r="AL355" s="43" t="n"/>
      <c r="AM355" s="43" t="n"/>
      <c r="AN355" s="43" t="n"/>
      <c r="AO355" s="43" t="n"/>
      <c r="AP355" s="43" t="n"/>
      <c r="AQ355" s="43" t="n"/>
    </row>
    <row r="356" ht="18" customHeight="1" s="74">
      <c r="A356" s="38" t="n"/>
      <c r="B356" s="38" t="n"/>
      <c r="C356" s="38" t="n"/>
      <c r="D356" s="38" t="n"/>
      <c r="E356" s="39" t="n"/>
      <c r="F356" s="39" t="n"/>
      <c r="G356" s="39" t="n"/>
      <c r="H356" s="39" t="n"/>
      <c r="I356" s="39" t="n"/>
      <c r="J356" s="39" t="n"/>
      <c r="K356" s="39" t="n"/>
      <c r="L356" s="39" t="n"/>
      <c r="M356" s="39" t="n"/>
      <c r="N356" s="39" t="n"/>
      <c r="O356" s="39" t="n"/>
      <c r="P356" s="39" t="n"/>
      <c r="Q356" s="39" t="n"/>
      <c r="R356" s="39" t="n"/>
      <c r="S356" s="39" t="n"/>
      <c r="T356" s="39" t="n"/>
      <c r="U356" s="39" t="n"/>
      <c r="V356" s="39" t="n"/>
      <c r="W356" s="34" t="n"/>
      <c r="X356" s="39" t="n"/>
      <c r="Y356" s="40" t="n"/>
      <c r="Z356" s="158">
        <f>IF(OR(Y356="",X356=""),"",IFERROR(Y356*INDEX(FXRates[USD per unit],MATCH(X356,FXRates[Currency],0)),"No rate"))</f>
        <v/>
      </c>
      <c r="AA356" s="38" t="n"/>
      <c r="AB356" s="38" t="n"/>
      <c r="AC356" s="41">
        <f>IF(A356="","",IF(COUNTIF($A$6:$A$504,A356)&gt;1,"⚠ Duplicate",""))</f>
        <v/>
      </c>
      <c r="AD356" s="42" t="n"/>
      <c r="AE356" s="42" t="n"/>
      <c r="AF356" s="42" t="n"/>
      <c r="AG356" s="42" t="n"/>
      <c r="AH356" s="42" t="n"/>
      <c r="AI356" s="42" t="n"/>
      <c r="AJ356" s="42" t="n"/>
      <c r="AK356" s="42" t="n"/>
      <c r="AL356" s="42" t="n"/>
      <c r="AM356" s="42" t="n"/>
      <c r="AN356" s="42" t="n"/>
      <c r="AO356" s="42" t="n"/>
      <c r="AP356" s="42" t="n"/>
      <c r="AQ356" s="42" t="n"/>
    </row>
    <row r="357" ht="18" customHeight="1" s="74">
      <c r="A357" s="32" t="n"/>
      <c r="B357" s="32" t="n"/>
      <c r="C357" s="32" t="n"/>
      <c r="D357" s="32" t="n"/>
      <c r="E357" s="33" t="n"/>
      <c r="F357" s="33" t="n"/>
      <c r="G357" s="33" t="n"/>
      <c r="H357" s="33" t="n"/>
      <c r="I357" s="33" t="n"/>
      <c r="J357" s="33" t="n"/>
      <c r="K357" s="33" t="n"/>
      <c r="L357" s="33" t="n"/>
      <c r="M357" s="33" t="n"/>
      <c r="N357" s="33" t="n"/>
      <c r="O357" s="33" t="n"/>
      <c r="P357" s="33" t="n"/>
      <c r="Q357" s="33" t="n"/>
      <c r="R357" s="33" t="n"/>
      <c r="S357" s="33" t="n"/>
      <c r="T357" s="33" t="n"/>
      <c r="U357" s="33" t="n"/>
      <c r="V357" s="33" t="n"/>
      <c r="W357" s="34" t="n"/>
      <c r="X357" s="33" t="n"/>
      <c r="Y357" s="35" t="n"/>
      <c r="Z357" s="157">
        <f>IF(OR(Y357="",X357=""),"",IFERROR(Y357*INDEX(FXRates[USD per unit],MATCH(X357,FXRates[Currency],0)),"No rate"))</f>
        <v/>
      </c>
      <c r="AA357" s="32" t="n"/>
      <c r="AB357" s="32" t="n"/>
      <c r="AC357" s="36">
        <f>IF(A357="","",IF(COUNTIF($A$6:$A$504,A357)&gt;1,"⚠ Duplicate",""))</f>
        <v/>
      </c>
      <c r="AD357" s="43" t="n"/>
      <c r="AE357" s="43" t="n"/>
      <c r="AF357" s="43" t="n"/>
      <c r="AG357" s="43" t="n"/>
      <c r="AH357" s="43" t="n"/>
      <c r="AI357" s="43" t="n"/>
      <c r="AJ357" s="43" t="n"/>
      <c r="AK357" s="43" t="n"/>
      <c r="AL357" s="43" t="n"/>
      <c r="AM357" s="43" t="n"/>
      <c r="AN357" s="43" t="n"/>
      <c r="AO357" s="43" t="n"/>
      <c r="AP357" s="43" t="n"/>
      <c r="AQ357" s="43" t="n"/>
    </row>
    <row r="358" ht="18" customHeight="1" s="74">
      <c r="A358" s="38" t="n"/>
      <c r="B358" s="38" t="n"/>
      <c r="C358" s="38" t="n"/>
      <c r="D358" s="38" t="n"/>
      <c r="E358" s="39" t="n"/>
      <c r="F358" s="39" t="n"/>
      <c r="G358" s="39" t="n"/>
      <c r="H358" s="39" t="n"/>
      <c r="I358" s="39" t="n"/>
      <c r="J358" s="39" t="n"/>
      <c r="K358" s="39" t="n"/>
      <c r="L358" s="39" t="n"/>
      <c r="M358" s="39" t="n"/>
      <c r="N358" s="39" t="n"/>
      <c r="O358" s="39" t="n"/>
      <c r="P358" s="39" t="n"/>
      <c r="Q358" s="39" t="n"/>
      <c r="R358" s="39" t="n"/>
      <c r="S358" s="39" t="n"/>
      <c r="T358" s="39" t="n"/>
      <c r="U358" s="39" t="n"/>
      <c r="V358" s="39" t="n"/>
      <c r="W358" s="34" t="n"/>
      <c r="X358" s="39" t="n"/>
      <c r="Y358" s="40" t="n"/>
      <c r="Z358" s="158">
        <f>IF(OR(Y358="",X358=""),"",IFERROR(Y358*INDEX(FXRates[USD per unit],MATCH(X358,FXRates[Currency],0)),"No rate"))</f>
        <v/>
      </c>
      <c r="AA358" s="38" t="n"/>
      <c r="AB358" s="38" t="n"/>
      <c r="AC358" s="41">
        <f>IF(A358="","",IF(COUNTIF($A$6:$A$504,A358)&gt;1,"⚠ Duplicate",""))</f>
        <v/>
      </c>
      <c r="AD358" s="42" t="n"/>
      <c r="AE358" s="42" t="n"/>
      <c r="AF358" s="42" t="n"/>
      <c r="AG358" s="42" t="n"/>
      <c r="AH358" s="42" t="n"/>
      <c r="AI358" s="42" t="n"/>
      <c r="AJ358" s="42" t="n"/>
      <c r="AK358" s="42" t="n"/>
      <c r="AL358" s="42" t="n"/>
      <c r="AM358" s="42" t="n"/>
      <c r="AN358" s="42" t="n"/>
      <c r="AO358" s="42" t="n"/>
      <c r="AP358" s="42" t="n"/>
      <c r="AQ358" s="42" t="n"/>
    </row>
    <row r="359" ht="18" customHeight="1" s="74">
      <c r="A359" s="32" t="n"/>
      <c r="B359" s="32" t="n"/>
      <c r="C359" s="32" t="n"/>
      <c r="D359" s="32" t="n"/>
      <c r="E359" s="33" t="n"/>
      <c r="F359" s="33" t="n"/>
      <c r="G359" s="33" t="n"/>
      <c r="H359" s="33" t="n"/>
      <c r="I359" s="33" t="n"/>
      <c r="J359" s="33" t="n"/>
      <c r="K359" s="33" t="n"/>
      <c r="L359" s="33" t="n"/>
      <c r="M359" s="33" t="n"/>
      <c r="N359" s="33" t="n"/>
      <c r="O359" s="33" t="n"/>
      <c r="P359" s="33" t="n"/>
      <c r="Q359" s="33" t="n"/>
      <c r="R359" s="33" t="n"/>
      <c r="S359" s="33" t="n"/>
      <c r="T359" s="33" t="n"/>
      <c r="U359" s="33" t="n"/>
      <c r="V359" s="33" t="n"/>
      <c r="W359" s="34" t="n"/>
      <c r="X359" s="33" t="n"/>
      <c r="Y359" s="35" t="n"/>
      <c r="Z359" s="157">
        <f>IF(OR(Y359="",X359=""),"",IFERROR(Y359*INDEX(FXRates[USD per unit],MATCH(X359,FXRates[Currency],0)),"No rate"))</f>
        <v/>
      </c>
      <c r="AA359" s="32" t="n"/>
      <c r="AB359" s="32" t="n"/>
      <c r="AC359" s="36">
        <f>IF(A359="","",IF(COUNTIF($A$6:$A$504,A359)&gt;1,"⚠ Duplicate",""))</f>
        <v/>
      </c>
      <c r="AD359" s="43" t="n"/>
      <c r="AE359" s="43" t="n"/>
      <c r="AF359" s="43" t="n"/>
      <c r="AG359" s="43" t="n"/>
      <c r="AH359" s="43" t="n"/>
      <c r="AI359" s="43" t="n"/>
      <c r="AJ359" s="43" t="n"/>
      <c r="AK359" s="43" t="n"/>
      <c r="AL359" s="43" t="n"/>
      <c r="AM359" s="43" t="n"/>
      <c r="AN359" s="43" t="n"/>
      <c r="AO359" s="43" t="n"/>
      <c r="AP359" s="43" t="n"/>
      <c r="AQ359" s="43" t="n"/>
    </row>
    <row r="360" ht="18" customHeight="1" s="74">
      <c r="A360" s="38" t="n"/>
      <c r="B360" s="38" t="n"/>
      <c r="C360" s="38" t="n"/>
      <c r="D360" s="38" t="n"/>
      <c r="E360" s="39" t="n"/>
      <c r="F360" s="39" t="n"/>
      <c r="G360" s="39" t="n"/>
      <c r="H360" s="39" t="n"/>
      <c r="I360" s="39" t="n"/>
      <c r="J360" s="39" t="n"/>
      <c r="K360" s="39" t="n"/>
      <c r="L360" s="39" t="n"/>
      <c r="M360" s="39" t="n"/>
      <c r="N360" s="39" t="n"/>
      <c r="O360" s="39" t="n"/>
      <c r="P360" s="39" t="n"/>
      <c r="Q360" s="39" t="n"/>
      <c r="R360" s="39" t="n"/>
      <c r="S360" s="39" t="n"/>
      <c r="T360" s="39" t="n"/>
      <c r="U360" s="39" t="n"/>
      <c r="V360" s="39" t="n"/>
      <c r="W360" s="34" t="n"/>
      <c r="X360" s="39" t="n"/>
      <c r="Y360" s="40" t="n"/>
      <c r="Z360" s="158">
        <f>IF(OR(Y360="",X360=""),"",IFERROR(Y360*INDEX(FXRates[USD per unit],MATCH(X360,FXRates[Currency],0)),"No rate"))</f>
        <v/>
      </c>
      <c r="AA360" s="38" t="n"/>
      <c r="AB360" s="38" t="n"/>
      <c r="AC360" s="41">
        <f>IF(A360="","",IF(COUNTIF($A$6:$A$504,A360)&gt;1,"⚠ Duplicate",""))</f>
        <v/>
      </c>
      <c r="AD360" s="42" t="n"/>
      <c r="AE360" s="42" t="n"/>
      <c r="AF360" s="42" t="n"/>
      <c r="AG360" s="42" t="n"/>
      <c r="AH360" s="42" t="n"/>
      <c r="AI360" s="42" t="n"/>
      <c r="AJ360" s="42" t="n"/>
      <c r="AK360" s="42" t="n"/>
      <c r="AL360" s="42" t="n"/>
      <c r="AM360" s="42" t="n"/>
      <c r="AN360" s="42" t="n"/>
      <c r="AO360" s="42" t="n"/>
      <c r="AP360" s="42" t="n"/>
      <c r="AQ360" s="42" t="n"/>
    </row>
    <row r="361" ht="18" customHeight="1" s="74">
      <c r="A361" s="32" t="n"/>
      <c r="B361" s="32" t="n"/>
      <c r="C361" s="32" t="n"/>
      <c r="D361" s="32" t="n"/>
      <c r="E361" s="33" t="n"/>
      <c r="F361" s="33" t="n"/>
      <c r="G361" s="33" t="n"/>
      <c r="H361" s="33" t="n"/>
      <c r="I361" s="33" t="n"/>
      <c r="J361" s="33" t="n"/>
      <c r="K361" s="33" t="n"/>
      <c r="L361" s="33" t="n"/>
      <c r="M361" s="33" t="n"/>
      <c r="N361" s="33" t="n"/>
      <c r="O361" s="33" t="n"/>
      <c r="P361" s="33" t="n"/>
      <c r="Q361" s="33" t="n"/>
      <c r="R361" s="33" t="n"/>
      <c r="S361" s="33" t="n"/>
      <c r="T361" s="33" t="n"/>
      <c r="U361" s="33" t="n"/>
      <c r="V361" s="33" t="n"/>
      <c r="W361" s="34" t="n"/>
      <c r="X361" s="33" t="n"/>
      <c r="Y361" s="35" t="n"/>
      <c r="Z361" s="157">
        <f>IF(OR(Y361="",X361=""),"",IFERROR(Y361*INDEX(FXRates[USD per unit],MATCH(X361,FXRates[Currency],0)),"No rate"))</f>
        <v/>
      </c>
      <c r="AA361" s="32" t="n"/>
      <c r="AB361" s="32" t="n"/>
      <c r="AC361" s="36">
        <f>IF(A361="","",IF(COUNTIF($A$6:$A$504,A361)&gt;1,"⚠ Duplicate",""))</f>
        <v/>
      </c>
      <c r="AD361" s="43" t="n"/>
      <c r="AE361" s="43" t="n"/>
      <c r="AF361" s="43" t="n"/>
      <c r="AG361" s="43" t="n"/>
      <c r="AH361" s="43" t="n"/>
      <c r="AI361" s="43" t="n"/>
      <c r="AJ361" s="43" t="n"/>
      <c r="AK361" s="43" t="n"/>
      <c r="AL361" s="43" t="n"/>
      <c r="AM361" s="43" t="n"/>
      <c r="AN361" s="43" t="n"/>
      <c r="AO361" s="43" t="n"/>
      <c r="AP361" s="43" t="n"/>
      <c r="AQ361" s="43" t="n"/>
    </row>
    <row r="362" ht="18" customHeight="1" s="74">
      <c r="A362" s="38" t="n"/>
      <c r="B362" s="38" t="n"/>
      <c r="C362" s="38" t="n"/>
      <c r="D362" s="38" t="n"/>
      <c r="E362" s="39" t="n"/>
      <c r="F362" s="39" t="n"/>
      <c r="G362" s="39" t="n"/>
      <c r="H362" s="39" t="n"/>
      <c r="I362" s="39" t="n"/>
      <c r="J362" s="39" t="n"/>
      <c r="K362" s="39" t="n"/>
      <c r="L362" s="39" t="n"/>
      <c r="M362" s="39" t="n"/>
      <c r="N362" s="39" t="n"/>
      <c r="O362" s="39" t="n"/>
      <c r="P362" s="39" t="n"/>
      <c r="Q362" s="39" t="n"/>
      <c r="R362" s="39" t="n"/>
      <c r="S362" s="39" t="n"/>
      <c r="T362" s="39" t="n"/>
      <c r="U362" s="39" t="n"/>
      <c r="V362" s="39" t="n"/>
      <c r="W362" s="34" t="n"/>
      <c r="X362" s="39" t="n"/>
      <c r="Y362" s="40" t="n"/>
      <c r="Z362" s="158">
        <f>IF(OR(Y362="",X362=""),"",IFERROR(Y362*INDEX(FXRates[USD per unit],MATCH(X362,FXRates[Currency],0)),"No rate"))</f>
        <v/>
      </c>
      <c r="AA362" s="38" t="n"/>
      <c r="AB362" s="38" t="n"/>
      <c r="AC362" s="41">
        <f>IF(A362="","",IF(COUNTIF($A$6:$A$504,A362)&gt;1,"⚠ Duplicate",""))</f>
        <v/>
      </c>
      <c r="AD362" s="42" t="n"/>
      <c r="AE362" s="42" t="n"/>
      <c r="AF362" s="42" t="n"/>
      <c r="AG362" s="42" t="n"/>
      <c r="AH362" s="42" t="n"/>
      <c r="AI362" s="42" t="n"/>
      <c r="AJ362" s="42" t="n"/>
      <c r="AK362" s="42" t="n"/>
      <c r="AL362" s="42" t="n"/>
      <c r="AM362" s="42" t="n"/>
      <c r="AN362" s="42" t="n"/>
      <c r="AO362" s="42" t="n"/>
      <c r="AP362" s="42" t="n"/>
      <c r="AQ362" s="42" t="n"/>
    </row>
    <row r="363" ht="18" customHeight="1" s="74">
      <c r="A363" s="32" t="n"/>
      <c r="B363" s="32" t="n"/>
      <c r="C363" s="32" t="n"/>
      <c r="D363" s="32" t="n"/>
      <c r="E363" s="33" t="n"/>
      <c r="F363" s="33" t="n"/>
      <c r="G363" s="33" t="n"/>
      <c r="H363" s="33" t="n"/>
      <c r="I363" s="33" t="n"/>
      <c r="J363" s="33" t="n"/>
      <c r="K363" s="33" t="n"/>
      <c r="L363" s="33" t="n"/>
      <c r="M363" s="33" t="n"/>
      <c r="N363" s="33" t="n"/>
      <c r="O363" s="33" t="n"/>
      <c r="P363" s="33" t="n"/>
      <c r="Q363" s="33" t="n"/>
      <c r="R363" s="33" t="n"/>
      <c r="S363" s="33" t="n"/>
      <c r="T363" s="33" t="n"/>
      <c r="U363" s="33" t="n"/>
      <c r="V363" s="33" t="n"/>
      <c r="W363" s="34" t="n"/>
      <c r="X363" s="33" t="n"/>
      <c r="Y363" s="35" t="n"/>
      <c r="Z363" s="157">
        <f>IF(OR(Y363="",X363=""),"",IFERROR(Y363*INDEX(FXRates[USD per unit],MATCH(X363,FXRates[Currency],0)),"No rate"))</f>
        <v/>
      </c>
      <c r="AA363" s="32" t="n"/>
      <c r="AB363" s="32" t="n"/>
      <c r="AC363" s="36">
        <f>IF(A363="","",IF(COUNTIF($A$6:$A$504,A363)&gt;1,"⚠ Duplicate",""))</f>
        <v/>
      </c>
      <c r="AD363" s="43" t="n"/>
      <c r="AE363" s="43" t="n"/>
      <c r="AF363" s="43" t="n"/>
      <c r="AG363" s="43" t="n"/>
      <c r="AH363" s="43" t="n"/>
      <c r="AI363" s="43" t="n"/>
      <c r="AJ363" s="43" t="n"/>
      <c r="AK363" s="43" t="n"/>
      <c r="AL363" s="43" t="n"/>
      <c r="AM363" s="43" t="n"/>
      <c r="AN363" s="43" t="n"/>
      <c r="AO363" s="43" t="n"/>
      <c r="AP363" s="43" t="n"/>
      <c r="AQ363" s="43" t="n"/>
    </row>
    <row r="364" ht="18" customHeight="1" s="74">
      <c r="A364" s="38" t="n"/>
      <c r="B364" s="38" t="n"/>
      <c r="C364" s="38" t="n"/>
      <c r="D364" s="38" t="n"/>
      <c r="E364" s="39" t="n"/>
      <c r="F364" s="39" t="n"/>
      <c r="G364" s="39" t="n"/>
      <c r="H364" s="39" t="n"/>
      <c r="I364" s="39" t="n"/>
      <c r="J364" s="39" t="n"/>
      <c r="K364" s="39" t="n"/>
      <c r="L364" s="39" t="n"/>
      <c r="M364" s="39" t="n"/>
      <c r="N364" s="39" t="n"/>
      <c r="O364" s="39" t="n"/>
      <c r="P364" s="39" t="n"/>
      <c r="Q364" s="39" t="n"/>
      <c r="R364" s="39" t="n"/>
      <c r="S364" s="39" t="n"/>
      <c r="T364" s="39" t="n"/>
      <c r="U364" s="39" t="n"/>
      <c r="V364" s="39" t="n"/>
      <c r="W364" s="34" t="n"/>
      <c r="X364" s="39" t="n"/>
      <c r="Y364" s="40" t="n"/>
      <c r="Z364" s="158">
        <f>IF(OR(Y364="",X364=""),"",IFERROR(Y364*INDEX(FXRates[USD per unit],MATCH(X364,FXRates[Currency],0)),"No rate"))</f>
        <v/>
      </c>
      <c r="AA364" s="38" t="n"/>
      <c r="AB364" s="38" t="n"/>
      <c r="AC364" s="41">
        <f>IF(A364="","",IF(COUNTIF($A$6:$A$504,A364)&gt;1,"⚠ Duplicate",""))</f>
        <v/>
      </c>
      <c r="AD364" s="42" t="n"/>
      <c r="AE364" s="42" t="n"/>
      <c r="AF364" s="42" t="n"/>
      <c r="AG364" s="42" t="n"/>
      <c r="AH364" s="42" t="n"/>
      <c r="AI364" s="42" t="n"/>
      <c r="AJ364" s="42" t="n"/>
      <c r="AK364" s="42" t="n"/>
      <c r="AL364" s="42" t="n"/>
      <c r="AM364" s="42" t="n"/>
      <c r="AN364" s="42" t="n"/>
      <c r="AO364" s="42" t="n"/>
      <c r="AP364" s="42" t="n"/>
      <c r="AQ364" s="42" t="n"/>
    </row>
    <row r="365" ht="18" customHeight="1" s="74">
      <c r="A365" s="32" t="n"/>
      <c r="B365" s="32" t="n"/>
      <c r="C365" s="32" t="n"/>
      <c r="D365" s="32" t="n"/>
      <c r="E365" s="33" t="n"/>
      <c r="F365" s="33" t="n"/>
      <c r="G365" s="33" t="n"/>
      <c r="H365" s="33" t="n"/>
      <c r="I365" s="33" t="n"/>
      <c r="J365" s="33" t="n"/>
      <c r="K365" s="33" t="n"/>
      <c r="L365" s="33" t="n"/>
      <c r="M365" s="33" t="n"/>
      <c r="N365" s="33" t="n"/>
      <c r="O365" s="33" t="n"/>
      <c r="P365" s="33" t="n"/>
      <c r="Q365" s="33" t="n"/>
      <c r="R365" s="33" t="n"/>
      <c r="S365" s="33" t="n"/>
      <c r="T365" s="33" t="n"/>
      <c r="U365" s="33" t="n"/>
      <c r="V365" s="33" t="n"/>
      <c r="W365" s="34" t="n"/>
      <c r="X365" s="33" t="n"/>
      <c r="Y365" s="35" t="n"/>
      <c r="Z365" s="157">
        <f>IF(OR(Y365="",X365=""),"",IFERROR(Y365*INDEX(FXRates[USD per unit],MATCH(X365,FXRates[Currency],0)),"No rate"))</f>
        <v/>
      </c>
      <c r="AA365" s="32" t="n"/>
      <c r="AB365" s="32" t="n"/>
      <c r="AC365" s="36">
        <f>IF(A365="","",IF(COUNTIF($A$6:$A$504,A365)&gt;1,"⚠ Duplicate",""))</f>
        <v/>
      </c>
      <c r="AD365" s="43" t="n"/>
      <c r="AE365" s="43" t="n"/>
      <c r="AF365" s="43" t="n"/>
      <c r="AG365" s="43" t="n"/>
      <c r="AH365" s="43" t="n"/>
      <c r="AI365" s="43" t="n"/>
      <c r="AJ365" s="43" t="n"/>
      <c r="AK365" s="43" t="n"/>
      <c r="AL365" s="43" t="n"/>
      <c r="AM365" s="43" t="n"/>
      <c r="AN365" s="43" t="n"/>
      <c r="AO365" s="43" t="n"/>
      <c r="AP365" s="43" t="n"/>
      <c r="AQ365" s="43" t="n"/>
    </row>
    <row r="366" ht="18" customHeight="1" s="74">
      <c r="A366" s="38" t="n"/>
      <c r="B366" s="38" t="n"/>
      <c r="C366" s="38" t="n"/>
      <c r="D366" s="38" t="n"/>
      <c r="E366" s="39" t="n"/>
      <c r="F366" s="39" t="n"/>
      <c r="G366" s="39" t="n"/>
      <c r="H366" s="39" t="n"/>
      <c r="I366" s="39" t="n"/>
      <c r="J366" s="39" t="n"/>
      <c r="K366" s="39" t="n"/>
      <c r="L366" s="39" t="n"/>
      <c r="M366" s="39" t="n"/>
      <c r="N366" s="39" t="n"/>
      <c r="O366" s="39" t="n"/>
      <c r="P366" s="39" t="n"/>
      <c r="Q366" s="39" t="n"/>
      <c r="R366" s="39" t="n"/>
      <c r="S366" s="39" t="n"/>
      <c r="T366" s="39" t="n"/>
      <c r="U366" s="39" t="n"/>
      <c r="V366" s="39" t="n"/>
      <c r="W366" s="34" t="n"/>
      <c r="X366" s="39" t="n"/>
      <c r="Y366" s="40" t="n"/>
      <c r="Z366" s="158">
        <f>IF(OR(Y366="",X366=""),"",IFERROR(Y366*INDEX(FXRates[USD per unit],MATCH(X366,FXRates[Currency],0)),"No rate"))</f>
        <v/>
      </c>
      <c r="AA366" s="38" t="n"/>
      <c r="AB366" s="38" t="n"/>
      <c r="AC366" s="41">
        <f>IF(A366="","",IF(COUNTIF($A$6:$A$504,A366)&gt;1,"⚠ Duplicate",""))</f>
        <v/>
      </c>
      <c r="AD366" s="42" t="n"/>
      <c r="AE366" s="42" t="n"/>
      <c r="AF366" s="42" t="n"/>
      <c r="AG366" s="42" t="n"/>
      <c r="AH366" s="42" t="n"/>
      <c r="AI366" s="42" t="n"/>
      <c r="AJ366" s="42" t="n"/>
      <c r="AK366" s="42" t="n"/>
      <c r="AL366" s="42" t="n"/>
      <c r="AM366" s="42" t="n"/>
      <c r="AN366" s="42" t="n"/>
      <c r="AO366" s="42" t="n"/>
      <c r="AP366" s="42" t="n"/>
      <c r="AQ366" s="42" t="n"/>
    </row>
    <row r="367" ht="18" customHeight="1" s="74">
      <c r="A367" s="32" t="n"/>
      <c r="B367" s="32" t="n"/>
      <c r="C367" s="32" t="n"/>
      <c r="D367" s="32" t="n"/>
      <c r="E367" s="33" t="n"/>
      <c r="F367" s="33" t="n"/>
      <c r="G367" s="33" t="n"/>
      <c r="H367" s="33" t="n"/>
      <c r="I367" s="33" t="n"/>
      <c r="J367" s="33" t="n"/>
      <c r="K367" s="33" t="n"/>
      <c r="L367" s="33" t="n"/>
      <c r="M367" s="33" t="n"/>
      <c r="N367" s="33" t="n"/>
      <c r="O367" s="33" t="n"/>
      <c r="P367" s="33" t="n"/>
      <c r="Q367" s="33" t="n"/>
      <c r="R367" s="33" t="n"/>
      <c r="S367" s="33" t="n"/>
      <c r="T367" s="33" t="n"/>
      <c r="U367" s="33" t="n"/>
      <c r="V367" s="33" t="n"/>
      <c r="W367" s="34" t="n"/>
      <c r="X367" s="33" t="n"/>
      <c r="Y367" s="35" t="n"/>
      <c r="Z367" s="157">
        <f>IF(OR(Y367="",X367=""),"",IFERROR(Y367*INDEX(FXRates[USD per unit],MATCH(X367,FXRates[Currency],0)),"No rate"))</f>
        <v/>
      </c>
      <c r="AA367" s="32" t="n"/>
      <c r="AB367" s="32" t="n"/>
      <c r="AC367" s="36">
        <f>IF(A367="","",IF(COUNTIF($A$6:$A$504,A367)&gt;1,"⚠ Duplicate",""))</f>
        <v/>
      </c>
      <c r="AD367" s="43" t="n"/>
      <c r="AE367" s="43" t="n"/>
      <c r="AF367" s="43" t="n"/>
      <c r="AG367" s="43" t="n"/>
      <c r="AH367" s="43" t="n"/>
      <c r="AI367" s="43" t="n"/>
      <c r="AJ367" s="43" t="n"/>
      <c r="AK367" s="43" t="n"/>
      <c r="AL367" s="43" t="n"/>
      <c r="AM367" s="43" t="n"/>
      <c r="AN367" s="43" t="n"/>
      <c r="AO367" s="43" t="n"/>
      <c r="AP367" s="43" t="n"/>
      <c r="AQ367" s="43" t="n"/>
    </row>
    <row r="368" ht="18" customHeight="1" s="74">
      <c r="A368" s="38" t="n"/>
      <c r="B368" s="38" t="n"/>
      <c r="C368" s="38" t="n"/>
      <c r="D368" s="38" t="n"/>
      <c r="E368" s="39" t="n"/>
      <c r="F368" s="39" t="n"/>
      <c r="G368" s="39" t="n"/>
      <c r="H368" s="39" t="n"/>
      <c r="I368" s="39" t="n"/>
      <c r="J368" s="39" t="n"/>
      <c r="K368" s="39" t="n"/>
      <c r="L368" s="39" t="n"/>
      <c r="M368" s="39" t="n"/>
      <c r="N368" s="39" t="n"/>
      <c r="O368" s="39" t="n"/>
      <c r="P368" s="39" t="n"/>
      <c r="Q368" s="39" t="n"/>
      <c r="R368" s="39" t="n"/>
      <c r="S368" s="39" t="n"/>
      <c r="T368" s="39" t="n"/>
      <c r="U368" s="39" t="n"/>
      <c r="V368" s="39" t="n"/>
      <c r="W368" s="34" t="n"/>
      <c r="X368" s="39" t="n"/>
      <c r="Y368" s="40" t="n"/>
      <c r="Z368" s="158">
        <f>IF(OR(Y368="",X368=""),"",IFERROR(Y368*INDEX(FXRates[USD per unit],MATCH(X368,FXRates[Currency],0)),"No rate"))</f>
        <v/>
      </c>
      <c r="AA368" s="38" t="n"/>
      <c r="AB368" s="38" t="n"/>
      <c r="AC368" s="41">
        <f>IF(A368="","",IF(COUNTIF($A$6:$A$504,A368)&gt;1,"⚠ Duplicate",""))</f>
        <v/>
      </c>
      <c r="AD368" s="42" t="n"/>
      <c r="AE368" s="42" t="n"/>
      <c r="AF368" s="42" t="n"/>
      <c r="AG368" s="42" t="n"/>
      <c r="AH368" s="42" t="n"/>
      <c r="AI368" s="42" t="n"/>
      <c r="AJ368" s="42" t="n"/>
      <c r="AK368" s="42" t="n"/>
      <c r="AL368" s="42" t="n"/>
      <c r="AM368" s="42" t="n"/>
      <c r="AN368" s="42" t="n"/>
      <c r="AO368" s="42" t="n"/>
      <c r="AP368" s="42" t="n"/>
      <c r="AQ368" s="42" t="n"/>
    </row>
    <row r="369" ht="18" customHeight="1" s="74">
      <c r="A369" s="32" t="n"/>
      <c r="B369" s="32" t="n"/>
      <c r="C369" s="32" t="n"/>
      <c r="D369" s="32" t="n"/>
      <c r="E369" s="33" t="n"/>
      <c r="F369" s="33" t="n"/>
      <c r="G369" s="33" t="n"/>
      <c r="H369" s="33" t="n"/>
      <c r="I369" s="33" t="n"/>
      <c r="J369" s="33" t="n"/>
      <c r="K369" s="33" t="n"/>
      <c r="L369" s="33" t="n"/>
      <c r="M369" s="33" t="n"/>
      <c r="N369" s="33" t="n"/>
      <c r="O369" s="33" t="n"/>
      <c r="P369" s="33" t="n"/>
      <c r="Q369" s="33" t="n"/>
      <c r="R369" s="33" t="n"/>
      <c r="S369" s="33" t="n"/>
      <c r="T369" s="33" t="n"/>
      <c r="U369" s="33" t="n"/>
      <c r="V369" s="33" t="n"/>
      <c r="W369" s="34" t="n"/>
      <c r="X369" s="33" t="n"/>
      <c r="Y369" s="35" t="n"/>
      <c r="Z369" s="157">
        <f>IF(OR(Y369="",X369=""),"",IFERROR(Y369*INDEX(FXRates[USD per unit],MATCH(X369,FXRates[Currency],0)),"No rate"))</f>
        <v/>
      </c>
      <c r="AA369" s="32" t="n"/>
      <c r="AB369" s="32" t="n"/>
      <c r="AC369" s="36">
        <f>IF(A369="","",IF(COUNTIF($A$6:$A$504,A369)&gt;1,"⚠ Duplicate",""))</f>
        <v/>
      </c>
      <c r="AD369" s="43" t="n"/>
      <c r="AE369" s="43" t="n"/>
      <c r="AF369" s="43" t="n"/>
      <c r="AG369" s="43" t="n"/>
      <c r="AH369" s="43" t="n"/>
      <c r="AI369" s="43" t="n"/>
      <c r="AJ369" s="43" t="n"/>
      <c r="AK369" s="43" t="n"/>
      <c r="AL369" s="43" t="n"/>
      <c r="AM369" s="43" t="n"/>
      <c r="AN369" s="43" t="n"/>
      <c r="AO369" s="43" t="n"/>
      <c r="AP369" s="43" t="n"/>
      <c r="AQ369" s="43" t="n"/>
    </row>
    <row r="370" ht="18" customHeight="1" s="74">
      <c r="A370" s="38" t="n"/>
      <c r="B370" s="38" t="n"/>
      <c r="C370" s="38" t="n"/>
      <c r="D370" s="38" t="n"/>
      <c r="E370" s="39" t="n"/>
      <c r="F370" s="39" t="n"/>
      <c r="G370" s="39" t="n"/>
      <c r="H370" s="39" t="n"/>
      <c r="I370" s="39" t="n"/>
      <c r="J370" s="39" t="n"/>
      <c r="K370" s="39" t="n"/>
      <c r="L370" s="39" t="n"/>
      <c r="M370" s="39" t="n"/>
      <c r="N370" s="39" t="n"/>
      <c r="O370" s="39" t="n"/>
      <c r="P370" s="39" t="n"/>
      <c r="Q370" s="39" t="n"/>
      <c r="R370" s="39" t="n"/>
      <c r="S370" s="39" t="n"/>
      <c r="T370" s="39" t="n"/>
      <c r="U370" s="39" t="n"/>
      <c r="V370" s="39" t="n"/>
      <c r="W370" s="34" t="n"/>
      <c r="X370" s="39" t="n"/>
      <c r="Y370" s="40" t="n"/>
      <c r="Z370" s="158">
        <f>IF(OR(Y370="",X370=""),"",IFERROR(Y370*INDEX(FXRates[USD per unit],MATCH(X370,FXRates[Currency],0)),"No rate"))</f>
        <v/>
      </c>
      <c r="AA370" s="38" t="n"/>
      <c r="AB370" s="38" t="n"/>
      <c r="AC370" s="41">
        <f>IF(A370="","",IF(COUNTIF($A$6:$A$504,A370)&gt;1,"⚠ Duplicate",""))</f>
        <v/>
      </c>
      <c r="AD370" s="42" t="n"/>
      <c r="AE370" s="42" t="n"/>
      <c r="AF370" s="42" t="n"/>
      <c r="AG370" s="42" t="n"/>
      <c r="AH370" s="42" t="n"/>
      <c r="AI370" s="42" t="n"/>
      <c r="AJ370" s="42" t="n"/>
      <c r="AK370" s="42" t="n"/>
      <c r="AL370" s="42" t="n"/>
      <c r="AM370" s="42" t="n"/>
      <c r="AN370" s="42" t="n"/>
      <c r="AO370" s="42" t="n"/>
      <c r="AP370" s="42" t="n"/>
      <c r="AQ370" s="42" t="n"/>
    </row>
    <row r="371" ht="18" customHeight="1" s="74">
      <c r="A371" s="32" t="n"/>
      <c r="B371" s="32" t="n"/>
      <c r="C371" s="32" t="n"/>
      <c r="D371" s="32" t="n"/>
      <c r="E371" s="33" t="n"/>
      <c r="F371" s="33" t="n"/>
      <c r="G371" s="33" t="n"/>
      <c r="H371" s="33" t="n"/>
      <c r="I371" s="33" t="n"/>
      <c r="J371" s="33" t="n"/>
      <c r="K371" s="33" t="n"/>
      <c r="L371" s="33" t="n"/>
      <c r="M371" s="33" t="n"/>
      <c r="N371" s="33" t="n"/>
      <c r="O371" s="33" t="n"/>
      <c r="P371" s="33" t="n"/>
      <c r="Q371" s="33" t="n"/>
      <c r="R371" s="33" t="n"/>
      <c r="S371" s="33" t="n"/>
      <c r="T371" s="33" t="n"/>
      <c r="U371" s="33" t="n"/>
      <c r="V371" s="33" t="n"/>
      <c r="W371" s="34" t="n"/>
      <c r="X371" s="33" t="n"/>
      <c r="Y371" s="35" t="n"/>
      <c r="Z371" s="157">
        <f>IF(OR(Y371="",X371=""),"",IFERROR(Y371*INDEX(FXRates[USD per unit],MATCH(X371,FXRates[Currency],0)),"No rate"))</f>
        <v/>
      </c>
      <c r="AA371" s="32" t="n"/>
      <c r="AB371" s="32" t="n"/>
      <c r="AC371" s="36">
        <f>IF(A371="","",IF(COUNTIF($A$6:$A$504,A371)&gt;1,"⚠ Duplicate",""))</f>
        <v/>
      </c>
      <c r="AD371" s="43" t="n"/>
      <c r="AE371" s="43" t="n"/>
      <c r="AF371" s="43" t="n"/>
      <c r="AG371" s="43" t="n"/>
      <c r="AH371" s="43" t="n"/>
      <c r="AI371" s="43" t="n"/>
      <c r="AJ371" s="43" t="n"/>
      <c r="AK371" s="43" t="n"/>
      <c r="AL371" s="43" t="n"/>
      <c r="AM371" s="43" t="n"/>
      <c r="AN371" s="43" t="n"/>
      <c r="AO371" s="43" t="n"/>
      <c r="AP371" s="43" t="n"/>
      <c r="AQ371" s="43" t="n"/>
    </row>
    <row r="372" ht="18" customHeight="1" s="74">
      <c r="A372" s="38" t="n"/>
      <c r="B372" s="38" t="n"/>
      <c r="C372" s="38" t="n"/>
      <c r="D372" s="38" t="n"/>
      <c r="E372" s="39" t="n"/>
      <c r="F372" s="39" t="n"/>
      <c r="G372" s="39" t="n"/>
      <c r="H372" s="39" t="n"/>
      <c r="I372" s="39" t="n"/>
      <c r="J372" s="39" t="n"/>
      <c r="K372" s="39" t="n"/>
      <c r="L372" s="39" t="n"/>
      <c r="M372" s="39" t="n"/>
      <c r="N372" s="39" t="n"/>
      <c r="O372" s="39" t="n"/>
      <c r="P372" s="39" t="n"/>
      <c r="Q372" s="39" t="n"/>
      <c r="R372" s="39" t="n"/>
      <c r="S372" s="39" t="n"/>
      <c r="T372" s="39" t="n"/>
      <c r="U372" s="39" t="n"/>
      <c r="V372" s="39" t="n"/>
      <c r="W372" s="34" t="n"/>
      <c r="X372" s="39" t="n"/>
      <c r="Y372" s="40" t="n"/>
      <c r="Z372" s="158">
        <f>IF(OR(Y372="",X372=""),"",IFERROR(Y372*INDEX(FXRates[USD per unit],MATCH(X372,FXRates[Currency],0)),"No rate"))</f>
        <v/>
      </c>
      <c r="AA372" s="38" t="n"/>
      <c r="AB372" s="38" t="n"/>
      <c r="AC372" s="41">
        <f>IF(A372="","",IF(COUNTIF($A$6:$A$504,A372)&gt;1,"⚠ Duplicate",""))</f>
        <v/>
      </c>
      <c r="AD372" s="42" t="n"/>
      <c r="AE372" s="42" t="n"/>
      <c r="AF372" s="42" t="n"/>
      <c r="AG372" s="42" t="n"/>
      <c r="AH372" s="42" t="n"/>
      <c r="AI372" s="42" t="n"/>
      <c r="AJ372" s="42" t="n"/>
      <c r="AK372" s="42" t="n"/>
      <c r="AL372" s="42" t="n"/>
      <c r="AM372" s="42" t="n"/>
      <c r="AN372" s="42" t="n"/>
      <c r="AO372" s="42" t="n"/>
      <c r="AP372" s="42" t="n"/>
      <c r="AQ372" s="42" t="n"/>
    </row>
    <row r="373" ht="18" customHeight="1" s="74">
      <c r="A373" s="32" t="n"/>
      <c r="B373" s="32" t="n"/>
      <c r="C373" s="32" t="n"/>
      <c r="D373" s="32" t="n"/>
      <c r="E373" s="33" t="n"/>
      <c r="F373" s="33" t="n"/>
      <c r="G373" s="33" t="n"/>
      <c r="H373" s="33" t="n"/>
      <c r="I373" s="33" t="n"/>
      <c r="J373" s="33" t="n"/>
      <c r="K373" s="33" t="n"/>
      <c r="L373" s="33" t="n"/>
      <c r="M373" s="33" t="n"/>
      <c r="N373" s="33" t="n"/>
      <c r="O373" s="33" t="n"/>
      <c r="P373" s="33" t="n"/>
      <c r="Q373" s="33" t="n"/>
      <c r="R373" s="33" t="n"/>
      <c r="S373" s="33" t="n"/>
      <c r="T373" s="33" t="n"/>
      <c r="U373" s="33" t="n"/>
      <c r="V373" s="33" t="n"/>
      <c r="W373" s="34" t="n"/>
      <c r="X373" s="33" t="n"/>
      <c r="Y373" s="35" t="n"/>
      <c r="Z373" s="157">
        <f>IF(OR(Y373="",X373=""),"",IFERROR(Y373*INDEX(FXRates[USD per unit],MATCH(X373,FXRates[Currency],0)),"No rate"))</f>
        <v/>
      </c>
      <c r="AA373" s="32" t="n"/>
      <c r="AB373" s="32" t="n"/>
      <c r="AC373" s="36">
        <f>IF(A373="","",IF(COUNTIF($A$6:$A$504,A373)&gt;1,"⚠ Duplicate",""))</f>
        <v/>
      </c>
      <c r="AD373" s="43" t="n"/>
      <c r="AE373" s="43" t="n"/>
      <c r="AF373" s="43" t="n"/>
      <c r="AG373" s="43" t="n"/>
      <c r="AH373" s="43" t="n"/>
      <c r="AI373" s="43" t="n"/>
      <c r="AJ373" s="43" t="n"/>
      <c r="AK373" s="43" t="n"/>
      <c r="AL373" s="43" t="n"/>
      <c r="AM373" s="43" t="n"/>
      <c r="AN373" s="43" t="n"/>
      <c r="AO373" s="43" t="n"/>
      <c r="AP373" s="43" t="n"/>
      <c r="AQ373" s="43" t="n"/>
    </row>
    <row r="374" ht="18" customHeight="1" s="74">
      <c r="A374" s="38" t="n"/>
      <c r="B374" s="38" t="n"/>
      <c r="C374" s="38" t="n"/>
      <c r="D374" s="38" t="n"/>
      <c r="E374" s="39" t="n"/>
      <c r="F374" s="39" t="n"/>
      <c r="G374" s="39" t="n"/>
      <c r="H374" s="39" t="n"/>
      <c r="I374" s="39" t="n"/>
      <c r="J374" s="39" t="n"/>
      <c r="K374" s="39" t="n"/>
      <c r="L374" s="39" t="n"/>
      <c r="M374" s="39" t="n"/>
      <c r="N374" s="39" t="n"/>
      <c r="O374" s="39" t="n"/>
      <c r="P374" s="39" t="n"/>
      <c r="Q374" s="39" t="n"/>
      <c r="R374" s="39" t="n"/>
      <c r="S374" s="39" t="n"/>
      <c r="T374" s="39" t="n"/>
      <c r="U374" s="39" t="n"/>
      <c r="V374" s="39" t="n"/>
      <c r="W374" s="34" t="n"/>
      <c r="X374" s="39" t="n"/>
      <c r="Y374" s="40" t="n"/>
      <c r="Z374" s="158">
        <f>IF(OR(Y374="",X374=""),"",IFERROR(Y374*INDEX(FXRates[USD per unit],MATCH(X374,FXRates[Currency],0)),"No rate"))</f>
        <v/>
      </c>
      <c r="AA374" s="38" t="n"/>
      <c r="AB374" s="38" t="n"/>
      <c r="AC374" s="41">
        <f>IF(A374="","",IF(COUNTIF($A$6:$A$504,A374)&gt;1,"⚠ Duplicate",""))</f>
        <v/>
      </c>
      <c r="AD374" s="42" t="n"/>
      <c r="AE374" s="42" t="n"/>
      <c r="AF374" s="42" t="n"/>
      <c r="AG374" s="42" t="n"/>
      <c r="AH374" s="42" t="n"/>
      <c r="AI374" s="42" t="n"/>
      <c r="AJ374" s="42" t="n"/>
      <c r="AK374" s="42" t="n"/>
      <c r="AL374" s="42" t="n"/>
      <c r="AM374" s="42" t="n"/>
      <c r="AN374" s="42" t="n"/>
      <c r="AO374" s="42" t="n"/>
      <c r="AP374" s="42" t="n"/>
      <c r="AQ374" s="42" t="n"/>
    </row>
    <row r="375" ht="18" customHeight="1" s="74">
      <c r="A375" s="32" t="n"/>
      <c r="B375" s="32" t="n"/>
      <c r="C375" s="32" t="n"/>
      <c r="D375" s="32" t="n"/>
      <c r="E375" s="33" t="n"/>
      <c r="F375" s="33" t="n"/>
      <c r="G375" s="33" t="n"/>
      <c r="H375" s="33" t="n"/>
      <c r="I375" s="33" t="n"/>
      <c r="J375" s="33" t="n"/>
      <c r="K375" s="33" t="n"/>
      <c r="L375" s="33" t="n"/>
      <c r="M375" s="33" t="n"/>
      <c r="N375" s="33" t="n"/>
      <c r="O375" s="33" t="n"/>
      <c r="P375" s="33" t="n"/>
      <c r="Q375" s="33" t="n"/>
      <c r="R375" s="33" t="n"/>
      <c r="S375" s="33" t="n"/>
      <c r="T375" s="33" t="n"/>
      <c r="U375" s="33" t="n"/>
      <c r="V375" s="33" t="n"/>
      <c r="W375" s="34" t="n"/>
      <c r="X375" s="33" t="n"/>
      <c r="Y375" s="35" t="n"/>
      <c r="Z375" s="157">
        <f>IF(OR(Y375="",X375=""),"",IFERROR(Y375*INDEX(FXRates[USD per unit],MATCH(X375,FXRates[Currency],0)),"No rate"))</f>
        <v/>
      </c>
      <c r="AA375" s="32" t="n"/>
      <c r="AB375" s="32" t="n"/>
      <c r="AC375" s="36">
        <f>IF(A375="","",IF(COUNTIF($A$6:$A$504,A375)&gt;1,"⚠ Duplicate",""))</f>
        <v/>
      </c>
      <c r="AD375" s="43" t="n"/>
      <c r="AE375" s="43" t="n"/>
      <c r="AF375" s="43" t="n"/>
      <c r="AG375" s="43" t="n"/>
      <c r="AH375" s="43" t="n"/>
      <c r="AI375" s="43" t="n"/>
      <c r="AJ375" s="43" t="n"/>
      <c r="AK375" s="43" t="n"/>
      <c r="AL375" s="43" t="n"/>
      <c r="AM375" s="43" t="n"/>
      <c r="AN375" s="43" t="n"/>
      <c r="AO375" s="43" t="n"/>
      <c r="AP375" s="43" t="n"/>
      <c r="AQ375" s="43" t="n"/>
    </row>
    <row r="376" ht="18" customHeight="1" s="74">
      <c r="A376" s="38" t="n"/>
      <c r="B376" s="38" t="n"/>
      <c r="C376" s="38" t="n"/>
      <c r="D376" s="38" t="n"/>
      <c r="E376" s="39" t="n"/>
      <c r="F376" s="39" t="n"/>
      <c r="G376" s="39" t="n"/>
      <c r="H376" s="39" t="n"/>
      <c r="I376" s="39" t="n"/>
      <c r="J376" s="39" t="n"/>
      <c r="K376" s="39" t="n"/>
      <c r="L376" s="39" t="n"/>
      <c r="M376" s="39" t="n"/>
      <c r="N376" s="39" t="n"/>
      <c r="O376" s="39" t="n"/>
      <c r="P376" s="39" t="n"/>
      <c r="Q376" s="39" t="n"/>
      <c r="R376" s="39" t="n"/>
      <c r="S376" s="39" t="n"/>
      <c r="T376" s="39" t="n"/>
      <c r="U376" s="39" t="n"/>
      <c r="V376" s="39" t="n"/>
      <c r="W376" s="34" t="n"/>
      <c r="X376" s="39" t="n"/>
      <c r="Y376" s="40" t="n"/>
      <c r="Z376" s="158">
        <f>IF(OR(Y376="",X376=""),"",IFERROR(Y376*INDEX(FXRates[USD per unit],MATCH(X376,FXRates[Currency],0)),"No rate"))</f>
        <v/>
      </c>
      <c r="AA376" s="38" t="n"/>
      <c r="AB376" s="38" t="n"/>
      <c r="AC376" s="41">
        <f>IF(A376="","",IF(COUNTIF($A$6:$A$504,A376)&gt;1,"⚠ Duplicate",""))</f>
        <v/>
      </c>
      <c r="AD376" s="42" t="n"/>
      <c r="AE376" s="42" t="n"/>
      <c r="AF376" s="42" t="n"/>
      <c r="AG376" s="42" t="n"/>
      <c r="AH376" s="42" t="n"/>
      <c r="AI376" s="42" t="n"/>
      <c r="AJ376" s="42" t="n"/>
      <c r="AK376" s="42" t="n"/>
      <c r="AL376" s="42" t="n"/>
      <c r="AM376" s="42" t="n"/>
      <c r="AN376" s="42" t="n"/>
      <c r="AO376" s="42" t="n"/>
      <c r="AP376" s="42" t="n"/>
      <c r="AQ376" s="42" t="n"/>
    </row>
    <row r="377" ht="18" customHeight="1" s="74">
      <c r="A377" s="32" t="n"/>
      <c r="B377" s="32" t="n"/>
      <c r="C377" s="32" t="n"/>
      <c r="D377" s="32" t="n"/>
      <c r="E377" s="33" t="n"/>
      <c r="F377" s="33" t="n"/>
      <c r="G377" s="33" t="n"/>
      <c r="H377" s="33" t="n"/>
      <c r="I377" s="33" t="n"/>
      <c r="J377" s="33" t="n"/>
      <c r="K377" s="33" t="n"/>
      <c r="L377" s="33" t="n"/>
      <c r="M377" s="33" t="n"/>
      <c r="N377" s="33" t="n"/>
      <c r="O377" s="33" t="n"/>
      <c r="P377" s="33" t="n"/>
      <c r="Q377" s="33" t="n"/>
      <c r="R377" s="33" t="n"/>
      <c r="S377" s="33" t="n"/>
      <c r="T377" s="33" t="n"/>
      <c r="U377" s="33" t="n"/>
      <c r="V377" s="33" t="n"/>
      <c r="W377" s="34" t="n"/>
      <c r="X377" s="33" t="n"/>
      <c r="Y377" s="35" t="n"/>
      <c r="Z377" s="157">
        <f>IF(OR(Y377="",X377=""),"",IFERROR(Y377*INDEX(FXRates[USD per unit],MATCH(X377,FXRates[Currency],0)),"No rate"))</f>
        <v/>
      </c>
      <c r="AA377" s="32" t="n"/>
      <c r="AB377" s="32" t="n"/>
      <c r="AC377" s="36">
        <f>IF(A377="","",IF(COUNTIF($A$6:$A$504,A377)&gt;1,"⚠ Duplicate",""))</f>
        <v/>
      </c>
      <c r="AD377" s="43" t="n"/>
      <c r="AE377" s="43" t="n"/>
      <c r="AF377" s="43" t="n"/>
      <c r="AG377" s="43" t="n"/>
      <c r="AH377" s="43" t="n"/>
      <c r="AI377" s="43" t="n"/>
      <c r="AJ377" s="43" t="n"/>
      <c r="AK377" s="43" t="n"/>
      <c r="AL377" s="43" t="n"/>
      <c r="AM377" s="43" t="n"/>
      <c r="AN377" s="43" t="n"/>
      <c r="AO377" s="43" t="n"/>
      <c r="AP377" s="43" t="n"/>
      <c r="AQ377" s="43" t="n"/>
    </row>
    <row r="378" ht="18" customHeight="1" s="74">
      <c r="A378" s="38" t="n"/>
      <c r="B378" s="38" t="n"/>
      <c r="C378" s="38" t="n"/>
      <c r="D378" s="38" t="n"/>
      <c r="E378" s="39" t="n"/>
      <c r="F378" s="39" t="n"/>
      <c r="G378" s="39" t="n"/>
      <c r="H378" s="39" t="n"/>
      <c r="I378" s="39" t="n"/>
      <c r="J378" s="39" t="n"/>
      <c r="K378" s="39" t="n"/>
      <c r="L378" s="39" t="n"/>
      <c r="M378" s="39" t="n"/>
      <c r="N378" s="39" t="n"/>
      <c r="O378" s="39" t="n"/>
      <c r="P378" s="39" t="n"/>
      <c r="Q378" s="39" t="n"/>
      <c r="R378" s="39" t="n"/>
      <c r="S378" s="39" t="n"/>
      <c r="T378" s="39" t="n"/>
      <c r="U378" s="39" t="n"/>
      <c r="V378" s="39" t="n"/>
      <c r="W378" s="34" t="n"/>
      <c r="X378" s="39" t="n"/>
      <c r="Y378" s="40" t="n"/>
      <c r="Z378" s="158">
        <f>IF(OR(Y378="",X378=""),"",IFERROR(Y378*INDEX(FXRates[USD per unit],MATCH(X378,FXRates[Currency],0)),"No rate"))</f>
        <v/>
      </c>
      <c r="AA378" s="38" t="n"/>
      <c r="AB378" s="38" t="n"/>
      <c r="AC378" s="41">
        <f>IF(A378="","",IF(COUNTIF($A$6:$A$504,A378)&gt;1,"⚠ Duplicate",""))</f>
        <v/>
      </c>
      <c r="AD378" s="42" t="n"/>
      <c r="AE378" s="42" t="n"/>
      <c r="AF378" s="42" t="n"/>
      <c r="AG378" s="42" t="n"/>
      <c r="AH378" s="42" t="n"/>
      <c r="AI378" s="42" t="n"/>
      <c r="AJ378" s="42" t="n"/>
      <c r="AK378" s="42" t="n"/>
      <c r="AL378" s="42" t="n"/>
      <c r="AM378" s="42" t="n"/>
      <c r="AN378" s="42" t="n"/>
      <c r="AO378" s="42" t="n"/>
      <c r="AP378" s="42" t="n"/>
      <c r="AQ378" s="42" t="n"/>
    </row>
    <row r="379" ht="18" customHeight="1" s="74">
      <c r="A379" s="32" t="n"/>
      <c r="B379" s="32" t="n"/>
      <c r="C379" s="32" t="n"/>
      <c r="D379" s="32" t="n"/>
      <c r="E379" s="33" t="n"/>
      <c r="F379" s="33" t="n"/>
      <c r="G379" s="33" t="n"/>
      <c r="H379" s="33" t="n"/>
      <c r="I379" s="33" t="n"/>
      <c r="J379" s="33" t="n"/>
      <c r="K379" s="33" t="n"/>
      <c r="L379" s="33" t="n"/>
      <c r="M379" s="33" t="n"/>
      <c r="N379" s="33" t="n"/>
      <c r="O379" s="33" t="n"/>
      <c r="P379" s="33" t="n"/>
      <c r="Q379" s="33" t="n"/>
      <c r="R379" s="33" t="n"/>
      <c r="S379" s="33" t="n"/>
      <c r="T379" s="33" t="n"/>
      <c r="U379" s="33" t="n"/>
      <c r="V379" s="33" t="n"/>
      <c r="W379" s="34" t="n"/>
      <c r="X379" s="33" t="n"/>
      <c r="Y379" s="35" t="n"/>
      <c r="Z379" s="157">
        <f>IF(OR(Y379="",X379=""),"",IFERROR(Y379*INDEX(FXRates[USD per unit],MATCH(X379,FXRates[Currency],0)),"No rate"))</f>
        <v/>
      </c>
      <c r="AA379" s="32" t="n"/>
      <c r="AB379" s="32" t="n"/>
      <c r="AC379" s="36">
        <f>IF(A379="","",IF(COUNTIF($A$6:$A$504,A379)&gt;1,"⚠ Duplicate",""))</f>
        <v/>
      </c>
      <c r="AD379" s="43" t="n"/>
      <c r="AE379" s="43" t="n"/>
      <c r="AF379" s="43" t="n"/>
      <c r="AG379" s="43" t="n"/>
      <c r="AH379" s="43" t="n"/>
      <c r="AI379" s="43" t="n"/>
      <c r="AJ379" s="43" t="n"/>
      <c r="AK379" s="43" t="n"/>
      <c r="AL379" s="43" t="n"/>
      <c r="AM379" s="43" t="n"/>
      <c r="AN379" s="43" t="n"/>
      <c r="AO379" s="43" t="n"/>
      <c r="AP379" s="43" t="n"/>
      <c r="AQ379" s="43" t="n"/>
    </row>
    <row r="380" ht="18" customHeight="1" s="74">
      <c r="A380" s="38" t="n"/>
      <c r="B380" s="38" t="n"/>
      <c r="C380" s="38" t="n"/>
      <c r="D380" s="38" t="n"/>
      <c r="E380" s="39" t="n"/>
      <c r="F380" s="39" t="n"/>
      <c r="G380" s="39" t="n"/>
      <c r="H380" s="39" t="n"/>
      <c r="I380" s="39" t="n"/>
      <c r="J380" s="39" t="n"/>
      <c r="K380" s="39" t="n"/>
      <c r="L380" s="39" t="n"/>
      <c r="M380" s="39" t="n"/>
      <c r="N380" s="39" t="n"/>
      <c r="O380" s="39" t="n"/>
      <c r="P380" s="39" t="n"/>
      <c r="Q380" s="39" t="n"/>
      <c r="R380" s="39" t="n"/>
      <c r="S380" s="39" t="n"/>
      <c r="T380" s="39" t="n"/>
      <c r="U380" s="39" t="n"/>
      <c r="V380" s="39" t="n"/>
      <c r="W380" s="34" t="n"/>
      <c r="X380" s="39" t="n"/>
      <c r="Y380" s="40" t="n"/>
      <c r="Z380" s="158">
        <f>IF(OR(Y380="",X380=""),"",IFERROR(Y380*INDEX(FXRates[USD per unit],MATCH(X380,FXRates[Currency],0)),"No rate"))</f>
        <v/>
      </c>
      <c r="AA380" s="38" t="n"/>
      <c r="AB380" s="38" t="n"/>
      <c r="AC380" s="41">
        <f>IF(A380="","",IF(COUNTIF($A$6:$A$504,A380)&gt;1,"⚠ Duplicate",""))</f>
        <v/>
      </c>
      <c r="AD380" s="42" t="n"/>
      <c r="AE380" s="42" t="n"/>
      <c r="AF380" s="42" t="n"/>
      <c r="AG380" s="42" t="n"/>
      <c r="AH380" s="42" t="n"/>
      <c r="AI380" s="42" t="n"/>
      <c r="AJ380" s="42" t="n"/>
      <c r="AK380" s="42" t="n"/>
      <c r="AL380" s="42" t="n"/>
      <c r="AM380" s="42" t="n"/>
      <c r="AN380" s="42" t="n"/>
      <c r="AO380" s="42" t="n"/>
      <c r="AP380" s="42" t="n"/>
      <c r="AQ380" s="42" t="n"/>
    </row>
    <row r="381" ht="18" customHeight="1" s="74">
      <c r="A381" s="32" t="n"/>
      <c r="B381" s="32" t="n"/>
      <c r="C381" s="32" t="n"/>
      <c r="D381" s="32" t="n"/>
      <c r="E381" s="33" t="n"/>
      <c r="F381" s="33" t="n"/>
      <c r="G381" s="33" t="n"/>
      <c r="H381" s="33" t="n"/>
      <c r="I381" s="33" t="n"/>
      <c r="J381" s="33" t="n"/>
      <c r="K381" s="33" t="n"/>
      <c r="L381" s="33" t="n"/>
      <c r="M381" s="33" t="n"/>
      <c r="N381" s="33" t="n"/>
      <c r="O381" s="33" t="n"/>
      <c r="P381" s="33" t="n"/>
      <c r="Q381" s="33" t="n"/>
      <c r="R381" s="33" t="n"/>
      <c r="S381" s="33" t="n"/>
      <c r="T381" s="33" t="n"/>
      <c r="U381" s="33" t="n"/>
      <c r="V381" s="33" t="n"/>
      <c r="W381" s="34" t="n"/>
      <c r="X381" s="33" t="n"/>
      <c r="Y381" s="35" t="n"/>
      <c r="Z381" s="157">
        <f>IF(OR(Y381="",X381=""),"",IFERROR(Y381*INDEX(FXRates[USD per unit],MATCH(X381,FXRates[Currency],0)),"No rate"))</f>
        <v/>
      </c>
      <c r="AA381" s="32" t="n"/>
      <c r="AB381" s="32" t="n"/>
      <c r="AC381" s="36">
        <f>IF(A381="","",IF(COUNTIF($A$6:$A$504,A381)&gt;1,"⚠ Duplicate",""))</f>
        <v/>
      </c>
      <c r="AD381" s="43" t="n"/>
      <c r="AE381" s="43" t="n"/>
      <c r="AF381" s="43" t="n"/>
      <c r="AG381" s="43" t="n"/>
      <c r="AH381" s="43" t="n"/>
      <c r="AI381" s="43" t="n"/>
      <c r="AJ381" s="43" t="n"/>
      <c r="AK381" s="43" t="n"/>
      <c r="AL381" s="43" t="n"/>
      <c r="AM381" s="43" t="n"/>
      <c r="AN381" s="43" t="n"/>
      <c r="AO381" s="43" t="n"/>
      <c r="AP381" s="43" t="n"/>
      <c r="AQ381" s="43" t="n"/>
    </row>
    <row r="382" ht="18" customHeight="1" s="74">
      <c r="A382" s="38" t="n"/>
      <c r="B382" s="38" t="n"/>
      <c r="C382" s="38" t="n"/>
      <c r="D382" s="38" t="n"/>
      <c r="E382" s="39" t="n"/>
      <c r="F382" s="39" t="n"/>
      <c r="G382" s="39" t="n"/>
      <c r="H382" s="39" t="n"/>
      <c r="I382" s="39" t="n"/>
      <c r="J382" s="39" t="n"/>
      <c r="K382" s="39" t="n"/>
      <c r="L382" s="39" t="n"/>
      <c r="M382" s="39" t="n"/>
      <c r="N382" s="39" t="n"/>
      <c r="O382" s="39" t="n"/>
      <c r="P382" s="39" t="n"/>
      <c r="Q382" s="39" t="n"/>
      <c r="R382" s="39" t="n"/>
      <c r="S382" s="39" t="n"/>
      <c r="T382" s="39" t="n"/>
      <c r="U382" s="39" t="n"/>
      <c r="V382" s="39" t="n"/>
      <c r="W382" s="34" t="n"/>
      <c r="X382" s="39" t="n"/>
      <c r="Y382" s="40" t="n"/>
      <c r="Z382" s="158">
        <f>IF(OR(Y382="",X382=""),"",IFERROR(Y382*INDEX(FXRates[USD per unit],MATCH(X382,FXRates[Currency],0)),"No rate"))</f>
        <v/>
      </c>
      <c r="AA382" s="38" t="n"/>
      <c r="AB382" s="38" t="n"/>
      <c r="AC382" s="41">
        <f>IF(A382="","",IF(COUNTIF($A$6:$A$504,A382)&gt;1,"⚠ Duplicate",""))</f>
        <v/>
      </c>
      <c r="AD382" s="42" t="n"/>
      <c r="AE382" s="42" t="n"/>
      <c r="AF382" s="42" t="n"/>
      <c r="AG382" s="42" t="n"/>
      <c r="AH382" s="42" t="n"/>
      <c r="AI382" s="42" t="n"/>
      <c r="AJ382" s="42" t="n"/>
      <c r="AK382" s="42" t="n"/>
      <c r="AL382" s="42" t="n"/>
      <c r="AM382" s="42" t="n"/>
      <c r="AN382" s="42" t="n"/>
      <c r="AO382" s="42" t="n"/>
      <c r="AP382" s="42" t="n"/>
      <c r="AQ382" s="42" t="n"/>
    </row>
    <row r="383" ht="18" customHeight="1" s="74">
      <c r="A383" s="32" t="n"/>
      <c r="B383" s="32" t="n"/>
      <c r="C383" s="32" t="n"/>
      <c r="D383" s="32" t="n"/>
      <c r="E383" s="33" t="n"/>
      <c r="F383" s="33" t="n"/>
      <c r="G383" s="33" t="n"/>
      <c r="H383" s="33" t="n"/>
      <c r="I383" s="33" t="n"/>
      <c r="J383" s="33" t="n"/>
      <c r="K383" s="33" t="n"/>
      <c r="L383" s="33" t="n"/>
      <c r="M383" s="33" t="n"/>
      <c r="N383" s="33" t="n"/>
      <c r="O383" s="33" t="n"/>
      <c r="P383" s="33" t="n"/>
      <c r="Q383" s="33" t="n"/>
      <c r="R383" s="33" t="n"/>
      <c r="S383" s="33" t="n"/>
      <c r="T383" s="33" t="n"/>
      <c r="U383" s="33" t="n"/>
      <c r="V383" s="33" t="n"/>
      <c r="W383" s="34" t="n"/>
      <c r="X383" s="33" t="n"/>
      <c r="Y383" s="35" t="n"/>
      <c r="Z383" s="157">
        <f>IF(OR(Y383="",X383=""),"",IFERROR(Y383*INDEX(FXRates[USD per unit],MATCH(X383,FXRates[Currency],0)),"No rate"))</f>
        <v/>
      </c>
      <c r="AA383" s="32" t="n"/>
      <c r="AB383" s="32" t="n"/>
      <c r="AC383" s="36">
        <f>IF(A383="","",IF(COUNTIF($A$6:$A$504,A383)&gt;1,"⚠ Duplicate",""))</f>
        <v/>
      </c>
      <c r="AD383" s="43" t="n"/>
      <c r="AE383" s="43" t="n"/>
      <c r="AF383" s="43" t="n"/>
      <c r="AG383" s="43" t="n"/>
      <c r="AH383" s="43" t="n"/>
      <c r="AI383" s="43" t="n"/>
      <c r="AJ383" s="43" t="n"/>
      <c r="AK383" s="43" t="n"/>
      <c r="AL383" s="43" t="n"/>
      <c r="AM383" s="43" t="n"/>
      <c r="AN383" s="43" t="n"/>
      <c r="AO383" s="43" t="n"/>
      <c r="AP383" s="43" t="n"/>
      <c r="AQ383" s="43" t="n"/>
    </row>
    <row r="384" ht="18" customHeight="1" s="74">
      <c r="A384" s="38" t="n"/>
      <c r="B384" s="38" t="n"/>
      <c r="C384" s="38" t="n"/>
      <c r="D384" s="38" t="n"/>
      <c r="E384" s="39" t="n"/>
      <c r="F384" s="39" t="n"/>
      <c r="G384" s="39" t="n"/>
      <c r="H384" s="39" t="n"/>
      <c r="I384" s="39" t="n"/>
      <c r="J384" s="39" t="n"/>
      <c r="K384" s="39" t="n"/>
      <c r="L384" s="39" t="n"/>
      <c r="M384" s="39" t="n"/>
      <c r="N384" s="39" t="n"/>
      <c r="O384" s="39" t="n"/>
      <c r="P384" s="39" t="n"/>
      <c r="Q384" s="39" t="n"/>
      <c r="R384" s="39" t="n"/>
      <c r="S384" s="39" t="n"/>
      <c r="T384" s="39" t="n"/>
      <c r="U384" s="39" t="n"/>
      <c r="V384" s="39" t="n"/>
      <c r="W384" s="34" t="n"/>
      <c r="X384" s="39" t="n"/>
      <c r="Y384" s="40" t="n"/>
      <c r="Z384" s="158">
        <f>IF(OR(Y384="",X384=""),"",IFERROR(Y384*INDEX(FXRates[USD per unit],MATCH(X384,FXRates[Currency],0)),"No rate"))</f>
        <v/>
      </c>
      <c r="AA384" s="38" t="n"/>
      <c r="AB384" s="38" t="n"/>
      <c r="AC384" s="41">
        <f>IF(A384="","",IF(COUNTIF($A$6:$A$504,A384)&gt;1,"⚠ Duplicate",""))</f>
        <v/>
      </c>
      <c r="AD384" s="42" t="n"/>
      <c r="AE384" s="42" t="n"/>
      <c r="AF384" s="42" t="n"/>
      <c r="AG384" s="42" t="n"/>
      <c r="AH384" s="42" t="n"/>
      <c r="AI384" s="42" t="n"/>
      <c r="AJ384" s="42" t="n"/>
      <c r="AK384" s="42" t="n"/>
      <c r="AL384" s="42" t="n"/>
      <c r="AM384" s="42" t="n"/>
      <c r="AN384" s="42" t="n"/>
      <c r="AO384" s="42" t="n"/>
      <c r="AP384" s="42" t="n"/>
      <c r="AQ384" s="42" t="n"/>
    </row>
    <row r="385" ht="18" customHeight="1" s="74">
      <c r="A385" s="32" t="n"/>
      <c r="B385" s="32" t="n"/>
      <c r="C385" s="32" t="n"/>
      <c r="D385" s="32" t="n"/>
      <c r="E385" s="33" t="n"/>
      <c r="F385" s="33" t="n"/>
      <c r="G385" s="33" t="n"/>
      <c r="H385" s="33" t="n"/>
      <c r="I385" s="33" t="n"/>
      <c r="J385" s="33" t="n"/>
      <c r="K385" s="33" t="n"/>
      <c r="L385" s="33" t="n"/>
      <c r="M385" s="33" t="n"/>
      <c r="N385" s="33" t="n"/>
      <c r="O385" s="33" t="n"/>
      <c r="P385" s="33" t="n"/>
      <c r="Q385" s="33" t="n"/>
      <c r="R385" s="33" t="n"/>
      <c r="S385" s="33" t="n"/>
      <c r="T385" s="33" t="n"/>
      <c r="U385" s="33" t="n"/>
      <c r="V385" s="33" t="n"/>
      <c r="W385" s="34" t="n"/>
      <c r="X385" s="33" t="n"/>
      <c r="Y385" s="35" t="n"/>
      <c r="Z385" s="157">
        <f>IF(OR(Y385="",X385=""),"",IFERROR(Y385*INDEX(FXRates[USD per unit],MATCH(X385,FXRates[Currency],0)),"No rate"))</f>
        <v/>
      </c>
      <c r="AA385" s="32" t="n"/>
      <c r="AB385" s="32" t="n"/>
      <c r="AC385" s="36">
        <f>IF(A385="","",IF(COUNTIF($A$6:$A$504,A385)&gt;1,"⚠ Duplicate",""))</f>
        <v/>
      </c>
      <c r="AD385" s="43" t="n"/>
      <c r="AE385" s="43" t="n"/>
      <c r="AF385" s="43" t="n"/>
      <c r="AG385" s="43" t="n"/>
      <c r="AH385" s="43" t="n"/>
      <c r="AI385" s="43" t="n"/>
      <c r="AJ385" s="43" t="n"/>
      <c r="AK385" s="43" t="n"/>
      <c r="AL385" s="43" t="n"/>
      <c r="AM385" s="43" t="n"/>
      <c r="AN385" s="43" t="n"/>
      <c r="AO385" s="43" t="n"/>
      <c r="AP385" s="43" t="n"/>
      <c r="AQ385" s="43" t="n"/>
    </row>
    <row r="386" ht="18" customHeight="1" s="74">
      <c r="A386" s="38" t="n"/>
      <c r="B386" s="38" t="n"/>
      <c r="C386" s="38" t="n"/>
      <c r="D386" s="38" t="n"/>
      <c r="E386" s="39" t="n"/>
      <c r="F386" s="39" t="n"/>
      <c r="G386" s="39" t="n"/>
      <c r="H386" s="39" t="n"/>
      <c r="I386" s="39" t="n"/>
      <c r="J386" s="39" t="n"/>
      <c r="K386" s="39" t="n"/>
      <c r="L386" s="39" t="n"/>
      <c r="M386" s="39" t="n"/>
      <c r="N386" s="39" t="n"/>
      <c r="O386" s="39" t="n"/>
      <c r="P386" s="39" t="n"/>
      <c r="Q386" s="39" t="n"/>
      <c r="R386" s="39" t="n"/>
      <c r="S386" s="39" t="n"/>
      <c r="T386" s="39" t="n"/>
      <c r="U386" s="39" t="n"/>
      <c r="V386" s="39" t="n"/>
      <c r="W386" s="34" t="n"/>
      <c r="X386" s="39" t="n"/>
      <c r="Y386" s="40" t="n"/>
      <c r="Z386" s="158">
        <f>IF(OR(Y386="",X386=""),"",IFERROR(Y386*INDEX(FXRates[USD per unit],MATCH(X386,FXRates[Currency],0)),"No rate"))</f>
        <v/>
      </c>
      <c r="AA386" s="38" t="n"/>
      <c r="AB386" s="38" t="n"/>
      <c r="AC386" s="41">
        <f>IF(A386="","",IF(COUNTIF($A$6:$A$504,A386)&gt;1,"⚠ Duplicate",""))</f>
        <v/>
      </c>
      <c r="AD386" s="42" t="n"/>
      <c r="AE386" s="42" t="n"/>
      <c r="AF386" s="42" t="n"/>
      <c r="AG386" s="42" t="n"/>
      <c r="AH386" s="42" t="n"/>
      <c r="AI386" s="42" t="n"/>
      <c r="AJ386" s="42" t="n"/>
      <c r="AK386" s="42" t="n"/>
      <c r="AL386" s="42" t="n"/>
      <c r="AM386" s="42" t="n"/>
      <c r="AN386" s="42" t="n"/>
      <c r="AO386" s="42" t="n"/>
      <c r="AP386" s="42" t="n"/>
      <c r="AQ386" s="42" t="n"/>
    </row>
    <row r="387" ht="18" customHeight="1" s="74">
      <c r="A387" s="32" t="n"/>
      <c r="B387" s="32" t="n"/>
      <c r="C387" s="32" t="n"/>
      <c r="D387" s="32" t="n"/>
      <c r="E387" s="33" t="n"/>
      <c r="F387" s="33" t="n"/>
      <c r="G387" s="33" t="n"/>
      <c r="H387" s="33" t="n"/>
      <c r="I387" s="33" t="n"/>
      <c r="J387" s="33" t="n"/>
      <c r="K387" s="33" t="n"/>
      <c r="L387" s="33" t="n"/>
      <c r="M387" s="33" t="n"/>
      <c r="N387" s="33" t="n"/>
      <c r="O387" s="33" t="n"/>
      <c r="P387" s="33" t="n"/>
      <c r="Q387" s="33" t="n"/>
      <c r="R387" s="33" t="n"/>
      <c r="S387" s="33" t="n"/>
      <c r="T387" s="33" t="n"/>
      <c r="U387" s="33" t="n"/>
      <c r="V387" s="33" t="n"/>
      <c r="W387" s="34" t="n"/>
      <c r="X387" s="33" t="n"/>
      <c r="Y387" s="35" t="n"/>
      <c r="Z387" s="157">
        <f>IF(OR(Y387="",X387=""),"",IFERROR(Y387*INDEX(FXRates[USD per unit],MATCH(X387,FXRates[Currency],0)),"No rate"))</f>
        <v/>
      </c>
      <c r="AA387" s="32" t="n"/>
      <c r="AB387" s="32" t="n"/>
      <c r="AC387" s="36">
        <f>IF(A387="","",IF(COUNTIF($A$6:$A$504,A387)&gt;1,"⚠ Duplicate",""))</f>
        <v/>
      </c>
      <c r="AD387" s="43" t="n"/>
      <c r="AE387" s="43" t="n"/>
      <c r="AF387" s="43" t="n"/>
      <c r="AG387" s="43" t="n"/>
      <c r="AH387" s="43" t="n"/>
      <c r="AI387" s="43" t="n"/>
      <c r="AJ387" s="43" t="n"/>
      <c r="AK387" s="43" t="n"/>
      <c r="AL387" s="43" t="n"/>
      <c r="AM387" s="43" t="n"/>
      <c r="AN387" s="43" t="n"/>
      <c r="AO387" s="43" t="n"/>
      <c r="AP387" s="43" t="n"/>
      <c r="AQ387" s="43" t="n"/>
    </row>
    <row r="388" ht="18" customHeight="1" s="74">
      <c r="A388" s="38" t="n"/>
      <c r="B388" s="38" t="n"/>
      <c r="C388" s="38" t="n"/>
      <c r="D388" s="38" t="n"/>
      <c r="E388" s="39" t="n"/>
      <c r="F388" s="39" t="n"/>
      <c r="G388" s="39" t="n"/>
      <c r="H388" s="39" t="n"/>
      <c r="I388" s="39" t="n"/>
      <c r="J388" s="39" t="n"/>
      <c r="K388" s="39" t="n"/>
      <c r="L388" s="39" t="n"/>
      <c r="M388" s="39" t="n"/>
      <c r="N388" s="39" t="n"/>
      <c r="O388" s="39" t="n"/>
      <c r="P388" s="39" t="n"/>
      <c r="Q388" s="39" t="n"/>
      <c r="R388" s="39" t="n"/>
      <c r="S388" s="39" t="n"/>
      <c r="T388" s="39" t="n"/>
      <c r="U388" s="39" t="n"/>
      <c r="V388" s="39" t="n"/>
      <c r="W388" s="34" t="n"/>
      <c r="X388" s="39" t="n"/>
      <c r="Y388" s="40" t="n"/>
      <c r="Z388" s="158">
        <f>IF(OR(Y388="",X388=""),"",IFERROR(Y388*INDEX(FXRates[USD per unit],MATCH(X388,FXRates[Currency],0)),"No rate"))</f>
        <v/>
      </c>
      <c r="AA388" s="38" t="n"/>
      <c r="AB388" s="38" t="n"/>
      <c r="AC388" s="41">
        <f>IF(A388="","",IF(COUNTIF($A$6:$A$504,A388)&gt;1,"⚠ Duplicate",""))</f>
        <v/>
      </c>
      <c r="AD388" s="42" t="n"/>
      <c r="AE388" s="42" t="n"/>
      <c r="AF388" s="42" t="n"/>
      <c r="AG388" s="42" t="n"/>
      <c r="AH388" s="42" t="n"/>
      <c r="AI388" s="42" t="n"/>
      <c r="AJ388" s="42" t="n"/>
      <c r="AK388" s="42" t="n"/>
      <c r="AL388" s="42" t="n"/>
      <c r="AM388" s="42" t="n"/>
      <c r="AN388" s="42" t="n"/>
      <c r="AO388" s="42" t="n"/>
      <c r="AP388" s="42" t="n"/>
      <c r="AQ388" s="42" t="n"/>
    </row>
    <row r="389" ht="18" customHeight="1" s="74">
      <c r="A389" s="32" t="n"/>
      <c r="B389" s="32" t="n"/>
      <c r="C389" s="32" t="n"/>
      <c r="D389" s="32" t="n"/>
      <c r="E389" s="33" t="n"/>
      <c r="F389" s="33" t="n"/>
      <c r="G389" s="33" t="n"/>
      <c r="H389" s="33" t="n"/>
      <c r="I389" s="33" t="n"/>
      <c r="J389" s="33" t="n"/>
      <c r="K389" s="33" t="n"/>
      <c r="L389" s="33" t="n"/>
      <c r="M389" s="33" t="n"/>
      <c r="N389" s="33" t="n"/>
      <c r="O389" s="33" t="n"/>
      <c r="P389" s="33" t="n"/>
      <c r="Q389" s="33" t="n"/>
      <c r="R389" s="33" t="n"/>
      <c r="S389" s="33" t="n"/>
      <c r="T389" s="33" t="n"/>
      <c r="U389" s="33" t="n"/>
      <c r="V389" s="33" t="n"/>
      <c r="W389" s="34" t="n"/>
      <c r="X389" s="33" t="n"/>
      <c r="Y389" s="35" t="n"/>
      <c r="Z389" s="157">
        <f>IF(OR(Y389="",X389=""),"",IFERROR(Y389*INDEX(FXRates[USD per unit],MATCH(X389,FXRates[Currency],0)),"No rate"))</f>
        <v/>
      </c>
      <c r="AA389" s="32" t="n"/>
      <c r="AB389" s="32" t="n"/>
      <c r="AC389" s="36">
        <f>IF(A389="","",IF(COUNTIF($A$6:$A$504,A389)&gt;1,"⚠ Duplicate",""))</f>
        <v/>
      </c>
      <c r="AD389" s="43" t="n"/>
      <c r="AE389" s="43" t="n"/>
      <c r="AF389" s="43" t="n"/>
      <c r="AG389" s="43" t="n"/>
      <c r="AH389" s="43" t="n"/>
      <c r="AI389" s="43" t="n"/>
      <c r="AJ389" s="43" t="n"/>
      <c r="AK389" s="43" t="n"/>
      <c r="AL389" s="43" t="n"/>
      <c r="AM389" s="43" t="n"/>
      <c r="AN389" s="43" t="n"/>
      <c r="AO389" s="43" t="n"/>
      <c r="AP389" s="43" t="n"/>
      <c r="AQ389" s="43" t="n"/>
    </row>
    <row r="390" ht="18" customHeight="1" s="74">
      <c r="A390" s="38" t="n"/>
      <c r="B390" s="38" t="n"/>
      <c r="C390" s="38" t="n"/>
      <c r="D390" s="38" t="n"/>
      <c r="E390" s="39" t="n"/>
      <c r="F390" s="39" t="n"/>
      <c r="G390" s="39" t="n"/>
      <c r="H390" s="39" t="n"/>
      <c r="I390" s="39" t="n"/>
      <c r="J390" s="39" t="n"/>
      <c r="K390" s="39" t="n"/>
      <c r="L390" s="39" t="n"/>
      <c r="M390" s="39" t="n"/>
      <c r="N390" s="39" t="n"/>
      <c r="O390" s="39" t="n"/>
      <c r="P390" s="39" t="n"/>
      <c r="Q390" s="39" t="n"/>
      <c r="R390" s="39" t="n"/>
      <c r="S390" s="39" t="n"/>
      <c r="T390" s="39" t="n"/>
      <c r="U390" s="39" t="n"/>
      <c r="V390" s="39" t="n"/>
      <c r="W390" s="34" t="n"/>
      <c r="X390" s="39" t="n"/>
      <c r="Y390" s="40" t="n"/>
      <c r="Z390" s="158">
        <f>IF(OR(Y390="",X390=""),"",IFERROR(Y390*INDEX(FXRates[USD per unit],MATCH(X390,FXRates[Currency],0)),"No rate"))</f>
        <v/>
      </c>
      <c r="AA390" s="38" t="n"/>
      <c r="AB390" s="38" t="n"/>
      <c r="AC390" s="41">
        <f>IF(A390="","",IF(COUNTIF($A$6:$A$504,A390)&gt;1,"⚠ Duplicate",""))</f>
        <v/>
      </c>
      <c r="AD390" s="42" t="n"/>
      <c r="AE390" s="42" t="n"/>
      <c r="AF390" s="42" t="n"/>
      <c r="AG390" s="42" t="n"/>
      <c r="AH390" s="42" t="n"/>
      <c r="AI390" s="42" t="n"/>
      <c r="AJ390" s="42" t="n"/>
      <c r="AK390" s="42" t="n"/>
      <c r="AL390" s="42" t="n"/>
      <c r="AM390" s="42" t="n"/>
      <c r="AN390" s="42" t="n"/>
      <c r="AO390" s="42" t="n"/>
      <c r="AP390" s="42" t="n"/>
      <c r="AQ390" s="42" t="n"/>
    </row>
    <row r="391" ht="18" customHeight="1" s="74">
      <c r="A391" s="32" t="n"/>
      <c r="B391" s="32" t="n"/>
      <c r="C391" s="32" t="n"/>
      <c r="D391" s="32" t="n"/>
      <c r="E391" s="33" t="n"/>
      <c r="F391" s="33" t="n"/>
      <c r="G391" s="33" t="n"/>
      <c r="H391" s="33" t="n"/>
      <c r="I391" s="33" t="n"/>
      <c r="J391" s="33" t="n"/>
      <c r="K391" s="33" t="n"/>
      <c r="L391" s="33" t="n"/>
      <c r="M391" s="33" t="n"/>
      <c r="N391" s="33" t="n"/>
      <c r="O391" s="33" t="n"/>
      <c r="P391" s="33" t="n"/>
      <c r="Q391" s="33" t="n"/>
      <c r="R391" s="33" t="n"/>
      <c r="S391" s="33" t="n"/>
      <c r="T391" s="33" t="n"/>
      <c r="U391" s="33" t="n"/>
      <c r="V391" s="33" t="n"/>
      <c r="W391" s="34" t="n"/>
      <c r="X391" s="33" t="n"/>
      <c r="Y391" s="35" t="n"/>
      <c r="Z391" s="157">
        <f>IF(OR(Y391="",X391=""),"",IFERROR(Y391*INDEX(FXRates[USD per unit],MATCH(X391,FXRates[Currency],0)),"No rate"))</f>
        <v/>
      </c>
      <c r="AA391" s="32" t="n"/>
      <c r="AB391" s="32" t="n"/>
      <c r="AC391" s="36">
        <f>IF(A391="","",IF(COUNTIF($A$6:$A$504,A391)&gt;1,"⚠ Duplicate",""))</f>
        <v/>
      </c>
      <c r="AD391" s="43" t="n"/>
      <c r="AE391" s="43" t="n"/>
      <c r="AF391" s="43" t="n"/>
      <c r="AG391" s="43" t="n"/>
      <c r="AH391" s="43" t="n"/>
      <c r="AI391" s="43" t="n"/>
      <c r="AJ391" s="43" t="n"/>
      <c r="AK391" s="43" t="n"/>
      <c r="AL391" s="43" t="n"/>
      <c r="AM391" s="43" t="n"/>
      <c r="AN391" s="43" t="n"/>
      <c r="AO391" s="43" t="n"/>
      <c r="AP391" s="43" t="n"/>
      <c r="AQ391" s="43" t="n"/>
    </row>
    <row r="392" ht="18" customHeight="1" s="74">
      <c r="A392" s="38" t="n"/>
      <c r="B392" s="38" t="n"/>
      <c r="C392" s="38" t="n"/>
      <c r="D392" s="38" t="n"/>
      <c r="E392" s="39" t="n"/>
      <c r="F392" s="39" t="n"/>
      <c r="G392" s="39" t="n"/>
      <c r="H392" s="39" t="n"/>
      <c r="I392" s="39" t="n"/>
      <c r="J392" s="39" t="n"/>
      <c r="K392" s="39" t="n"/>
      <c r="L392" s="39" t="n"/>
      <c r="M392" s="39" t="n"/>
      <c r="N392" s="39" t="n"/>
      <c r="O392" s="39" t="n"/>
      <c r="P392" s="39" t="n"/>
      <c r="Q392" s="39" t="n"/>
      <c r="R392" s="39" t="n"/>
      <c r="S392" s="39" t="n"/>
      <c r="T392" s="39" t="n"/>
      <c r="U392" s="39" t="n"/>
      <c r="V392" s="39" t="n"/>
      <c r="W392" s="34" t="n"/>
      <c r="X392" s="39" t="n"/>
      <c r="Y392" s="40" t="n"/>
      <c r="Z392" s="158">
        <f>IF(OR(Y392="",X392=""),"",IFERROR(Y392*INDEX(FXRates[USD per unit],MATCH(X392,FXRates[Currency],0)),"No rate"))</f>
        <v/>
      </c>
      <c r="AA392" s="38" t="n"/>
      <c r="AB392" s="38" t="n"/>
      <c r="AC392" s="41">
        <f>IF(A392="","",IF(COUNTIF($A$6:$A$504,A392)&gt;1,"⚠ Duplicate",""))</f>
        <v/>
      </c>
      <c r="AD392" s="42" t="n"/>
      <c r="AE392" s="42" t="n"/>
      <c r="AF392" s="42" t="n"/>
      <c r="AG392" s="42" t="n"/>
      <c r="AH392" s="42" t="n"/>
      <c r="AI392" s="42" t="n"/>
      <c r="AJ392" s="42" t="n"/>
      <c r="AK392" s="42" t="n"/>
      <c r="AL392" s="42" t="n"/>
      <c r="AM392" s="42" t="n"/>
      <c r="AN392" s="42" t="n"/>
      <c r="AO392" s="42" t="n"/>
      <c r="AP392" s="42" t="n"/>
      <c r="AQ392" s="42" t="n"/>
    </row>
    <row r="393" ht="18" customHeight="1" s="74">
      <c r="A393" s="32" t="n"/>
      <c r="B393" s="32" t="n"/>
      <c r="C393" s="32" t="n"/>
      <c r="D393" s="32" t="n"/>
      <c r="E393" s="33" t="n"/>
      <c r="F393" s="33" t="n"/>
      <c r="G393" s="33" t="n"/>
      <c r="H393" s="33" t="n"/>
      <c r="I393" s="33" t="n"/>
      <c r="J393" s="33" t="n"/>
      <c r="K393" s="33" t="n"/>
      <c r="L393" s="33" t="n"/>
      <c r="M393" s="33" t="n"/>
      <c r="N393" s="33" t="n"/>
      <c r="O393" s="33" t="n"/>
      <c r="P393" s="33" t="n"/>
      <c r="Q393" s="33" t="n"/>
      <c r="R393" s="33" t="n"/>
      <c r="S393" s="33" t="n"/>
      <c r="T393" s="33" t="n"/>
      <c r="U393" s="33" t="n"/>
      <c r="V393" s="33" t="n"/>
      <c r="W393" s="34" t="n"/>
      <c r="X393" s="33" t="n"/>
      <c r="Y393" s="35" t="n"/>
      <c r="Z393" s="157">
        <f>IF(OR(Y393="",X393=""),"",IFERROR(Y393*INDEX(FXRates[USD per unit],MATCH(X393,FXRates[Currency],0)),"No rate"))</f>
        <v/>
      </c>
      <c r="AA393" s="32" t="n"/>
      <c r="AB393" s="32" t="n"/>
      <c r="AC393" s="36">
        <f>IF(A393="","",IF(COUNTIF($A$6:$A$504,A393)&gt;1,"⚠ Duplicate",""))</f>
        <v/>
      </c>
      <c r="AD393" s="43" t="n"/>
      <c r="AE393" s="43" t="n"/>
      <c r="AF393" s="43" t="n"/>
      <c r="AG393" s="43" t="n"/>
      <c r="AH393" s="43" t="n"/>
      <c r="AI393" s="43" t="n"/>
      <c r="AJ393" s="43" t="n"/>
      <c r="AK393" s="43" t="n"/>
      <c r="AL393" s="43" t="n"/>
      <c r="AM393" s="43" t="n"/>
      <c r="AN393" s="43" t="n"/>
      <c r="AO393" s="43" t="n"/>
      <c r="AP393" s="43" t="n"/>
      <c r="AQ393" s="43" t="n"/>
    </row>
    <row r="394" ht="18" customHeight="1" s="74">
      <c r="A394" s="38" t="n"/>
      <c r="B394" s="38" t="n"/>
      <c r="C394" s="38" t="n"/>
      <c r="D394" s="38" t="n"/>
      <c r="E394" s="39" t="n"/>
      <c r="F394" s="39" t="n"/>
      <c r="G394" s="39" t="n"/>
      <c r="H394" s="39" t="n"/>
      <c r="I394" s="39" t="n"/>
      <c r="J394" s="39" t="n"/>
      <c r="K394" s="39" t="n"/>
      <c r="L394" s="39" t="n"/>
      <c r="M394" s="39" t="n"/>
      <c r="N394" s="39" t="n"/>
      <c r="O394" s="39" t="n"/>
      <c r="P394" s="39" t="n"/>
      <c r="Q394" s="39" t="n"/>
      <c r="R394" s="39" t="n"/>
      <c r="S394" s="39" t="n"/>
      <c r="T394" s="39" t="n"/>
      <c r="U394" s="39" t="n"/>
      <c r="V394" s="39" t="n"/>
      <c r="W394" s="34" t="n"/>
      <c r="X394" s="39" t="n"/>
      <c r="Y394" s="40" t="n"/>
      <c r="Z394" s="158">
        <f>IF(OR(Y394="",X394=""),"",IFERROR(Y394*INDEX(FXRates[USD per unit],MATCH(X394,FXRates[Currency],0)),"No rate"))</f>
        <v/>
      </c>
      <c r="AA394" s="38" t="n"/>
      <c r="AB394" s="38" t="n"/>
      <c r="AC394" s="41">
        <f>IF(A394="","",IF(COUNTIF($A$6:$A$504,A394)&gt;1,"⚠ Duplicate",""))</f>
        <v/>
      </c>
      <c r="AD394" s="42" t="n"/>
      <c r="AE394" s="42" t="n"/>
      <c r="AF394" s="42" t="n"/>
      <c r="AG394" s="42" t="n"/>
      <c r="AH394" s="42" t="n"/>
      <c r="AI394" s="42" t="n"/>
      <c r="AJ394" s="42" t="n"/>
      <c r="AK394" s="42" t="n"/>
      <c r="AL394" s="42" t="n"/>
      <c r="AM394" s="42" t="n"/>
      <c r="AN394" s="42" t="n"/>
      <c r="AO394" s="42" t="n"/>
      <c r="AP394" s="42" t="n"/>
      <c r="AQ394" s="42" t="n"/>
    </row>
    <row r="395" ht="18" customHeight="1" s="74">
      <c r="A395" s="32" t="n"/>
      <c r="B395" s="32" t="n"/>
      <c r="C395" s="32" t="n"/>
      <c r="D395" s="32" t="n"/>
      <c r="E395" s="33" t="n"/>
      <c r="F395" s="33" t="n"/>
      <c r="G395" s="33" t="n"/>
      <c r="H395" s="33" t="n"/>
      <c r="I395" s="33" t="n"/>
      <c r="J395" s="33" t="n"/>
      <c r="K395" s="33" t="n"/>
      <c r="L395" s="33" t="n"/>
      <c r="M395" s="33" t="n"/>
      <c r="N395" s="33" t="n"/>
      <c r="O395" s="33" t="n"/>
      <c r="P395" s="33" t="n"/>
      <c r="Q395" s="33" t="n"/>
      <c r="R395" s="33" t="n"/>
      <c r="S395" s="33" t="n"/>
      <c r="T395" s="33" t="n"/>
      <c r="U395" s="33" t="n"/>
      <c r="V395" s="33" t="n"/>
      <c r="W395" s="34" t="n"/>
      <c r="X395" s="33" t="n"/>
      <c r="Y395" s="35" t="n"/>
      <c r="Z395" s="157">
        <f>IF(OR(Y395="",X395=""),"",IFERROR(Y395*INDEX(FXRates[USD per unit],MATCH(X395,FXRates[Currency],0)),"No rate"))</f>
        <v/>
      </c>
      <c r="AA395" s="32" t="n"/>
      <c r="AB395" s="32" t="n"/>
      <c r="AC395" s="36">
        <f>IF(A395="","",IF(COUNTIF($A$6:$A$504,A395)&gt;1,"⚠ Duplicate",""))</f>
        <v/>
      </c>
      <c r="AD395" s="43" t="n"/>
      <c r="AE395" s="43" t="n"/>
      <c r="AF395" s="43" t="n"/>
      <c r="AG395" s="43" t="n"/>
      <c r="AH395" s="43" t="n"/>
      <c r="AI395" s="43" t="n"/>
      <c r="AJ395" s="43" t="n"/>
      <c r="AK395" s="43" t="n"/>
      <c r="AL395" s="43" t="n"/>
      <c r="AM395" s="43" t="n"/>
      <c r="AN395" s="43" t="n"/>
      <c r="AO395" s="43" t="n"/>
      <c r="AP395" s="43" t="n"/>
      <c r="AQ395" s="43" t="n"/>
    </row>
    <row r="396" ht="18" customHeight="1" s="74">
      <c r="A396" s="38" t="n"/>
      <c r="B396" s="38" t="n"/>
      <c r="C396" s="38" t="n"/>
      <c r="D396" s="38" t="n"/>
      <c r="E396" s="39" t="n"/>
      <c r="F396" s="39" t="n"/>
      <c r="G396" s="39" t="n"/>
      <c r="H396" s="39" t="n"/>
      <c r="I396" s="39" t="n"/>
      <c r="J396" s="39" t="n"/>
      <c r="K396" s="39" t="n"/>
      <c r="L396" s="39" t="n"/>
      <c r="M396" s="39" t="n"/>
      <c r="N396" s="39" t="n"/>
      <c r="O396" s="39" t="n"/>
      <c r="P396" s="39" t="n"/>
      <c r="Q396" s="39" t="n"/>
      <c r="R396" s="39" t="n"/>
      <c r="S396" s="39" t="n"/>
      <c r="T396" s="39" t="n"/>
      <c r="U396" s="39" t="n"/>
      <c r="V396" s="39" t="n"/>
      <c r="W396" s="34" t="n"/>
      <c r="X396" s="39" t="n"/>
      <c r="Y396" s="40" t="n"/>
      <c r="Z396" s="158">
        <f>IF(OR(Y396="",X396=""),"",IFERROR(Y396*INDEX(FXRates[USD per unit],MATCH(X396,FXRates[Currency],0)),"No rate"))</f>
        <v/>
      </c>
      <c r="AA396" s="38" t="n"/>
      <c r="AB396" s="38" t="n"/>
      <c r="AC396" s="41">
        <f>IF(A396="","",IF(COUNTIF($A$6:$A$504,A396)&gt;1,"⚠ Duplicate",""))</f>
        <v/>
      </c>
      <c r="AD396" s="42" t="n"/>
      <c r="AE396" s="42" t="n"/>
      <c r="AF396" s="42" t="n"/>
      <c r="AG396" s="42" t="n"/>
      <c r="AH396" s="42" t="n"/>
      <c r="AI396" s="42" t="n"/>
      <c r="AJ396" s="42" t="n"/>
      <c r="AK396" s="42" t="n"/>
      <c r="AL396" s="42" t="n"/>
      <c r="AM396" s="42" t="n"/>
      <c r="AN396" s="42" t="n"/>
      <c r="AO396" s="42" t="n"/>
      <c r="AP396" s="42" t="n"/>
      <c r="AQ396" s="42" t="n"/>
    </row>
    <row r="397" ht="18" customHeight="1" s="74">
      <c r="A397" s="32" t="n"/>
      <c r="B397" s="32" t="n"/>
      <c r="C397" s="32" t="n"/>
      <c r="D397" s="32" t="n"/>
      <c r="E397" s="33" t="n"/>
      <c r="F397" s="33" t="n"/>
      <c r="G397" s="33" t="n"/>
      <c r="H397" s="33" t="n"/>
      <c r="I397" s="33" t="n"/>
      <c r="J397" s="33" t="n"/>
      <c r="K397" s="33" t="n"/>
      <c r="L397" s="33" t="n"/>
      <c r="M397" s="33" t="n"/>
      <c r="N397" s="33" t="n"/>
      <c r="O397" s="33" t="n"/>
      <c r="P397" s="33" t="n"/>
      <c r="Q397" s="33" t="n"/>
      <c r="R397" s="33" t="n"/>
      <c r="S397" s="33" t="n"/>
      <c r="T397" s="33" t="n"/>
      <c r="U397" s="33" t="n"/>
      <c r="V397" s="33" t="n"/>
      <c r="W397" s="34" t="n"/>
      <c r="X397" s="33" t="n"/>
      <c r="Y397" s="35" t="n"/>
      <c r="Z397" s="157">
        <f>IF(OR(Y397="",X397=""),"",IFERROR(Y397*INDEX(FXRates[USD per unit],MATCH(X397,FXRates[Currency],0)),"No rate"))</f>
        <v/>
      </c>
      <c r="AA397" s="32" t="n"/>
      <c r="AB397" s="32" t="n"/>
      <c r="AC397" s="36">
        <f>IF(A397="","",IF(COUNTIF($A$6:$A$504,A397)&gt;1,"⚠ Duplicate",""))</f>
        <v/>
      </c>
      <c r="AD397" s="43" t="n"/>
      <c r="AE397" s="43" t="n"/>
      <c r="AF397" s="43" t="n"/>
      <c r="AG397" s="43" t="n"/>
      <c r="AH397" s="43" t="n"/>
      <c r="AI397" s="43" t="n"/>
      <c r="AJ397" s="43" t="n"/>
      <c r="AK397" s="43" t="n"/>
      <c r="AL397" s="43" t="n"/>
      <c r="AM397" s="43" t="n"/>
      <c r="AN397" s="43" t="n"/>
      <c r="AO397" s="43" t="n"/>
      <c r="AP397" s="43" t="n"/>
      <c r="AQ397" s="43" t="n"/>
    </row>
    <row r="398" ht="18" customHeight="1" s="74">
      <c r="A398" s="38" t="n"/>
      <c r="B398" s="38" t="n"/>
      <c r="C398" s="38" t="n"/>
      <c r="D398" s="38" t="n"/>
      <c r="E398" s="39" t="n"/>
      <c r="F398" s="39" t="n"/>
      <c r="G398" s="39" t="n"/>
      <c r="H398" s="39" t="n"/>
      <c r="I398" s="39" t="n"/>
      <c r="J398" s="39" t="n"/>
      <c r="K398" s="39" t="n"/>
      <c r="L398" s="39" t="n"/>
      <c r="M398" s="39" t="n"/>
      <c r="N398" s="39" t="n"/>
      <c r="O398" s="39" t="n"/>
      <c r="P398" s="39" t="n"/>
      <c r="Q398" s="39" t="n"/>
      <c r="R398" s="39" t="n"/>
      <c r="S398" s="39" t="n"/>
      <c r="T398" s="39" t="n"/>
      <c r="U398" s="39" t="n"/>
      <c r="V398" s="39" t="n"/>
      <c r="W398" s="34" t="n"/>
      <c r="X398" s="39" t="n"/>
      <c r="Y398" s="40" t="n"/>
      <c r="Z398" s="158">
        <f>IF(OR(Y398="",X398=""),"",IFERROR(Y398*INDEX(FXRates[USD per unit],MATCH(X398,FXRates[Currency],0)),"No rate"))</f>
        <v/>
      </c>
      <c r="AA398" s="38" t="n"/>
      <c r="AB398" s="38" t="n"/>
      <c r="AC398" s="41">
        <f>IF(A398="","",IF(COUNTIF($A$6:$A$504,A398)&gt;1,"⚠ Duplicate",""))</f>
        <v/>
      </c>
      <c r="AD398" s="42" t="n"/>
      <c r="AE398" s="42" t="n"/>
      <c r="AF398" s="42" t="n"/>
      <c r="AG398" s="42" t="n"/>
      <c r="AH398" s="42" t="n"/>
      <c r="AI398" s="42" t="n"/>
      <c r="AJ398" s="42" t="n"/>
      <c r="AK398" s="42" t="n"/>
      <c r="AL398" s="42" t="n"/>
      <c r="AM398" s="42" t="n"/>
      <c r="AN398" s="42" t="n"/>
      <c r="AO398" s="42" t="n"/>
      <c r="AP398" s="42" t="n"/>
      <c r="AQ398" s="42" t="n"/>
    </row>
    <row r="399" ht="18" customHeight="1" s="74">
      <c r="A399" s="32" t="n"/>
      <c r="B399" s="32" t="n"/>
      <c r="C399" s="32" t="n"/>
      <c r="D399" s="32" t="n"/>
      <c r="E399" s="33" t="n"/>
      <c r="F399" s="33" t="n"/>
      <c r="G399" s="33" t="n"/>
      <c r="H399" s="33" t="n"/>
      <c r="I399" s="33" t="n"/>
      <c r="J399" s="33" t="n"/>
      <c r="K399" s="33" t="n"/>
      <c r="L399" s="33" t="n"/>
      <c r="M399" s="33" t="n"/>
      <c r="N399" s="33" t="n"/>
      <c r="O399" s="33" t="n"/>
      <c r="P399" s="33" t="n"/>
      <c r="Q399" s="33" t="n"/>
      <c r="R399" s="33" t="n"/>
      <c r="S399" s="33" t="n"/>
      <c r="T399" s="33" t="n"/>
      <c r="U399" s="33" t="n"/>
      <c r="V399" s="33" t="n"/>
      <c r="W399" s="34" t="n"/>
      <c r="X399" s="33" t="n"/>
      <c r="Y399" s="35" t="n"/>
      <c r="Z399" s="157">
        <f>IF(OR(Y399="",X399=""),"",IFERROR(Y399*INDEX(FXRates[USD per unit],MATCH(X399,FXRates[Currency],0)),"No rate"))</f>
        <v/>
      </c>
      <c r="AA399" s="32" t="n"/>
      <c r="AB399" s="32" t="n"/>
      <c r="AC399" s="36">
        <f>IF(A399="","",IF(COUNTIF($A$6:$A$504,A399)&gt;1,"⚠ Duplicate",""))</f>
        <v/>
      </c>
      <c r="AD399" s="43" t="n"/>
      <c r="AE399" s="43" t="n"/>
      <c r="AF399" s="43" t="n"/>
      <c r="AG399" s="43" t="n"/>
      <c r="AH399" s="43" t="n"/>
      <c r="AI399" s="43" t="n"/>
      <c r="AJ399" s="43" t="n"/>
      <c r="AK399" s="43" t="n"/>
      <c r="AL399" s="43" t="n"/>
      <c r="AM399" s="43" t="n"/>
      <c r="AN399" s="43" t="n"/>
      <c r="AO399" s="43" t="n"/>
      <c r="AP399" s="43" t="n"/>
      <c r="AQ399" s="43" t="n"/>
    </row>
    <row r="400" ht="18" customHeight="1" s="74">
      <c r="A400" s="38" t="n"/>
      <c r="B400" s="38" t="n"/>
      <c r="C400" s="38" t="n"/>
      <c r="D400" s="38" t="n"/>
      <c r="E400" s="39" t="n"/>
      <c r="F400" s="39" t="n"/>
      <c r="G400" s="39" t="n"/>
      <c r="H400" s="39" t="n"/>
      <c r="I400" s="39" t="n"/>
      <c r="J400" s="39" t="n"/>
      <c r="K400" s="39" t="n"/>
      <c r="L400" s="39" t="n"/>
      <c r="M400" s="39" t="n"/>
      <c r="N400" s="39" t="n"/>
      <c r="O400" s="39" t="n"/>
      <c r="P400" s="39" t="n"/>
      <c r="Q400" s="39" t="n"/>
      <c r="R400" s="39" t="n"/>
      <c r="S400" s="39" t="n"/>
      <c r="T400" s="39" t="n"/>
      <c r="U400" s="39" t="n"/>
      <c r="V400" s="39" t="n"/>
      <c r="W400" s="34" t="n"/>
      <c r="X400" s="39" t="n"/>
      <c r="Y400" s="40" t="n"/>
      <c r="Z400" s="158">
        <f>IF(OR(Y400="",X400=""),"",IFERROR(Y400*INDEX(FXRates[USD per unit],MATCH(X400,FXRates[Currency],0)),"No rate"))</f>
        <v/>
      </c>
      <c r="AA400" s="38" t="n"/>
      <c r="AB400" s="38" t="n"/>
      <c r="AC400" s="41">
        <f>IF(A400="","",IF(COUNTIF($A$6:$A$504,A400)&gt;1,"⚠ Duplicate",""))</f>
        <v/>
      </c>
      <c r="AD400" s="42" t="n"/>
      <c r="AE400" s="42" t="n"/>
      <c r="AF400" s="42" t="n"/>
      <c r="AG400" s="42" t="n"/>
      <c r="AH400" s="42" t="n"/>
      <c r="AI400" s="42" t="n"/>
      <c r="AJ400" s="42" t="n"/>
      <c r="AK400" s="42" t="n"/>
      <c r="AL400" s="42" t="n"/>
      <c r="AM400" s="42" t="n"/>
      <c r="AN400" s="42" t="n"/>
      <c r="AO400" s="42" t="n"/>
      <c r="AP400" s="42" t="n"/>
      <c r="AQ400" s="42" t="n"/>
    </row>
    <row r="401" ht="18" customHeight="1" s="74">
      <c r="A401" s="32" t="n"/>
      <c r="B401" s="32" t="n"/>
      <c r="C401" s="32" t="n"/>
      <c r="D401" s="32" t="n"/>
      <c r="E401" s="33" t="n"/>
      <c r="F401" s="33" t="n"/>
      <c r="G401" s="33" t="n"/>
      <c r="H401" s="33" t="n"/>
      <c r="I401" s="33" t="n"/>
      <c r="J401" s="33" t="n"/>
      <c r="K401" s="33" t="n"/>
      <c r="L401" s="33" t="n"/>
      <c r="M401" s="33" t="n"/>
      <c r="N401" s="33" t="n"/>
      <c r="O401" s="33" t="n"/>
      <c r="P401" s="33" t="n"/>
      <c r="Q401" s="33" t="n"/>
      <c r="R401" s="33" t="n"/>
      <c r="S401" s="33" t="n"/>
      <c r="T401" s="33" t="n"/>
      <c r="U401" s="33" t="n"/>
      <c r="V401" s="33" t="n"/>
      <c r="W401" s="34" t="n"/>
      <c r="X401" s="33" t="n"/>
      <c r="Y401" s="35" t="n"/>
      <c r="Z401" s="157">
        <f>IF(OR(Y401="",X401=""),"",IFERROR(Y401*INDEX(FXRates[USD per unit],MATCH(X401,FXRates[Currency],0)),"No rate"))</f>
        <v/>
      </c>
      <c r="AA401" s="32" t="n"/>
      <c r="AB401" s="32" t="n"/>
      <c r="AC401" s="36">
        <f>IF(A401="","",IF(COUNTIF($A$6:$A$504,A401)&gt;1,"⚠ Duplicate",""))</f>
        <v/>
      </c>
      <c r="AD401" s="43" t="n"/>
      <c r="AE401" s="43" t="n"/>
      <c r="AF401" s="43" t="n"/>
      <c r="AG401" s="43" t="n"/>
      <c r="AH401" s="43" t="n"/>
      <c r="AI401" s="43" t="n"/>
      <c r="AJ401" s="43" t="n"/>
      <c r="AK401" s="43" t="n"/>
      <c r="AL401" s="43" t="n"/>
      <c r="AM401" s="43" t="n"/>
      <c r="AN401" s="43" t="n"/>
      <c r="AO401" s="43" t="n"/>
      <c r="AP401" s="43" t="n"/>
      <c r="AQ401" s="43" t="n"/>
    </row>
    <row r="402" ht="18" customHeight="1" s="74">
      <c r="A402" s="38" t="n"/>
      <c r="B402" s="38" t="n"/>
      <c r="C402" s="38" t="n"/>
      <c r="D402" s="38" t="n"/>
      <c r="E402" s="39" t="n"/>
      <c r="F402" s="39" t="n"/>
      <c r="G402" s="39" t="n"/>
      <c r="H402" s="39" t="n"/>
      <c r="I402" s="39" t="n"/>
      <c r="J402" s="39" t="n"/>
      <c r="K402" s="39" t="n"/>
      <c r="L402" s="39" t="n"/>
      <c r="M402" s="39" t="n"/>
      <c r="N402" s="39" t="n"/>
      <c r="O402" s="39" t="n"/>
      <c r="P402" s="39" t="n"/>
      <c r="Q402" s="39" t="n"/>
      <c r="R402" s="39" t="n"/>
      <c r="S402" s="39" t="n"/>
      <c r="T402" s="39" t="n"/>
      <c r="U402" s="39" t="n"/>
      <c r="V402" s="39" t="n"/>
      <c r="W402" s="34" t="n"/>
      <c r="X402" s="39" t="n"/>
      <c r="Y402" s="40" t="n"/>
      <c r="Z402" s="158">
        <f>IF(OR(Y402="",X402=""),"",IFERROR(Y402*INDEX(FXRates[USD per unit],MATCH(X402,FXRates[Currency],0)),"No rate"))</f>
        <v/>
      </c>
      <c r="AA402" s="38" t="n"/>
      <c r="AB402" s="38" t="n"/>
      <c r="AC402" s="41">
        <f>IF(A402="","",IF(COUNTIF($A$6:$A$504,A402)&gt;1,"⚠ Duplicate",""))</f>
        <v/>
      </c>
      <c r="AD402" s="42" t="n"/>
      <c r="AE402" s="42" t="n"/>
      <c r="AF402" s="42" t="n"/>
      <c r="AG402" s="42" t="n"/>
      <c r="AH402" s="42" t="n"/>
      <c r="AI402" s="42" t="n"/>
      <c r="AJ402" s="42" t="n"/>
      <c r="AK402" s="42" t="n"/>
      <c r="AL402" s="42" t="n"/>
      <c r="AM402" s="42" t="n"/>
      <c r="AN402" s="42" t="n"/>
      <c r="AO402" s="42" t="n"/>
      <c r="AP402" s="42" t="n"/>
      <c r="AQ402" s="42" t="n"/>
    </row>
    <row r="403" ht="18" customHeight="1" s="74">
      <c r="A403" s="32" t="n"/>
      <c r="B403" s="32" t="n"/>
      <c r="C403" s="32" t="n"/>
      <c r="D403" s="32" t="n"/>
      <c r="E403" s="33" t="n"/>
      <c r="F403" s="33" t="n"/>
      <c r="G403" s="33" t="n"/>
      <c r="H403" s="33" t="n"/>
      <c r="I403" s="33" t="n"/>
      <c r="J403" s="33" t="n"/>
      <c r="K403" s="33" t="n"/>
      <c r="L403" s="33" t="n"/>
      <c r="M403" s="33" t="n"/>
      <c r="N403" s="33" t="n"/>
      <c r="O403" s="33" t="n"/>
      <c r="P403" s="33" t="n"/>
      <c r="Q403" s="33" t="n"/>
      <c r="R403" s="33" t="n"/>
      <c r="S403" s="33" t="n"/>
      <c r="T403" s="33" t="n"/>
      <c r="U403" s="33" t="n"/>
      <c r="V403" s="33" t="n"/>
      <c r="W403" s="34" t="n"/>
      <c r="X403" s="33" t="n"/>
      <c r="Y403" s="35" t="n"/>
      <c r="Z403" s="157">
        <f>IF(OR(Y403="",X403=""),"",IFERROR(Y403*INDEX(FXRates[USD per unit],MATCH(X403,FXRates[Currency],0)),"No rate"))</f>
        <v/>
      </c>
      <c r="AA403" s="32" t="n"/>
      <c r="AB403" s="32" t="n"/>
      <c r="AC403" s="36">
        <f>IF(A403="","",IF(COUNTIF($A$6:$A$504,A403)&gt;1,"⚠ Duplicate",""))</f>
        <v/>
      </c>
      <c r="AD403" s="43" t="n"/>
      <c r="AE403" s="43" t="n"/>
      <c r="AF403" s="43" t="n"/>
      <c r="AG403" s="43" t="n"/>
      <c r="AH403" s="43" t="n"/>
      <c r="AI403" s="43" t="n"/>
      <c r="AJ403" s="43" t="n"/>
      <c r="AK403" s="43" t="n"/>
      <c r="AL403" s="43" t="n"/>
      <c r="AM403" s="43" t="n"/>
      <c r="AN403" s="43" t="n"/>
      <c r="AO403" s="43" t="n"/>
      <c r="AP403" s="43" t="n"/>
      <c r="AQ403" s="43" t="n"/>
    </row>
    <row r="404" ht="18" customHeight="1" s="74">
      <c r="A404" s="38" t="n"/>
      <c r="B404" s="38" t="n"/>
      <c r="C404" s="38" t="n"/>
      <c r="D404" s="38" t="n"/>
      <c r="E404" s="39" t="n"/>
      <c r="F404" s="39" t="n"/>
      <c r="G404" s="39" t="n"/>
      <c r="H404" s="39" t="n"/>
      <c r="I404" s="39" t="n"/>
      <c r="J404" s="39" t="n"/>
      <c r="K404" s="39" t="n"/>
      <c r="L404" s="39" t="n"/>
      <c r="M404" s="39" t="n"/>
      <c r="N404" s="39" t="n"/>
      <c r="O404" s="39" t="n"/>
      <c r="P404" s="39" t="n"/>
      <c r="Q404" s="39" t="n"/>
      <c r="R404" s="39" t="n"/>
      <c r="S404" s="39" t="n"/>
      <c r="T404" s="39" t="n"/>
      <c r="U404" s="39" t="n"/>
      <c r="V404" s="39" t="n"/>
      <c r="W404" s="34" t="n"/>
      <c r="X404" s="39" t="n"/>
      <c r="Y404" s="40" t="n"/>
      <c r="Z404" s="158">
        <f>IF(OR(Y404="",X404=""),"",IFERROR(Y404*INDEX(FXRates[USD per unit],MATCH(X404,FXRates[Currency],0)),"No rate"))</f>
        <v/>
      </c>
      <c r="AA404" s="38" t="n"/>
      <c r="AB404" s="38" t="n"/>
      <c r="AC404" s="41">
        <f>IF(A404="","",IF(COUNTIF($A$6:$A$504,A404)&gt;1,"⚠ Duplicate",""))</f>
        <v/>
      </c>
      <c r="AD404" s="42" t="n"/>
      <c r="AE404" s="42" t="n"/>
      <c r="AF404" s="42" t="n"/>
      <c r="AG404" s="42" t="n"/>
      <c r="AH404" s="42" t="n"/>
      <c r="AI404" s="42" t="n"/>
      <c r="AJ404" s="42" t="n"/>
      <c r="AK404" s="42" t="n"/>
      <c r="AL404" s="42" t="n"/>
      <c r="AM404" s="42" t="n"/>
      <c r="AN404" s="42" t="n"/>
      <c r="AO404" s="42" t="n"/>
      <c r="AP404" s="42" t="n"/>
      <c r="AQ404" s="42" t="n"/>
    </row>
    <row r="405" ht="18" customHeight="1" s="74">
      <c r="A405" s="32" t="n"/>
      <c r="B405" s="32" t="n"/>
      <c r="C405" s="32" t="n"/>
      <c r="D405" s="32" t="n"/>
      <c r="E405" s="33" t="n"/>
      <c r="F405" s="33" t="n"/>
      <c r="G405" s="33" t="n"/>
      <c r="H405" s="33" t="n"/>
      <c r="I405" s="33" t="n"/>
      <c r="J405" s="33" t="n"/>
      <c r="K405" s="33" t="n"/>
      <c r="L405" s="33" t="n"/>
      <c r="M405" s="33" t="n"/>
      <c r="N405" s="33" t="n"/>
      <c r="O405" s="33" t="n"/>
      <c r="P405" s="33" t="n"/>
      <c r="Q405" s="33" t="n"/>
      <c r="R405" s="33" t="n"/>
      <c r="S405" s="33" t="n"/>
      <c r="T405" s="33" t="n"/>
      <c r="U405" s="33" t="n"/>
      <c r="V405" s="33" t="n"/>
      <c r="W405" s="34" t="n"/>
      <c r="X405" s="33" t="n"/>
      <c r="Y405" s="35" t="n"/>
      <c r="Z405" s="157">
        <f>IF(OR(Y405="",X405=""),"",IFERROR(Y405*INDEX(FXRates[USD per unit],MATCH(X405,FXRates[Currency],0)),"No rate"))</f>
        <v/>
      </c>
      <c r="AA405" s="32" t="n"/>
      <c r="AB405" s="32" t="n"/>
      <c r="AC405" s="36">
        <f>IF(A405="","",IF(COUNTIF($A$6:$A$504,A405)&gt;1,"⚠ Duplicate",""))</f>
        <v/>
      </c>
      <c r="AD405" s="43" t="n"/>
      <c r="AE405" s="43" t="n"/>
      <c r="AF405" s="43" t="n"/>
      <c r="AG405" s="43" t="n"/>
      <c r="AH405" s="43" t="n"/>
      <c r="AI405" s="43" t="n"/>
      <c r="AJ405" s="43" t="n"/>
      <c r="AK405" s="43" t="n"/>
      <c r="AL405" s="43" t="n"/>
      <c r="AM405" s="43" t="n"/>
      <c r="AN405" s="43" t="n"/>
      <c r="AO405" s="43" t="n"/>
      <c r="AP405" s="43" t="n"/>
      <c r="AQ405" s="43" t="n"/>
    </row>
    <row r="406" ht="18" customHeight="1" s="74">
      <c r="A406" s="38" t="n"/>
      <c r="B406" s="38" t="n"/>
      <c r="C406" s="38" t="n"/>
      <c r="D406" s="38" t="n"/>
      <c r="E406" s="39" t="n"/>
      <c r="F406" s="39" t="n"/>
      <c r="G406" s="39" t="n"/>
      <c r="H406" s="39" t="n"/>
      <c r="I406" s="39" t="n"/>
      <c r="J406" s="39" t="n"/>
      <c r="K406" s="39" t="n"/>
      <c r="L406" s="39" t="n"/>
      <c r="M406" s="39" t="n"/>
      <c r="N406" s="39" t="n"/>
      <c r="O406" s="39" t="n"/>
      <c r="P406" s="39" t="n"/>
      <c r="Q406" s="39" t="n"/>
      <c r="R406" s="39" t="n"/>
      <c r="S406" s="39" t="n"/>
      <c r="T406" s="39" t="n"/>
      <c r="U406" s="39" t="n"/>
      <c r="V406" s="39" t="n"/>
      <c r="W406" s="34" t="n"/>
      <c r="X406" s="39" t="n"/>
      <c r="Y406" s="40" t="n"/>
      <c r="Z406" s="158">
        <f>IF(OR(Y406="",X406=""),"",IFERROR(Y406*INDEX(FXRates[USD per unit],MATCH(X406,FXRates[Currency],0)),"No rate"))</f>
        <v/>
      </c>
      <c r="AA406" s="38" t="n"/>
      <c r="AB406" s="38" t="n"/>
      <c r="AC406" s="41">
        <f>IF(A406="","",IF(COUNTIF($A$6:$A$504,A406)&gt;1,"⚠ Duplicate",""))</f>
        <v/>
      </c>
      <c r="AD406" s="42" t="n"/>
      <c r="AE406" s="42" t="n"/>
      <c r="AF406" s="42" t="n"/>
      <c r="AG406" s="42" t="n"/>
      <c r="AH406" s="42" t="n"/>
      <c r="AI406" s="42" t="n"/>
      <c r="AJ406" s="42" t="n"/>
      <c r="AK406" s="42" t="n"/>
      <c r="AL406" s="42" t="n"/>
      <c r="AM406" s="42" t="n"/>
      <c r="AN406" s="42" t="n"/>
      <c r="AO406" s="42" t="n"/>
      <c r="AP406" s="42" t="n"/>
      <c r="AQ406" s="42" t="n"/>
    </row>
    <row r="407" ht="18" customHeight="1" s="74">
      <c r="A407" s="32" t="n"/>
      <c r="B407" s="32" t="n"/>
      <c r="C407" s="32" t="n"/>
      <c r="D407" s="32" t="n"/>
      <c r="E407" s="33" t="n"/>
      <c r="F407" s="33" t="n"/>
      <c r="G407" s="33" t="n"/>
      <c r="H407" s="33" t="n"/>
      <c r="I407" s="33" t="n"/>
      <c r="J407" s="33" t="n"/>
      <c r="K407" s="33" t="n"/>
      <c r="L407" s="33" t="n"/>
      <c r="M407" s="33" t="n"/>
      <c r="N407" s="33" t="n"/>
      <c r="O407" s="33" t="n"/>
      <c r="P407" s="33" t="n"/>
      <c r="Q407" s="33" t="n"/>
      <c r="R407" s="33" t="n"/>
      <c r="S407" s="33" t="n"/>
      <c r="T407" s="33" t="n"/>
      <c r="U407" s="33" t="n"/>
      <c r="V407" s="33" t="n"/>
      <c r="W407" s="34" t="n"/>
      <c r="X407" s="33" t="n"/>
      <c r="Y407" s="35" t="n"/>
      <c r="Z407" s="157">
        <f>IF(OR(Y407="",X407=""),"",IFERROR(Y407*INDEX(FXRates[USD per unit],MATCH(X407,FXRates[Currency],0)),"No rate"))</f>
        <v/>
      </c>
      <c r="AA407" s="32" t="n"/>
      <c r="AB407" s="32" t="n"/>
      <c r="AC407" s="36">
        <f>IF(A407="","",IF(COUNTIF($A$6:$A$504,A407)&gt;1,"⚠ Duplicate",""))</f>
        <v/>
      </c>
      <c r="AD407" s="43" t="n"/>
      <c r="AE407" s="43" t="n"/>
      <c r="AF407" s="43" t="n"/>
      <c r="AG407" s="43" t="n"/>
      <c r="AH407" s="43" t="n"/>
      <c r="AI407" s="43" t="n"/>
      <c r="AJ407" s="43" t="n"/>
      <c r="AK407" s="43" t="n"/>
      <c r="AL407" s="43" t="n"/>
      <c r="AM407" s="43" t="n"/>
      <c r="AN407" s="43" t="n"/>
      <c r="AO407" s="43" t="n"/>
      <c r="AP407" s="43" t="n"/>
      <c r="AQ407" s="43" t="n"/>
    </row>
    <row r="408" ht="18" customHeight="1" s="74">
      <c r="A408" s="38" t="n"/>
      <c r="B408" s="38" t="n"/>
      <c r="C408" s="38" t="n"/>
      <c r="D408" s="38" t="n"/>
      <c r="E408" s="39" t="n"/>
      <c r="F408" s="39" t="n"/>
      <c r="G408" s="39" t="n"/>
      <c r="H408" s="39" t="n"/>
      <c r="I408" s="39" t="n"/>
      <c r="J408" s="39" t="n"/>
      <c r="K408" s="39" t="n"/>
      <c r="L408" s="39" t="n"/>
      <c r="M408" s="39" t="n"/>
      <c r="N408" s="39" t="n"/>
      <c r="O408" s="39" t="n"/>
      <c r="P408" s="39" t="n"/>
      <c r="Q408" s="39" t="n"/>
      <c r="R408" s="39" t="n"/>
      <c r="S408" s="39" t="n"/>
      <c r="T408" s="39" t="n"/>
      <c r="U408" s="39" t="n"/>
      <c r="V408" s="39" t="n"/>
      <c r="W408" s="34" t="n"/>
      <c r="X408" s="39" t="n"/>
      <c r="Y408" s="40" t="n"/>
      <c r="Z408" s="158">
        <f>IF(OR(Y408="",X408=""),"",IFERROR(Y408*INDEX(FXRates[USD per unit],MATCH(X408,FXRates[Currency],0)),"No rate"))</f>
        <v/>
      </c>
      <c r="AA408" s="38" t="n"/>
      <c r="AB408" s="38" t="n"/>
      <c r="AC408" s="41">
        <f>IF(A408="","",IF(COUNTIF($A$6:$A$504,A408)&gt;1,"⚠ Duplicate",""))</f>
        <v/>
      </c>
      <c r="AD408" s="42" t="n"/>
      <c r="AE408" s="42" t="n"/>
      <c r="AF408" s="42" t="n"/>
      <c r="AG408" s="42" t="n"/>
      <c r="AH408" s="42" t="n"/>
      <c r="AI408" s="42" t="n"/>
      <c r="AJ408" s="42" t="n"/>
      <c r="AK408" s="42" t="n"/>
      <c r="AL408" s="42" t="n"/>
      <c r="AM408" s="42" t="n"/>
      <c r="AN408" s="42" t="n"/>
      <c r="AO408" s="42" t="n"/>
      <c r="AP408" s="42" t="n"/>
      <c r="AQ408" s="42" t="n"/>
    </row>
    <row r="409" ht="18" customHeight="1" s="74">
      <c r="A409" s="32" t="n"/>
      <c r="B409" s="32" t="n"/>
      <c r="C409" s="32" t="n"/>
      <c r="D409" s="32" t="n"/>
      <c r="E409" s="33" t="n"/>
      <c r="F409" s="33" t="n"/>
      <c r="G409" s="33" t="n"/>
      <c r="H409" s="33" t="n"/>
      <c r="I409" s="33" t="n"/>
      <c r="J409" s="33" t="n"/>
      <c r="K409" s="33" t="n"/>
      <c r="L409" s="33" t="n"/>
      <c r="M409" s="33" t="n"/>
      <c r="N409" s="33" t="n"/>
      <c r="O409" s="33" t="n"/>
      <c r="P409" s="33" t="n"/>
      <c r="Q409" s="33" t="n"/>
      <c r="R409" s="33" t="n"/>
      <c r="S409" s="33" t="n"/>
      <c r="T409" s="33" t="n"/>
      <c r="U409" s="33" t="n"/>
      <c r="V409" s="33" t="n"/>
      <c r="W409" s="34" t="n"/>
      <c r="X409" s="33" t="n"/>
      <c r="Y409" s="35" t="n"/>
      <c r="Z409" s="157">
        <f>IF(OR(Y409="",X409=""),"",IFERROR(Y409*INDEX(FXRates[USD per unit],MATCH(X409,FXRates[Currency],0)),"No rate"))</f>
        <v/>
      </c>
      <c r="AA409" s="32" t="n"/>
      <c r="AB409" s="32" t="n"/>
      <c r="AC409" s="36">
        <f>IF(A409="","",IF(COUNTIF($A$6:$A$504,A409)&gt;1,"⚠ Duplicate",""))</f>
        <v/>
      </c>
      <c r="AD409" s="43" t="n"/>
      <c r="AE409" s="43" t="n"/>
      <c r="AF409" s="43" t="n"/>
      <c r="AG409" s="43" t="n"/>
      <c r="AH409" s="43" t="n"/>
      <c r="AI409" s="43" t="n"/>
      <c r="AJ409" s="43" t="n"/>
      <c r="AK409" s="43" t="n"/>
      <c r="AL409" s="43" t="n"/>
      <c r="AM409" s="43" t="n"/>
      <c r="AN409" s="43" t="n"/>
      <c r="AO409" s="43" t="n"/>
      <c r="AP409" s="43" t="n"/>
      <c r="AQ409" s="43" t="n"/>
    </row>
    <row r="410" ht="18" customHeight="1" s="74">
      <c r="A410" s="38" t="n"/>
      <c r="B410" s="38" t="n"/>
      <c r="C410" s="38" t="n"/>
      <c r="D410" s="38" t="n"/>
      <c r="E410" s="39" t="n"/>
      <c r="F410" s="39" t="n"/>
      <c r="G410" s="39" t="n"/>
      <c r="H410" s="39" t="n"/>
      <c r="I410" s="39" t="n"/>
      <c r="J410" s="39" t="n"/>
      <c r="K410" s="39" t="n"/>
      <c r="L410" s="39" t="n"/>
      <c r="M410" s="39" t="n"/>
      <c r="N410" s="39" t="n"/>
      <c r="O410" s="39" t="n"/>
      <c r="P410" s="39" t="n"/>
      <c r="Q410" s="39" t="n"/>
      <c r="R410" s="39" t="n"/>
      <c r="S410" s="39" t="n"/>
      <c r="T410" s="39" t="n"/>
      <c r="U410" s="39" t="n"/>
      <c r="V410" s="39" t="n"/>
      <c r="W410" s="34" t="n"/>
      <c r="X410" s="39" t="n"/>
      <c r="Y410" s="40" t="n"/>
      <c r="Z410" s="158">
        <f>IF(OR(Y410="",X410=""),"",IFERROR(Y410*INDEX(FXRates[USD per unit],MATCH(X410,FXRates[Currency],0)),"No rate"))</f>
        <v/>
      </c>
      <c r="AA410" s="38" t="n"/>
      <c r="AB410" s="38" t="n"/>
      <c r="AC410" s="41">
        <f>IF(A410="","",IF(COUNTIF($A$6:$A$504,A410)&gt;1,"⚠ Duplicate",""))</f>
        <v/>
      </c>
      <c r="AD410" s="42" t="n"/>
      <c r="AE410" s="42" t="n"/>
      <c r="AF410" s="42" t="n"/>
      <c r="AG410" s="42" t="n"/>
      <c r="AH410" s="42" t="n"/>
      <c r="AI410" s="42" t="n"/>
      <c r="AJ410" s="42" t="n"/>
      <c r="AK410" s="42" t="n"/>
      <c r="AL410" s="42" t="n"/>
      <c r="AM410" s="42" t="n"/>
      <c r="AN410" s="42" t="n"/>
      <c r="AO410" s="42" t="n"/>
      <c r="AP410" s="42" t="n"/>
      <c r="AQ410" s="42" t="n"/>
    </row>
    <row r="411" ht="18" customHeight="1" s="74">
      <c r="A411" s="32" t="n"/>
      <c r="B411" s="32" t="n"/>
      <c r="C411" s="32" t="n"/>
      <c r="D411" s="32" t="n"/>
      <c r="E411" s="33" t="n"/>
      <c r="F411" s="33" t="n"/>
      <c r="G411" s="33" t="n"/>
      <c r="H411" s="33" t="n"/>
      <c r="I411" s="33" t="n"/>
      <c r="J411" s="33" t="n"/>
      <c r="K411" s="33" t="n"/>
      <c r="L411" s="33" t="n"/>
      <c r="M411" s="33" t="n"/>
      <c r="N411" s="33" t="n"/>
      <c r="O411" s="33" t="n"/>
      <c r="P411" s="33" t="n"/>
      <c r="Q411" s="33" t="n"/>
      <c r="R411" s="33" t="n"/>
      <c r="S411" s="33" t="n"/>
      <c r="T411" s="33" t="n"/>
      <c r="U411" s="33" t="n"/>
      <c r="V411" s="33" t="n"/>
      <c r="W411" s="34" t="n"/>
      <c r="X411" s="33" t="n"/>
      <c r="Y411" s="35" t="n"/>
      <c r="Z411" s="157">
        <f>IF(OR(Y411="",X411=""),"",IFERROR(Y411*INDEX(FXRates[USD per unit],MATCH(X411,FXRates[Currency],0)),"No rate"))</f>
        <v/>
      </c>
      <c r="AA411" s="32" t="n"/>
      <c r="AB411" s="32" t="n"/>
      <c r="AC411" s="36">
        <f>IF(A411="","",IF(COUNTIF($A$6:$A$504,A411)&gt;1,"⚠ Duplicate",""))</f>
        <v/>
      </c>
      <c r="AD411" s="43" t="n"/>
      <c r="AE411" s="43" t="n"/>
      <c r="AF411" s="43" t="n"/>
      <c r="AG411" s="43" t="n"/>
      <c r="AH411" s="43" t="n"/>
      <c r="AI411" s="43" t="n"/>
      <c r="AJ411" s="43" t="n"/>
      <c r="AK411" s="43" t="n"/>
      <c r="AL411" s="43" t="n"/>
      <c r="AM411" s="43" t="n"/>
      <c r="AN411" s="43" t="n"/>
      <c r="AO411" s="43" t="n"/>
      <c r="AP411" s="43" t="n"/>
      <c r="AQ411" s="43" t="n"/>
    </row>
    <row r="412" ht="18" customHeight="1" s="74">
      <c r="A412" s="38" t="n"/>
      <c r="B412" s="38" t="n"/>
      <c r="C412" s="38" t="n"/>
      <c r="D412" s="38" t="n"/>
      <c r="E412" s="39" t="n"/>
      <c r="F412" s="39" t="n"/>
      <c r="G412" s="39" t="n"/>
      <c r="H412" s="39" t="n"/>
      <c r="I412" s="39" t="n"/>
      <c r="J412" s="39" t="n"/>
      <c r="K412" s="39" t="n"/>
      <c r="L412" s="39" t="n"/>
      <c r="M412" s="39" t="n"/>
      <c r="N412" s="39" t="n"/>
      <c r="O412" s="39" t="n"/>
      <c r="P412" s="39" t="n"/>
      <c r="Q412" s="39" t="n"/>
      <c r="R412" s="39" t="n"/>
      <c r="S412" s="39" t="n"/>
      <c r="T412" s="39" t="n"/>
      <c r="U412" s="39" t="n"/>
      <c r="V412" s="39" t="n"/>
      <c r="W412" s="34" t="n"/>
      <c r="X412" s="39" t="n"/>
      <c r="Y412" s="40" t="n"/>
      <c r="Z412" s="158">
        <f>IF(OR(Y412="",X412=""),"",IFERROR(Y412*INDEX(FXRates[USD per unit],MATCH(X412,FXRates[Currency],0)),"No rate"))</f>
        <v/>
      </c>
      <c r="AA412" s="38" t="n"/>
      <c r="AB412" s="38" t="n"/>
      <c r="AC412" s="41">
        <f>IF(A412="","",IF(COUNTIF($A$6:$A$504,A412)&gt;1,"⚠ Duplicate",""))</f>
        <v/>
      </c>
      <c r="AD412" s="42" t="n"/>
      <c r="AE412" s="42" t="n"/>
      <c r="AF412" s="42" t="n"/>
      <c r="AG412" s="42" t="n"/>
      <c r="AH412" s="42" t="n"/>
      <c r="AI412" s="42" t="n"/>
      <c r="AJ412" s="42" t="n"/>
      <c r="AK412" s="42" t="n"/>
      <c r="AL412" s="42" t="n"/>
      <c r="AM412" s="42" t="n"/>
      <c r="AN412" s="42" t="n"/>
      <c r="AO412" s="42" t="n"/>
      <c r="AP412" s="42" t="n"/>
      <c r="AQ412" s="42" t="n"/>
    </row>
    <row r="413" ht="18" customHeight="1" s="74">
      <c r="A413" s="32" t="n"/>
      <c r="B413" s="32" t="n"/>
      <c r="C413" s="32" t="n"/>
      <c r="D413" s="32" t="n"/>
      <c r="E413" s="33" t="n"/>
      <c r="F413" s="33" t="n"/>
      <c r="G413" s="33" t="n"/>
      <c r="H413" s="33" t="n"/>
      <c r="I413" s="33" t="n"/>
      <c r="J413" s="33" t="n"/>
      <c r="K413" s="33" t="n"/>
      <c r="L413" s="33" t="n"/>
      <c r="M413" s="33" t="n"/>
      <c r="N413" s="33" t="n"/>
      <c r="O413" s="33" t="n"/>
      <c r="P413" s="33" t="n"/>
      <c r="Q413" s="33" t="n"/>
      <c r="R413" s="33" t="n"/>
      <c r="S413" s="33" t="n"/>
      <c r="T413" s="33" t="n"/>
      <c r="U413" s="33" t="n"/>
      <c r="V413" s="33" t="n"/>
      <c r="W413" s="34" t="n"/>
      <c r="X413" s="33" t="n"/>
      <c r="Y413" s="35" t="n"/>
      <c r="Z413" s="157">
        <f>IF(OR(Y413="",X413=""),"",IFERROR(Y413*INDEX(FXRates[USD per unit],MATCH(X413,FXRates[Currency],0)),"No rate"))</f>
        <v/>
      </c>
      <c r="AA413" s="32" t="n"/>
      <c r="AB413" s="32" t="n"/>
      <c r="AC413" s="36">
        <f>IF(A413="","",IF(COUNTIF($A$6:$A$504,A413)&gt;1,"⚠ Duplicate",""))</f>
        <v/>
      </c>
      <c r="AD413" s="43" t="n"/>
      <c r="AE413" s="43" t="n"/>
      <c r="AF413" s="43" t="n"/>
      <c r="AG413" s="43" t="n"/>
      <c r="AH413" s="43" t="n"/>
      <c r="AI413" s="43" t="n"/>
      <c r="AJ413" s="43" t="n"/>
      <c r="AK413" s="43" t="n"/>
      <c r="AL413" s="43" t="n"/>
      <c r="AM413" s="43" t="n"/>
      <c r="AN413" s="43" t="n"/>
      <c r="AO413" s="43" t="n"/>
      <c r="AP413" s="43" t="n"/>
      <c r="AQ413" s="43" t="n"/>
    </row>
    <row r="414" ht="18" customHeight="1" s="74">
      <c r="A414" s="38" t="n"/>
      <c r="B414" s="38" t="n"/>
      <c r="C414" s="38" t="n"/>
      <c r="D414" s="38" t="n"/>
      <c r="E414" s="39" t="n"/>
      <c r="F414" s="39" t="n"/>
      <c r="G414" s="39" t="n"/>
      <c r="H414" s="39" t="n"/>
      <c r="I414" s="39" t="n"/>
      <c r="J414" s="39" t="n"/>
      <c r="K414" s="39" t="n"/>
      <c r="L414" s="39" t="n"/>
      <c r="M414" s="39" t="n"/>
      <c r="N414" s="39" t="n"/>
      <c r="O414" s="39" t="n"/>
      <c r="P414" s="39" t="n"/>
      <c r="Q414" s="39" t="n"/>
      <c r="R414" s="39" t="n"/>
      <c r="S414" s="39" t="n"/>
      <c r="T414" s="39" t="n"/>
      <c r="U414" s="39" t="n"/>
      <c r="V414" s="39" t="n"/>
      <c r="W414" s="34" t="n"/>
      <c r="X414" s="39" t="n"/>
      <c r="Y414" s="40" t="n"/>
      <c r="Z414" s="158">
        <f>IF(OR(Y414="",X414=""),"",IFERROR(Y414*INDEX(FXRates[USD per unit],MATCH(X414,FXRates[Currency],0)),"No rate"))</f>
        <v/>
      </c>
      <c r="AA414" s="38" t="n"/>
      <c r="AB414" s="38" t="n"/>
      <c r="AC414" s="41">
        <f>IF(A414="","",IF(COUNTIF($A$6:$A$504,A414)&gt;1,"⚠ Duplicate",""))</f>
        <v/>
      </c>
      <c r="AD414" s="42" t="n"/>
      <c r="AE414" s="42" t="n"/>
      <c r="AF414" s="42" t="n"/>
      <c r="AG414" s="42" t="n"/>
      <c r="AH414" s="42" t="n"/>
      <c r="AI414" s="42" t="n"/>
      <c r="AJ414" s="42" t="n"/>
      <c r="AK414" s="42" t="n"/>
      <c r="AL414" s="42" t="n"/>
      <c r="AM414" s="42" t="n"/>
      <c r="AN414" s="42" t="n"/>
      <c r="AO414" s="42" t="n"/>
      <c r="AP414" s="42" t="n"/>
      <c r="AQ414" s="42" t="n"/>
    </row>
    <row r="415" ht="18" customHeight="1" s="74">
      <c r="A415" s="32" t="n"/>
      <c r="B415" s="32" t="n"/>
      <c r="C415" s="32" t="n"/>
      <c r="D415" s="32" t="n"/>
      <c r="E415" s="33" t="n"/>
      <c r="F415" s="33" t="n"/>
      <c r="G415" s="33" t="n"/>
      <c r="H415" s="33" t="n"/>
      <c r="I415" s="33" t="n"/>
      <c r="J415" s="33" t="n"/>
      <c r="K415" s="33" t="n"/>
      <c r="L415" s="33" t="n"/>
      <c r="M415" s="33" t="n"/>
      <c r="N415" s="33" t="n"/>
      <c r="O415" s="33" t="n"/>
      <c r="P415" s="33" t="n"/>
      <c r="Q415" s="33" t="n"/>
      <c r="R415" s="33" t="n"/>
      <c r="S415" s="33" t="n"/>
      <c r="T415" s="33" t="n"/>
      <c r="U415" s="33" t="n"/>
      <c r="V415" s="33" t="n"/>
      <c r="W415" s="34" t="n"/>
      <c r="X415" s="33" t="n"/>
      <c r="Y415" s="35" t="n"/>
      <c r="Z415" s="157">
        <f>IF(OR(Y415="",X415=""),"",IFERROR(Y415*INDEX(FXRates[USD per unit],MATCH(X415,FXRates[Currency],0)),"No rate"))</f>
        <v/>
      </c>
      <c r="AA415" s="32" t="n"/>
      <c r="AB415" s="32" t="n"/>
      <c r="AC415" s="36">
        <f>IF(A415="","",IF(COUNTIF($A$6:$A$504,A415)&gt;1,"⚠ Duplicate",""))</f>
        <v/>
      </c>
      <c r="AD415" s="43" t="n"/>
      <c r="AE415" s="43" t="n"/>
      <c r="AF415" s="43" t="n"/>
      <c r="AG415" s="43" t="n"/>
      <c r="AH415" s="43" t="n"/>
      <c r="AI415" s="43" t="n"/>
      <c r="AJ415" s="43" t="n"/>
      <c r="AK415" s="43" t="n"/>
      <c r="AL415" s="43" t="n"/>
      <c r="AM415" s="43" t="n"/>
      <c r="AN415" s="43" t="n"/>
      <c r="AO415" s="43" t="n"/>
      <c r="AP415" s="43" t="n"/>
      <c r="AQ415" s="43" t="n"/>
    </row>
    <row r="416" ht="18" customHeight="1" s="74">
      <c r="A416" s="38" t="n"/>
      <c r="B416" s="38" t="n"/>
      <c r="C416" s="38" t="n"/>
      <c r="D416" s="38" t="n"/>
      <c r="E416" s="39" t="n"/>
      <c r="F416" s="39" t="n"/>
      <c r="G416" s="39" t="n"/>
      <c r="H416" s="39" t="n"/>
      <c r="I416" s="39" t="n"/>
      <c r="J416" s="39" t="n"/>
      <c r="K416" s="39" t="n"/>
      <c r="L416" s="39" t="n"/>
      <c r="M416" s="39" t="n"/>
      <c r="N416" s="39" t="n"/>
      <c r="O416" s="39" t="n"/>
      <c r="P416" s="39" t="n"/>
      <c r="Q416" s="39" t="n"/>
      <c r="R416" s="39" t="n"/>
      <c r="S416" s="39" t="n"/>
      <c r="T416" s="39" t="n"/>
      <c r="U416" s="39" t="n"/>
      <c r="V416" s="39" t="n"/>
      <c r="W416" s="34" t="n"/>
      <c r="X416" s="39" t="n"/>
      <c r="Y416" s="40" t="n"/>
      <c r="Z416" s="158">
        <f>IF(OR(Y416="",X416=""),"",IFERROR(Y416*INDEX(FXRates[USD per unit],MATCH(X416,FXRates[Currency],0)),"No rate"))</f>
        <v/>
      </c>
      <c r="AA416" s="38" t="n"/>
      <c r="AB416" s="38" t="n"/>
      <c r="AC416" s="41">
        <f>IF(A416="","",IF(COUNTIF($A$6:$A$504,A416)&gt;1,"⚠ Duplicate",""))</f>
        <v/>
      </c>
      <c r="AD416" s="42" t="n"/>
      <c r="AE416" s="42" t="n"/>
      <c r="AF416" s="42" t="n"/>
      <c r="AG416" s="42" t="n"/>
      <c r="AH416" s="42" t="n"/>
      <c r="AI416" s="42" t="n"/>
      <c r="AJ416" s="42" t="n"/>
      <c r="AK416" s="42" t="n"/>
      <c r="AL416" s="42" t="n"/>
      <c r="AM416" s="42" t="n"/>
      <c r="AN416" s="42" t="n"/>
      <c r="AO416" s="42" t="n"/>
      <c r="AP416" s="42" t="n"/>
      <c r="AQ416" s="42" t="n"/>
    </row>
    <row r="417" ht="18" customHeight="1" s="74">
      <c r="A417" s="32" t="n"/>
      <c r="B417" s="32" t="n"/>
      <c r="C417" s="32" t="n"/>
      <c r="D417" s="32" t="n"/>
      <c r="E417" s="33" t="n"/>
      <c r="F417" s="33" t="n"/>
      <c r="G417" s="33" t="n"/>
      <c r="H417" s="33" t="n"/>
      <c r="I417" s="33" t="n"/>
      <c r="J417" s="33" t="n"/>
      <c r="K417" s="33" t="n"/>
      <c r="L417" s="33" t="n"/>
      <c r="M417" s="33" t="n"/>
      <c r="N417" s="33" t="n"/>
      <c r="O417" s="33" t="n"/>
      <c r="P417" s="33" t="n"/>
      <c r="Q417" s="33" t="n"/>
      <c r="R417" s="33" t="n"/>
      <c r="S417" s="33" t="n"/>
      <c r="T417" s="33" t="n"/>
      <c r="U417" s="33" t="n"/>
      <c r="V417" s="33" t="n"/>
      <c r="W417" s="34" t="n"/>
      <c r="X417" s="33" t="n"/>
      <c r="Y417" s="35" t="n"/>
      <c r="Z417" s="157">
        <f>IF(OR(Y417="",X417=""),"",IFERROR(Y417*INDEX(FXRates[USD per unit],MATCH(X417,FXRates[Currency],0)),"No rate"))</f>
        <v/>
      </c>
      <c r="AA417" s="32" t="n"/>
      <c r="AB417" s="32" t="n"/>
      <c r="AC417" s="36">
        <f>IF(A417="","",IF(COUNTIF($A$6:$A$504,A417)&gt;1,"⚠ Duplicate",""))</f>
        <v/>
      </c>
      <c r="AD417" s="43" t="n"/>
      <c r="AE417" s="43" t="n"/>
      <c r="AF417" s="43" t="n"/>
      <c r="AG417" s="43" t="n"/>
      <c r="AH417" s="43" t="n"/>
      <c r="AI417" s="43" t="n"/>
      <c r="AJ417" s="43" t="n"/>
      <c r="AK417" s="43" t="n"/>
      <c r="AL417" s="43" t="n"/>
      <c r="AM417" s="43" t="n"/>
      <c r="AN417" s="43" t="n"/>
      <c r="AO417" s="43" t="n"/>
      <c r="AP417" s="43" t="n"/>
      <c r="AQ417" s="43" t="n"/>
    </row>
    <row r="418" ht="18" customHeight="1" s="74">
      <c r="A418" s="38" t="n"/>
      <c r="B418" s="38" t="n"/>
      <c r="C418" s="38" t="n"/>
      <c r="D418" s="38" t="n"/>
      <c r="E418" s="39" t="n"/>
      <c r="F418" s="39" t="n"/>
      <c r="G418" s="39" t="n"/>
      <c r="H418" s="39" t="n"/>
      <c r="I418" s="39" t="n"/>
      <c r="J418" s="39" t="n"/>
      <c r="K418" s="39" t="n"/>
      <c r="L418" s="39" t="n"/>
      <c r="M418" s="39" t="n"/>
      <c r="N418" s="39" t="n"/>
      <c r="O418" s="39" t="n"/>
      <c r="P418" s="39" t="n"/>
      <c r="Q418" s="39" t="n"/>
      <c r="R418" s="39" t="n"/>
      <c r="S418" s="39" t="n"/>
      <c r="T418" s="39" t="n"/>
      <c r="U418" s="39" t="n"/>
      <c r="V418" s="39" t="n"/>
      <c r="W418" s="34" t="n"/>
      <c r="X418" s="39" t="n"/>
      <c r="Y418" s="40" t="n"/>
      <c r="Z418" s="158">
        <f>IF(OR(Y418="",X418=""),"",IFERROR(Y418*INDEX(FXRates[USD per unit],MATCH(X418,FXRates[Currency],0)),"No rate"))</f>
        <v/>
      </c>
      <c r="AA418" s="38" t="n"/>
      <c r="AB418" s="38" t="n"/>
      <c r="AC418" s="41">
        <f>IF(A418="","",IF(COUNTIF($A$6:$A$504,A418)&gt;1,"⚠ Duplicate",""))</f>
        <v/>
      </c>
      <c r="AD418" s="42" t="n"/>
      <c r="AE418" s="42" t="n"/>
      <c r="AF418" s="42" t="n"/>
      <c r="AG418" s="42" t="n"/>
      <c r="AH418" s="42" t="n"/>
      <c r="AI418" s="42" t="n"/>
      <c r="AJ418" s="42" t="n"/>
      <c r="AK418" s="42" t="n"/>
      <c r="AL418" s="42" t="n"/>
      <c r="AM418" s="42" t="n"/>
      <c r="AN418" s="42" t="n"/>
      <c r="AO418" s="42" t="n"/>
      <c r="AP418" s="42" t="n"/>
      <c r="AQ418" s="42" t="n"/>
    </row>
    <row r="419" ht="18" customHeight="1" s="74">
      <c r="A419" s="32" t="n"/>
      <c r="B419" s="32" t="n"/>
      <c r="C419" s="32" t="n"/>
      <c r="D419" s="32" t="n"/>
      <c r="E419" s="33" t="n"/>
      <c r="F419" s="33" t="n"/>
      <c r="G419" s="33" t="n"/>
      <c r="H419" s="33" t="n"/>
      <c r="I419" s="33" t="n"/>
      <c r="J419" s="33" t="n"/>
      <c r="K419" s="33" t="n"/>
      <c r="L419" s="33" t="n"/>
      <c r="M419" s="33" t="n"/>
      <c r="N419" s="33" t="n"/>
      <c r="O419" s="33" t="n"/>
      <c r="P419" s="33" t="n"/>
      <c r="Q419" s="33" t="n"/>
      <c r="R419" s="33" t="n"/>
      <c r="S419" s="33" t="n"/>
      <c r="T419" s="33" t="n"/>
      <c r="U419" s="33" t="n"/>
      <c r="V419" s="33" t="n"/>
      <c r="W419" s="34" t="n"/>
      <c r="X419" s="33" t="n"/>
      <c r="Y419" s="35" t="n"/>
      <c r="Z419" s="157">
        <f>IF(OR(Y419="",X419=""),"",IFERROR(Y419*INDEX(FXRates[USD per unit],MATCH(X419,FXRates[Currency],0)),"No rate"))</f>
        <v/>
      </c>
      <c r="AA419" s="32" t="n"/>
      <c r="AB419" s="32" t="n"/>
      <c r="AC419" s="36">
        <f>IF(A419="","",IF(COUNTIF($A$6:$A$504,A419)&gt;1,"⚠ Duplicate",""))</f>
        <v/>
      </c>
      <c r="AD419" s="43" t="n"/>
      <c r="AE419" s="43" t="n"/>
      <c r="AF419" s="43" t="n"/>
      <c r="AG419" s="43" t="n"/>
      <c r="AH419" s="43" t="n"/>
      <c r="AI419" s="43" t="n"/>
      <c r="AJ419" s="43" t="n"/>
      <c r="AK419" s="43" t="n"/>
      <c r="AL419" s="43" t="n"/>
      <c r="AM419" s="43" t="n"/>
      <c r="AN419" s="43" t="n"/>
      <c r="AO419" s="43" t="n"/>
      <c r="AP419" s="43" t="n"/>
      <c r="AQ419" s="43" t="n"/>
    </row>
    <row r="420" ht="18" customHeight="1" s="74">
      <c r="A420" s="38" t="n"/>
      <c r="B420" s="38" t="n"/>
      <c r="C420" s="38" t="n"/>
      <c r="D420" s="38" t="n"/>
      <c r="E420" s="39" t="n"/>
      <c r="F420" s="39" t="n"/>
      <c r="G420" s="39" t="n"/>
      <c r="H420" s="39" t="n"/>
      <c r="I420" s="39" t="n"/>
      <c r="J420" s="39" t="n"/>
      <c r="K420" s="39" t="n"/>
      <c r="L420" s="39" t="n"/>
      <c r="M420" s="39" t="n"/>
      <c r="N420" s="39" t="n"/>
      <c r="O420" s="39" t="n"/>
      <c r="P420" s="39" t="n"/>
      <c r="Q420" s="39" t="n"/>
      <c r="R420" s="39" t="n"/>
      <c r="S420" s="39" t="n"/>
      <c r="T420" s="39" t="n"/>
      <c r="U420" s="39" t="n"/>
      <c r="V420" s="39" t="n"/>
      <c r="W420" s="34" t="n"/>
      <c r="X420" s="39" t="n"/>
      <c r="Y420" s="40" t="n"/>
      <c r="Z420" s="158">
        <f>IF(OR(Y420="",X420=""),"",IFERROR(Y420*INDEX(FXRates[USD per unit],MATCH(X420,FXRates[Currency],0)),"No rate"))</f>
        <v/>
      </c>
      <c r="AA420" s="38" t="n"/>
      <c r="AB420" s="38" t="n"/>
      <c r="AC420" s="41">
        <f>IF(A420="","",IF(COUNTIF($A$6:$A$504,A420)&gt;1,"⚠ Duplicate",""))</f>
        <v/>
      </c>
      <c r="AD420" s="42" t="n"/>
      <c r="AE420" s="42" t="n"/>
      <c r="AF420" s="42" t="n"/>
      <c r="AG420" s="42" t="n"/>
      <c r="AH420" s="42" t="n"/>
      <c r="AI420" s="42" t="n"/>
      <c r="AJ420" s="42" t="n"/>
      <c r="AK420" s="42" t="n"/>
      <c r="AL420" s="42" t="n"/>
      <c r="AM420" s="42" t="n"/>
      <c r="AN420" s="42" t="n"/>
      <c r="AO420" s="42" t="n"/>
      <c r="AP420" s="42" t="n"/>
      <c r="AQ420" s="42" t="n"/>
    </row>
    <row r="421" ht="18" customHeight="1" s="74">
      <c r="A421" s="32" t="n"/>
      <c r="B421" s="32" t="n"/>
      <c r="C421" s="32" t="n"/>
      <c r="D421" s="32" t="n"/>
      <c r="E421" s="33" t="n"/>
      <c r="F421" s="33" t="n"/>
      <c r="G421" s="33" t="n"/>
      <c r="H421" s="33" t="n"/>
      <c r="I421" s="33" t="n"/>
      <c r="J421" s="33" t="n"/>
      <c r="K421" s="33" t="n"/>
      <c r="L421" s="33" t="n"/>
      <c r="M421" s="33" t="n"/>
      <c r="N421" s="33" t="n"/>
      <c r="O421" s="33" t="n"/>
      <c r="P421" s="33" t="n"/>
      <c r="Q421" s="33" t="n"/>
      <c r="R421" s="33" t="n"/>
      <c r="S421" s="33" t="n"/>
      <c r="T421" s="33" t="n"/>
      <c r="U421" s="33" t="n"/>
      <c r="V421" s="33" t="n"/>
      <c r="W421" s="34" t="n"/>
      <c r="X421" s="33" t="n"/>
      <c r="Y421" s="35" t="n"/>
      <c r="Z421" s="157">
        <f>IF(OR(Y421="",X421=""),"",IFERROR(Y421*INDEX(FXRates[USD per unit],MATCH(X421,FXRates[Currency],0)),"No rate"))</f>
        <v/>
      </c>
      <c r="AA421" s="32" t="n"/>
      <c r="AB421" s="32" t="n"/>
      <c r="AC421" s="36">
        <f>IF(A421="","",IF(COUNTIF($A$6:$A$504,A421)&gt;1,"⚠ Duplicate",""))</f>
        <v/>
      </c>
      <c r="AD421" s="43" t="n"/>
      <c r="AE421" s="43" t="n"/>
      <c r="AF421" s="43" t="n"/>
      <c r="AG421" s="43" t="n"/>
      <c r="AH421" s="43" t="n"/>
      <c r="AI421" s="43" t="n"/>
      <c r="AJ421" s="43" t="n"/>
      <c r="AK421" s="43" t="n"/>
      <c r="AL421" s="43" t="n"/>
      <c r="AM421" s="43" t="n"/>
      <c r="AN421" s="43" t="n"/>
      <c r="AO421" s="43" t="n"/>
      <c r="AP421" s="43" t="n"/>
      <c r="AQ421" s="43" t="n"/>
    </row>
    <row r="422" ht="18" customHeight="1" s="74">
      <c r="A422" s="38" t="n"/>
      <c r="B422" s="38" t="n"/>
      <c r="C422" s="38" t="n"/>
      <c r="D422" s="38" t="n"/>
      <c r="E422" s="39" t="n"/>
      <c r="F422" s="39" t="n"/>
      <c r="G422" s="39" t="n"/>
      <c r="H422" s="39" t="n"/>
      <c r="I422" s="39" t="n"/>
      <c r="J422" s="39" t="n"/>
      <c r="K422" s="39" t="n"/>
      <c r="L422" s="39" t="n"/>
      <c r="M422" s="39" t="n"/>
      <c r="N422" s="39" t="n"/>
      <c r="O422" s="39" t="n"/>
      <c r="P422" s="39" t="n"/>
      <c r="Q422" s="39" t="n"/>
      <c r="R422" s="39" t="n"/>
      <c r="S422" s="39" t="n"/>
      <c r="T422" s="39" t="n"/>
      <c r="U422" s="39" t="n"/>
      <c r="V422" s="39" t="n"/>
      <c r="W422" s="34" t="n"/>
      <c r="X422" s="39" t="n"/>
      <c r="Y422" s="40" t="n"/>
      <c r="Z422" s="158">
        <f>IF(OR(Y422="",X422=""),"",IFERROR(Y422*INDEX(FXRates[USD per unit],MATCH(X422,FXRates[Currency],0)),"No rate"))</f>
        <v/>
      </c>
      <c r="AA422" s="38" t="n"/>
      <c r="AB422" s="38" t="n"/>
      <c r="AC422" s="41">
        <f>IF(A422="","",IF(COUNTIF($A$6:$A$504,A422)&gt;1,"⚠ Duplicate",""))</f>
        <v/>
      </c>
      <c r="AD422" s="42" t="n"/>
      <c r="AE422" s="42" t="n"/>
      <c r="AF422" s="42" t="n"/>
      <c r="AG422" s="42" t="n"/>
      <c r="AH422" s="42" t="n"/>
      <c r="AI422" s="42" t="n"/>
      <c r="AJ422" s="42" t="n"/>
      <c r="AK422" s="42" t="n"/>
      <c r="AL422" s="42" t="n"/>
      <c r="AM422" s="42" t="n"/>
      <c r="AN422" s="42" t="n"/>
      <c r="AO422" s="42" t="n"/>
      <c r="AP422" s="42" t="n"/>
      <c r="AQ422" s="42" t="n"/>
    </row>
    <row r="423" ht="18" customHeight="1" s="74">
      <c r="A423" s="32" t="n"/>
      <c r="B423" s="32" t="n"/>
      <c r="C423" s="32" t="n"/>
      <c r="D423" s="32" t="n"/>
      <c r="E423" s="33" t="n"/>
      <c r="F423" s="33" t="n"/>
      <c r="G423" s="33" t="n"/>
      <c r="H423" s="33" t="n"/>
      <c r="I423" s="33" t="n"/>
      <c r="J423" s="33" t="n"/>
      <c r="K423" s="33" t="n"/>
      <c r="L423" s="33" t="n"/>
      <c r="M423" s="33" t="n"/>
      <c r="N423" s="33" t="n"/>
      <c r="O423" s="33" t="n"/>
      <c r="P423" s="33" t="n"/>
      <c r="Q423" s="33" t="n"/>
      <c r="R423" s="33" t="n"/>
      <c r="S423" s="33" t="n"/>
      <c r="T423" s="33" t="n"/>
      <c r="U423" s="33" t="n"/>
      <c r="V423" s="33" t="n"/>
      <c r="W423" s="34" t="n"/>
      <c r="X423" s="33" t="n"/>
      <c r="Y423" s="35" t="n"/>
      <c r="Z423" s="157">
        <f>IF(OR(Y423="",X423=""),"",IFERROR(Y423*INDEX(FXRates[USD per unit],MATCH(X423,FXRates[Currency],0)),"No rate"))</f>
        <v/>
      </c>
      <c r="AA423" s="32" t="n"/>
      <c r="AB423" s="32" t="n"/>
      <c r="AC423" s="36">
        <f>IF(A423="","",IF(COUNTIF($A$6:$A$504,A423)&gt;1,"⚠ Duplicate",""))</f>
        <v/>
      </c>
      <c r="AD423" s="43" t="n"/>
      <c r="AE423" s="43" t="n"/>
      <c r="AF423" s="43" t="n"/>
      <c r="AG423" s="43" t="n"/>
      <c r="AH423" s="43" t="n"/>
      <c r="AI423" s="43" t="n"/>
      <c r="AJ423" s="43" t="n"/>
      <c r="AK423" s="43" t="n"/>
      <c r="AL423" s="43" t="n"/>
      <c r="AM423" s="43" t="n"/>
      <c r="AN423" s="43" t="n"/>
      <c r="AO423" s="43" t="n"/>
      <c r="AP423" s="43" t="n"/>
      <c r="AQ423" s="43" t="n"/>
    </row>
    <row r="424" ht="18" customHeight="1" s="74">
      <c r="A424" s="38" t="n"/>
      <c r="B424" s="38" t="n"/>
      <c r="C424" s="38" t="n"/>
      <c r="D424" s="38" t="n"/>
      <c r="E424" s="39" t="n"/>
      <c r="F424" s="39" t="n"/>
      <c r="G424" s="39" t="n"/>
      <c r="H424" s="39" t="n"/>
      <c r="I424" s="39" t="n"/>
      <c r="J424" s="39" t="n"/>
      <c r="K424" s="39" t="n"/>
      <c r="L424" s="39" t="n"/>
      <c r="M424" s="39" t="n"/>
      <c r="N424" s="39" t="n"/>
      <c r="O424" s="39" t="n"/>
      <c r="P424" s="39" t="n"/>
      <c r="Q424" s="39" t="n"/>
      <c r="R424" s="39" t="n"/>
      <c r="S424" s="39" t="n"/>
      <c r="T424" s="39" t="n"/>
      <c r="U424" s="39" t="n"/>
      <c r="V424" s="39" t="n"/>
      <c r="W424" s="34" t="n"/>
      <c r="X424" s="39" t="n"/>
      <c r="Y424" s="40" t="n"/>
      <c r="Z424" s="158">
        <f>IF(OR(Y424="",X424=""),"",IFERROR(Y424*INDEX(FXRates[USD per unit],MATCH(X424,FXRates[Currency],0)),"No rate"))</f>
        <v/>
      </c>
      <c r="AA424" s="38" t="n"/>
      <c r="AB424" s="38" t="n"/>
      <c r="AC424" s="41">
        <f>IF(A424="","",IF(COUNTIF($A$6:$A$504,A424)&gt;1,"⚠ Duplicate",""))</f>
        <v/>
      </c>
      <c r="AD424" s="42" t="n"/>
      <c r="AE424" s="42" t="n"/>
      <c r="AF424" s="42" t="n"/>
      <c r="AG424" s="42" t="n"/>
      <c r="AH424" s="42" t="n"/>
      <c r="AI424" s="42" t="n"/>
      <c r="AJ424" s="42" t="n"/>
      <c r="AK424" s="42" t="n"/>
      <c r="AL424" s="42" t="n"/>
      <c r="AM424" s="42" t="n"/>
      <c r="AN424" s="42" t="n"/>
      <c r="AO424" s="42" t="n"/>
      <c r="AP424" s="42" t="n"/>
      <c r="AQ424" s="42" t="n"/>
    </row>
    <row r="425" ht="18" customHeight="1" s="74">
      <c r="A425" s="32" t="n"/>
      <c r="B425" s="32" t="n"/>
      <c r="C425" s="32" t="n"/>
      <c r="D425" s="32" t="n"/>
      <c r="E425" s="33" t="n"/>
      <c r="F425" s="33" t="n"/>
      <c r="G425" s="33" t="n"/>
      <c r="H425" s="33" t="n"/>
      <c r="I425" s="33" t="n"/>
      <c r="J425" s="33" t="n"/>
      <c r="K425" s="33" t="n"/>
      <c r="L425" s="33" t="n"/>
      <c r="M425" s="33" t="n"/>
      <c r="N425" s="33" t="n"/>
      <c r="O425" s="33" t="n"/>
      <c r="P425" s="33" t="n"/>
      <c r="Q425" s="33" t="n"/>
      <c r="R425" s="33" t="n"/>
      <c r="S425" s="33" t="n"/>
      <c r="T425" s="33" t="n"/>
      <c r="U425" s="33" t="n"/>
      <c r="V425" s="33" t="n"/>
      <c r="W425" s="34" t="n"/>
      <c r="X425" s="33" t="n"/>
      <c r="Y425" s="35" t="n"/>
      <c r="Z425" s="157">
        <f>IF(OR(Y425="",X425=""),"",IFERROR(Y425*INDEX(FXRates[USD per unit],MATCH(X425,FXRates[Currency],0)),"No rate"))</f>
        <v/>
      </c>
      <c r="AA425" s="32" t="n"/>
      <c r="AB425" s="32" t="n"/>
      <c r="AC425" s="36">
        <f>IF(A425="","",IF(COUNTIF($A$6:$A$504,A425)&gt;1,"⚠ Duplicate",""))</f>
        <v/>
      </c>
      <c r="AD425" s="43" t="n"/>
      <c r="AE425" s="43" t="n"/>
      <c r="AF425" s="43" t="n"/>
      <c r="AG425" s="43" t="n"/>
      <c r="AH425" s="43" t="n"/>
      <c r="AI425" s="43" t="n"/>
      <c r="AJ425" s="43" t="n"/>
      <c r="AK425" s="43" t="n"/>
      <c r="AL425" s="43" t="n"/>
      <c r="AM425" s="43" t="n"/>
      <c r="AN425" s="43" t="n"/>
      <c r="AO425" s="43" t="n"/>
      <c r="AP425" s="43" t="n"/>
      <c r="AQ425" s="43" t="n"/>
    </row>
    <row r="426" ht="18" customHeight="1" s="74">
      <c r="A426" s="38" t="n"/>
      <c r="B426" s="38" t="n"/>
      <c r="C426" s="38" t="n"/>
      <c r="D426" s="38" t="n"/>
      <c r="E426" s="39" t="n"/>
      <c r="F426" s="39" t="n"/>
      <c r="G426" s="39" t="n"/>
      <c r="H426" s="39" t="n"/>
      <c r="I426" s="39" t="n"/>
      <c r="J426" s="39" t="n"/>
      <c r="K426" s="39" t="n"/>
      <c r="L426" s="39" t="n"/>
      <c r="M426" s="39" t="n"/>
      <c r="N426" s="39" t="n"/>
      <c r="O426" s="39" t="n"/>
      <c r="P426" s="39" t="n"/>
      <c r="Q426" s="39" t="n"/>
      <c r="R426" s="39" t="n"/>
      <c r="S426" s="39" t="n"/>
      <c r="T426" s="39" t="n"/>
      <c r="U426" s="39" t="n"/>
      <c r="V426" s="39" t="n"/>
      <c r="W426" s="34" t="n"/>
      <c r="X426" s="39" t="n"/>
      <c r="Y426" s="40" t="n"/>
      <c r="Z426" s="158">
        <f>IF(OR(Y426="",X426=""),"",IFERROR(Y426*INDEX(FXRates[USD per unit],MATCH(X426,FXRates[Currency],0)),"No rate"))</f>
        <v/>
      </c>
      <c r="AA426" s="38" t="n"/>
      <c r="AB426" s="38" t="n"/>
      <c r="AC426" s="41">
        <f>IF(A426="","",IF(COUNTIF($A$6:$A$504,A426)&gt;1,"⚠ Duplicate",""))</f>
        <v/>
      </c>
      <c r="AD426" s="42" t="n"/>
      <c r="AE426" s="42" t="n"/>
      <c r="AF426" s="42" t="n"/>
      <c r="AG426" s="42" t="n"/>
      <c r="AH426" s="42" t="n"/>
      <c r="AI426" s="42" t="n"/>
      <c r="AJ426" s="42" t="n"/>
      <c r="AK426" s="42" t="n"/>
      <c r="AL426" s="42" t="n"/>
      <c r="AM426" s="42" t="n"/>
      <c r="AN426" s="42" t="n"/>
      <c r="AO426" s="42" t="n"/>
      <c r="AP426" s="42" t="n"/>
      <c r="AQ426" s="42" t="n"/>
    </row>
    <row r="427" ht="18" customHeight="1" s="74">
      <c r="A427" s="32" t="n"/>
      <c r="B427" s="32" t="n"/>
      <c r="C427" s="32" t="n"/>
      <c r="D427" s="32" t="n"/>
      <c r="E427" s="33" t="n"/>
      <c r="F427" s="33" t="n"/>
      <c r="G427" s="33" t="n"/>
      <c r="H427" s="33" t="n"/>
      <c r="I427" s="33" t="n"/>
      <c r="J427" s="33" t="n"/>
      <c r="K427" s="33" t="n"/>
      <c r="L427" s="33" t="n"/>
      <c r="M427" s="33" t="n"/>
      <c r="N427" s="33" t="n"/>
      <c r="O427" s="33" t="n"/>
      <c r="P427" s="33" t="n"/>
      <c r="Q427" s="33" t="n"/>
      <c r="R427" s="33" t="n"/>
      <c r="S427" s="33" t="n"/>
      <c r="T427" s="33" t="n"/>
      <c r="U427" s="33" t="n"/>
      <c r="V427" s="33" t="n"/>
      <c r="W427" s="34" t="n"/>
      <c r="X427" s="33" t="n"/>
      <c r="Y427" s="35" t="n"/>
      <c r="Z427" s="157">
        <f>IF(OR(Y427="",X427=""),"",IFERROR(Y427*INDEX(FXRates[USD per unit],MATCH(X427,FXRates[Currency],0)),"No rate"))</f>
        <v/>
      </c>
      <c r="AA427" s="32" t="n"/>
      <c r="AB427" s="32" t="n"/>
      <c r="AC427" s="36">
        <f>IF(A427="","",IF(COUNTIF($A$6:$A$504,A427)&gt;1,"⚠ Duplicate",""))</f>
        <v/>
      </c>
      <c r="AD427" s="43" t="n"/>
      <c r="AE427" s="43" t="n"/>
      <c r="AF427" s="43" t="n"/>
      <c r="AG427" s="43" t="n"/>
      <c r="AH427" s="43" t="n"/>
      <c r="AI427" s="43" t="n"/>
      <c r="AJ427" s="43" t="n"/>
      <c r="AK427" s="43" t="n"/>
      <c r="AL427" s="43" t="n"/>
      <c r="AM427" s="43" t="n"/>
      <c r="AN427" s="43" t="n"/>
      <c r="AO427" s="43" t="n"/>
      <c r="AP427" s="43" t="n"/>
      <c r="AQ427" s="43" t="n"/>
    </row>
    <row r="428" ht="18" customHeight="1" s="74">
      <c r="A428" s="38" t="n"/>
      <c r="B428" s="38" t="n"/>
      <c r="C428" s="38" t="n"/>
      <c r="D428" s="38" t="n"/>
      <c r="E428" s="39" t="n"/>
      <c r="F428" s="39" t="n"/>
      <c r="G428" s="39" t="n"/>
      <c r="H428" s="39" t="n"/>
      <c r="I428" s="39" t="n"/>
      <c r="J428" s="39" t="n"/>
      <c r="K428" s="39" t="n"/>
      <c r="L428" s="39" t="n"/>
      <c r="M428" s="39" t="n"/>
      <c r="N428" s="39" t="n"/>
      <c r="O428" s="39" t="n"/>
      <c r="P428" s="39" t="n"/>
      <c r="Q428" s="39" t="n"/>
      <c r="R428" s="39" t="n"/>
      <c r="S428" s="39" t="n"/>
      <c r="T428" s="39" t="n"/>
      <c r="U428" s="39" t="n"/>
      <c r="V428" s="39" t="n"/>
      <c r="W428" s="34" t="n"/>
      <c r="X428" s="39" t="n"/>
      <c r="Y428" s="40" t="n"/>
      <c r="Z428" s="158">
        <f>IF(OR(Y428="",X428=""),"",IFERROR(Y428*INDEX(FXRates[USD per unit],MATCH(X428,FXRates[Currency],0)),"No rate"))</f>
        <v/>
      </c>
      <c r="AA428" s="38" t="n"/>
      <c r="AB428" s="38" t="n"/>
      <c r="AC428" s="41">
        <f>IF(A428="","",IF(COUNTIF($A$6:$A$504,A428)&gt;1,"⚠ Duplicate",""))</f>
        <v/>
      </c>
      <c r="AD428" s="42" t="n"/>
      <c r="AE428" s="42" t="n"/>
      <c r="AF428" s="42" t="n"/>
      <c r="AG428" s="42" t="n"/>
      <c r="AH428" s="42" t="n"/>
      <c r="AI428" s="42" t="n"/>
      <c r="AJ428" s="42" t="n"/>
      <c r="AK428" s="42" t="n"/>
      <c r="AL428" s="42" t="n"/>
      <c r="AM428" s="42" t="n"/>
      <c r="AN428" s="42" t="n"/>
      <c r="AO428" s="42" t="n"/>
      <c r="AP428" s="42" t="n"/>
      <c r="AQ428" s="42" t="n"/>
    </row>
    <row r="429" ht="18" customHeight="1" s="74">
      <c r="A429" s="32" t="n"/>
      <c r="B429" s="32" t="n"/>
      <c r="C429" s="32" t="n"/>
      <c r="D429" s="32" t="n"/>
      <c r="E429" s="33" t="n"/>
      <c r="F429" s="33" t="n"/>
      <c r="G429" s="33" t="n"/>
      <c r="H429" s="33" t="n"/>
      <c r="I429" s="33" t="n"/>
      <c r="J429" s="33" t="n"/>
      <c r="K429" s="33" t="n"/>
      <c r="L429" s="33" t="n"/>
      <c r="M429" s="33" t="n"/>
      <c r="N429" s="33" t="n"/>
      <c r="O429" s="33" t="n"/>
      <c r="P429" s="33" t="n"/>
      <c r="Q429" s="33" t="n"/>
      <c r="R429" s="33" t="n"/>
      <c r="S429" s="33" t="n"/>
      <c r="T429" s="33" t="n"/>
      <c r="U429" s="33" t="n"/>
      <c r="V429" s="33" t="n"/>
      <c r="W429" s="34" t="n"/>
      <c r="X429" s="33" t="n"/>
      <c r="Y429" s="35" t="n"/>
      <c r="Z429" s="157">
        <f>IF(OR(Y429="",X429=""),"",IFERROR(Y429*INDEX(FXRates[USD per unit],MATCH(X429,FXRates[Currency],0)),"No rate"))</f>
        <v/>
      </c>
      <c r="AA429" s="32" t="n"/>
      <c r="AB429" s="32" t="n"/>
      <c r="AC429" s="36">
        <f>IF(A429="","",IF(COUNTIF($A$6:$A$504,A429)&gt;1,"⚠ Duplicate",""))</f>
        <v/>
      </c>
      <c r="AD429" s="43" t="n"/>
      <c r="AE429" s="43" t="n"/>
      <c r="AF429" s="43" t="n"/>
      <c r="AG429" s="43" t="n"/>
      <c r="AH429" s="43" t="n"/>
      <c r="AI429" s="43" t="n"/>
      <c r="AJ429" s="43" t="n"/>
      <c r="AK429" s="43" t="n"/>
      <c r="AL429" s="43" t="n"/>
      <c r="AM429" s="43" t="n"/>
      <c r="AN429" s="43" t="n"/>
      <c r="AO429" s="43" t="n"/>
      <c r="AP429" s="43" t="n"/>
      <c r="AQ429" s="43" t="n"/>
    </row>
    <row r="430" ht="18" customHeight="1" s="74">
      <c r="A430" s="38" t="n"/>
      <c r="B430" s="38" t="n"/>
      <c r="C430" s="38" t="n"/>
      <c r="D430" s="38" t="n"/>
      <c r="E430" s="39" t="n"/>
      <c r="F430" s="39" t="n"/>
      <c r="G430" s="39" t="n"/>
      <c r="H430" s="39" t="n"/>
      <c r="I430" s="39" t="n"/>
      <c r="J430" s="39" t="n"/>
      <c r="K430" s="39" t="n"/>
      <c r="L430" s="39" t="n"/>
      <c r="M430" s="39" t="n"/>
      <c r="N430" s="39" t="n"/>
      <c r="O430" s="39" t="n"/>
      <c r="P430" s="39" t="n"/>
      <c r="Q430" s="39" t="n"/>
      <c r="R430" s="39" t="n"/>
      <c r="S430" s="39" t="n"/>
      <c r="T430" s="39" t="n"/>
      <c r="U430" s="39" t="n"/>
      <c r="V430" s="39" t="n"/>
      <c r="W430" s="34" t="n"/>
      <c r="X430" s="39" t="n"/>
      <c r="Y430" s="40" t="n"/>
      <c r="Z430" s="158">
        <f>IF(OR(Y430="",X430=""),"",IFERROR(Y430*INDEX(FXRates[USD per unit],MATCH(X430,FXRates[Currency],0)),"No rate"))</f>
        <v/>
      </c>
      <c r="AA430" s="38" t="n"/>
      <c r="AB430" s="38" t="n"/>
      <c r="AC430" s="41">
        <f>IF(A430="","",IF(COUNTIF($A$6:$A$504,A430)&gt;1,"⚠ Duplicate",""))</f>
        <v/>
      </c>
      <c r="AD430" s="42" t="n"/>
      <c r="AE430" s="42" t="n"/>
      <c r="AF430" s="42" t="n"/>
      <c r="AG430" s="42" t="n"/>
      <c r="AH430" s="42" t="n"/>
      <c r="AI430" s="42" t="n"/>
      <c r="AJ430" s="42" t="n"/>
      <c r="AK430" s="42" t="n"/>
      <c r="AL430" s="42" t="n"/>
      <c r="AM430" s="42" t="n"/>
      <c r="AN430" s="42" t="n"/>
      <c r="AO430" s="42" t="n"/>
      <c r="AP430" s="42" t="n"/>
      <c r="AQ430" s="42" t="n"/>
    </row>
    <row r="431" ht="18" customHeight="1" s="74">
      <c r="A431" s="32" t="n"/>
      <c r="B431" s="32" t="n"/>
      <c r="C431" s="32" t="n"/>
      <c r="D431" s="32" t="n"/>
      <c r="E431" s="33" t="n"/>
      <c r="F431" s="33" t="n"/>
      <c r="G431" s="33" t="n"/>
      <c r="H431" s="33" t="n"/>
      <c r="I431" s="33" t="n"/>
      <c r="J431" s="33" t="n"/>
      <c r="K431" s="33" t="n"/>
      <c r="L431" s="33" t="n"/>
      <c r="M431" s="33" t="n"/>
      <c r="N431" s="33" t="n"/>
      <c r="O431" s="33" t="n"/>
      <c r="P431" s="33" t="n"/>
      <c r="Q431" s="33" t="n"/>
      <c r="R431" s="33" t="n"/>
      <c r="S431" s="33" t="n"/>
      <c r="T431" s="33" t="n"/>
      <c r="U431" s="33" t="n"/>
      <c r="V431" s="33" t="n"/>
      <c r="W431" s="34" t="n"/>
      <c r="X431" s="33" t="n"/>
      <c r="Y431" s="35" t="n"/>
      <c r="Z431" s="157">
        <f>IF(OR(Y431="",X431=""),"",IFERROR(Y431*INDEX(FXRates[USD per unit],MATCH(X431,FXRates[Currency],0)),"No rate"))</f>
        <v/>
      </c>
      <c r="AA431" s="32" t="n"/>
      <c r="AB431" s="32" t="n"/>
      <c r="AC431" s="36">
        <f>IF(A431="","",IF(COUNTIF($A$6:$A$504,A431)&gt;1,"⚠ Duplicate",""))</f>
        <v/>
      </c>
      <c r="AD431" s="43" t="n"/>
      <c r="AE431" s="43" t="n"/>
      <c r="AF431" s="43" t="n"/>
      <c r="AG431" s="43" t="n"/>
      <c r="AH431" s="43" t="n"/>
      <c r="AI431" s="43" t="n"/>
      <c r="AJ431" s="43" t="n"/>
      <c r="AK431" s="43" t="n"/>
      <c r="AL431" s="43" t="n"/>
      <c r="AM431" s="43" t="n"/>
      <c r="AN431" s="43" t="n"/>
      <c r="AO431" s="43" t="n"/>
      <c r="AP431" s="43" t="n"/>
      <c r="AQ431" s="43" t="n"/>
    </row>
    <row r="432" ht="18" customHeight="1" s="74">
      <c r="A432" s="38" t="n"/>
      <c r="B432" s="38" t="n"/>
      <c r="C432" s="38" t="n"/>
      <c r="D432" s="38" t="n"/>
      <c r="E432" s="39" t="n"/>
      <c r="F432" s="39" t="n"/>
      <c r="G432" s="39" t="n"/>
      <c r="H432" s="39" t="n"/>
      <c r="I432" s="39" t="n"/>
      <c r="J432" s="39" t="n"/>
      <c r="K432" s="39" t="n"/>
      <c r="L432" s="39" t="n"/>
      <c r="M432" s="39" t="n"/>
      <c r="N432" s="39" t="n"/>
      <c r="O432" s="39" t="n"/>
      <c r="P432" s="39" t="n"/>
      <c r="Q432" s="39" t="n"/>
      <c r="R432" s="39" t="n"/>
      <c r="S432" s="39" t="n"/>
      <c r="T432" s="39" t="n"/>
      <c r="U432" s="39" t="n"/>
      <c r="V432" s="39" t="n"/>
      <c r="W432" s="34" t="n"/>
      <c r="X432" s="39" t="n"/>
      <c r="Y432" s="40" t="n"/>
      <c r="Z432" s="158">
        <f>IF(OR(Y432="",X432=""),"",IFERROR(Y432*INDEX(FXRates[USD per unit],MATCH(X432,FXRates[Currency],0)),"No rate"))</f>
        <v/>
      </c>
      <c r="AA432" s="38" t="n"/>
      <c r="AB432" s="38" t="n"/>
      <c r="AC432" s="41">
        <f>IF(A432="","",IF(COUNTIF($A$6:$A$504,A432)&gt;1,"⚠ Duplicate",""))</f>
        <v/>
      </c>
      <c r="AD432" s="42" t="n"/>
      <c r="AE432" s="42" t="n"/>
      <c r="AF432" s="42" t="n"/>
      <c r="AG432" s="42" t="n"/>
      <c r="AH432" s="42" t="n"/>
      <c r="AI432" s="42" t="n"/>
      <c r="AJ432" s="42" t="n"/>
      <c r="AK432" s="42" t="n"/>
      <c r="AL432" s="42" t="n"/>
      <c r="AM432" s="42" t="n"/>
      <c r="AN432" s="42" t="n"/>
      <c r="AO432" s="42" t="n"/>
      <c r="AP432" s="42" t="n"/>
      <c r="AQ432" s="42" t="n"/>
    </row>
    <row r="433" ht="18" customHeight="1" s="74">
      <c r="A433" s="32" t="n"/>
      <c r="B433" s="32" t="n"/>
      <c r="C433" s="32" t="n"/>
      <c r="D433" s="32" t="n"/>
      <c r="E433" s="33" t="n"/>
      <c r="F433" s="33" t="n"/>
      <c r="G433" s="33" t="n"/>
      <c r="H433" s="33" t="n"/>
      <c r="I433" s="33" t="n"/>
      <c r="J433" s="33" t="n"/>
      <c r="K433" s="33" t="n"/>
      <c r="L433" s="33" t="n"/>
      <c r="M433" s="33" t="n"/>
      <c r="N433" s="33" t="n"/>
      <c r="O433" s="33" t="n"/>
      <c r="P433" s="33" t="n"/>
      <c r="Q433" s="33" t="n"/>
      <c r="R433" s="33" t="n"/>
      <c r="S433" s="33" t="n"/>
      <c r="T433" s="33" t="n"/>
      <c r="U433" s="33" t="n"/>
      <c r="V433" s="33" t="n"/>
      <c r="W433" s="34" t="n"/>
      <c r="X433" s="33" t="n"/>
      <c r="Y433" s="35" t="n"/>
      <c r="Z433" s="157">
        <f>IF(OR(Y433="",X433=""),"",IFERROR(Y433*INDEX(FXRates[USD per unit],MATCH(X433,FXRates[Currency],0)),"No rate"))</f>
        <v/>
      </c>
      <c r="AA433" s="32" t="n"/>
      <c r="AB433" s="32" t="n"/>
      <c r="AC433" s="36">
        <f>IF(A433="","",IF(COUNTIF($A$6:$A$504,A433)&gt;1,"⚠ Duplicate",""))</f>
        <v/>
      </c>
      <c r="AD433" s="43" t="n"/>
      <c r="AE433" s="43" t="n"/>
      <c r="AF433" s="43" t="n"/>
      <c r="AG433" s="43" t="n"/>
      <c r="AH433" s="43" t="n"/>
      <c r="AI433" s="43" t="n"/>
      <c r="AJ433" s="43" t="n"/>
      <c r="AK433" s="43" t="n"/>
      <c r="AL433" s="43" t="n"/>
      <c r="AM433" s="43" t="n"/>
      <c r="AN433" s="43" t="n"/>
      <c r="AO433" s="43" t="n"/>
      <c r="AP433" s="43" t="n"/>
      <c r="AQ433" s="43" t="n"/>
    </row>
    <row r="434" ht="18" customHeight="1" s="74">
      <c r="A434" s="38" t="n"/>
      <c r="B434" s="38" t="n"/>
      <c r="C434" s="38" t="n"/>
      <c r="D434" s="38" t="n"/>
      <c r="E434" s="39" t="n"/>
      <c r="F434" s="39" t="n"/>
      <c r="G434" s="39" t="n"/>
      <c r="H434" s="39" t="n"/>
      <c r="I434" s="39" t="n"/>
      <c r="J434" s="39" t="n"/>
      <c r="K434" s="39" t="n"/>
      <c r="L434" s="39" t="n"/>
      <c r="M434" s="39" t="n"/>
      <c r="N434" s="39" t="n"/>
      <c r="O434" s="39" t="n"/>
      <c r="P434" s="39" t="n"/>
      <c r="Q434" s="39" t="n"/>
      <c r="R434" s="39" t="n"/>
      <c r="S434" s="39" t="n"/>
      <c r="T434" s="39" t="n"/>
      <c r="U434" s="39" t="n"/>
      <c r="V434" s="39" t="n"/>
      <c r="W434" s="34" t="n"/>
      <c r="X434" s="39" t="n"/>
      <c r="Y434" s="40" t="n"/>
      <c r="Z434" s="158">
        <f>IF(OR(Y434="",X434=""),"",IFERROR(Y434*INDEX(FXRates[USD per unit],MATCH(X434,FXRates[Currency],0)),"No rate"))</f>
        <v/>
      </c>
      <c r="AA434" s="38" t="n"/>
      <c r="AB434" s="38" t="n"/>
      <c r="AC434" s="41">
        <f>IF(A434="","",IF(COUNTIF($A$6:$A$504,A434)&gt;1,"⚠ Duplicate",""))</f>
        <v/>
      </c>
      <c r="AD434" s="42" t="n"/>
      <c r="AE434" s="42" t="n"/>
      <c r="AF434" s="42" t="n"/>
      <c r="AG434" s="42" t="n"/>
      <c r="AH434" s="42" t="n"/>
      <c r="AI434" s="42" t="n"/>
      <c r="AJ434" s="42" t="n"/>
      <c r="AK434" s="42" t="n"/>
      <c r="AL434" s="42" t="n"/>
      <c r="AM434" s="42" t="n"/>
      <c r="AN434" s="42" t="n"/>
      <c r="AO434" s="42" t="n"/>
      <c r="AP434" s="42" t="n"/>
      <c r="AQ434" s="42" t="n"/>
    </row>
    <row r="435" ht="18" customHeight="1" s="74">
      <c r="A435" s="32" t="n"/>
      <c r="B435" s="32" t="n"/>
      <c r="C435" s="32" t="n"/>
      <c r="D435" s="32" t="n"/>
      <c r="E435" s="33" t="n"/>
      <c r="F435" s="33" t="n"/>
      <c r="G435" s="33" t="n"/>
      <c r="H435" s="33" t="n"/>
      <c r="I435" s="33" t="n"/>
      <c r="J435" s="33" t="n"/>
      <c r="K435" s="33" t="n"/>
      <c r="L435" s="33" t="n"/>
      <c r="M435" s="33" t="n"/>
      <c r="N435" s="33" t="n"/>
      <c r="O435" s="33" t="n"/>
      <c r="P435" s="33" t="n"/>
      <c r="Q435" s="33" t="n"/>
      <c r="R435" s="33" t="n"/>
      <c r="S435" s="33" t="n"/>
      <c r="T435" s="33" t="n"/>
      <c r="U435" s="33" t="n"/>
      <c r="V435" s="33" t="n"/>
      <c r="W435" s="34" t="n"/>
      <c r="X435" s="33" t="n"/>
      <c r="Y435" s="35" t="n"/>
      <c r="Z435" s="157">
        <f>IF(OR(Y435="",X435=""),"",IFERROR(Y435*INDEX(FXRates[USD per unit],MATCH(X435,FXRates[Currency],0)),"No rate"))</f>
        <v/>
      </c>
      <c r="AA435" s="32" t="n"/>
      <c r="AB435" s="32" t="n"/>
      <c r="AC435" s="36">
        <f>IF(A435="","",IF(COUNTIF($A$6:$A$504,A435)&gt;1,"⚠ Duplicate",""))</f>
        <v/>
      </c>
      <c r="AD435" s="43" t="n"/>
      <c r="AE435" s="43" t="n"/>
      <c r="AF435" s="43" t="n"/>
      <c r="AG435" s="43" t="n"/>
      <c r="AH435" s="43" t="n"/>
      <c r="AI435" s="43" t="n"/>
      <c r="AJ435" s="43" t="n"/>
      <c r="AK435" s="43" t="n"/>
      <c r="AL435" s="43" t="n"/>
      <c r="AM435" s="43" t="n"/>
      <c r="AN435" s="43" t="n"/>
      <c r="AO435" s="43" t="n"/>
      <c r="AP435" s="43" t="n"/>
      <c r="AQ435" s="43" t="n"/>
    </row>
    <row r="436" ht="18" customHeight="1" s="74">
      <c r="A436" s="38" t="n"/>
      <c r="B436" s="38" t="n"/>
      <c r="C436" s="38" t="n"/>
      <c r="D436" s="38" t="n"/>
      <c r="E436" s="39" t="n"/>
      <c r="F436" s="39" t="n"/>
      <c r="G436" s="39" t="n"/>
      <c r="H436" s="39" t="n"/>
      <c r="I436" s="39" t="n"/>
      <c r="J436" s="39" t="n"/>
      <c r="K436" s="39" t="n"/>
      <c r="L436" s="39" t="n"/>
      <c r="M436" s="39" t="n"/>
      <c r="N436" s="39" t="n"/>
      <c r="O436" s="39" t="n"/>
      <c r="P436" s="39" t="n"/>
      <c r="Q436" s="39" t="n"/>
      <c r="R436" s="39" t="n"/>
      <c r="S436" s="39" t="n"/>
      <c r="T436" s="39" t="n"/>
      <c r="U436" s="39" t="n"/>
      <c r="V436" s="39" t="n"/>
      <c r="W436" s="34" t="n"/>
      <c r="X436" s="39" t="n"/>
      <c r="Y436" s="40" t="n"/>
      <c r="Z436" s="158">
        <f>IF(OR(Y436="",X436=""),"",IFERROR(Y436*INDEX(FXRates[USD per unit],MATCH(X436,FXRates[Currency],0)),"No rate"))</f>
        <v/>
      </c>
      <c r="AA436" s="38" t="n"/>
      <c r="AB436" s="38" t="n"/>
      <c r="AC436" s="41">
        <f>IF(A436="","",IF(COUNTIF($A$6:$A$504,A436)&gt;1,"⚠ Duplicate",""))</f>
        <v/>
      </c>
      <c r="AD436" s="42" t="n"/>
      <c r="AE436" s="42" t="n"/>
      <c r="AF436" s="42" t="n"/>
      <c r="AG436" s="42" t="n"/>
      <c r="AH436" s="42" t="n"/>
      <c r="AI436" s="42" t="n"/>
      <c r="AJ436" s="42" t="n"/>
      <c r="AK436" s="42" t="n"/>
      <c r="AL436" s="42" t="n"/>
      <c r="AM436" s="42" t="n"/>
      <c r="AN436" s="42" t="n"/>
      <c r="AO436" s="42" t="n"/>
      <c r="AP436" s="42" t="n"/>
      <c r="AQ436" s="42" t="n"/>
    </row>
    <row r="437" ht="18" customHeight="1" s="74">
      <c r="A437" s="32" t="n"/>
      <c r="B437" s="32" t="n"/>
      <c r="C437" s="32" t="n"/>
      <c r="D437" s="32" t="n"/>
      <c r="E437" s="33" t="n"/>
      <c r="F437" s="33" t="n"/>
      <c r="G437" s="33" t="n"/>
      <c r="H437" s="33" t="n"/>
      <c r="I437" s="33" t="n"/>
      <c r="J437" s="33" t="n"/>
      <c r="K437" s="33" t="n"/>
      <c r="L437" s="33" t="n"/>
      <c r="M437" s="33" t="n"/>
      <c r="N437" s="33" t="n"/>
      <c r="O437" s="33" t="n"/>
      <c r="P437" s="33" t="n"/>
      <c r="Q437" s="33" t="n"/>
      <c r="R437" s="33" t="n"/>
      <c r="S437" s="33" t="n"/>
      <c r="T437" s="33" t="n"/>
      <c r="U437" s="33" t="n"/>
      <c r="V437" s="33" t="n"/>
      <c r="W437" s="34" t="n"/>
      <c r="X437" s="33" t="n"/>
      <c r="Y437" s="35" t="n"/>
      <c r="Z437" s="157">
        <f>IF(OR(Y437="",X437=""),"",IFERROR(Y437*INDEX(FXRates[USD per unit],MATCH(X437,FXRates[Currency],0)),"No rate"))</f>
        <v/>
      </c>
      <c r="AA437" s="32" t="n"/>
      <c r="AB437" s="32" t="n"/>
      <c r="AC437" s="36">
        <f>IF(A437="","",IF(COUNTIF($A$6:$A$504,A437)&gt;1,"⚠ Duplicate",""))</f>
        <v/>
      </c>
      <c r="AD437" s="43" t="n"/>
      <c r="AE437" s="43" t="n"/>
      <c r="AF437" s="43" t="n"/>
      <c r="AG437" s="43" t="n"/>
      <c r="AH437" s="43" t="n"/>
      <c r="AI437" s="43" t="n"/>
      <c r="AJ437" s="43" t="n"/>
      <c r="AK437" s="43" t="n"/>
      <c r="AL437" s="43" t="n"/>
      <c r="AM437" s="43" t="n"/>
      <c r="AN437" s="43" t="n"/>
      <c r="AO437" s="43" t="n"/>
      <c r="AP437" s="43" t="n"/>
      <c r="AQ437" s="43" t="n"/>
    </row>
    <row r="438" ht="18" customHeight="1" s="74">
      <c r="A438" s="38" t="n"/>
      <c r="B438" s="38" t="n"/>
      <c r="C438" s="38" t="n"/>
      <c r="D438" s="38" t="n"/>
      <c r="E438" s="39" t="n"/>
      <c r="F438" s="39" t="n"/>
      <c r="G438" s="39" t="n"/>
      <c r="H438" s="39" t="n"/>
      <c r="I438" s="39" t="n"/>
      <c r="J438" s="39" t="n"/>
      <c r="K438" s="39" t="n"/>
      <c r="L438" s="39" t="n"/>
      <c r="M438" s="39" t="n"/>
      <c r="N438" s="39" t="n"/>
      <c r="O438" s="39" t="n"/>
      <c r="P438" s="39" t="n"/>
      <c r="Q438" s="39" t="n"/>
      <c r="R438" s="39" t="n"/>
      <c r="S438" s="39" t="n"/>
      <c r="T438" s="39" t="n"/>
      <c r="U438" s="39" t="n"/>
      <c r="V438" s="39" t="n"/>
      <c r="W438" s="34" t="n"/>
      <c r="X438" s="39" t="n"/>
      <c r="Y438" s="40" t="n"/>
      <c r="Z438" s="158">
        <f>IF(OR(Y438="",X438=""),"",IFERROR(Y438*INDEX(FXRates[USD per unit],MATCH(X438,FXRates[Currency],0)),"No rate"))</f>
        <v/>
      </c>
      <c r="AA438" s="38" t="n"/>
      <c r="AB438" s="38" t="n"/>
      <c r="AC438" s="41">
        <f>IF(A438="","",IF(COUNTIF($A$6:$A$504,A438)&gt;1,"⚠ Duplicate",""))</f>
        <v/>
      </c>
      <c r="AD438" s="42" t="n"/>
      <c r="AE438" s="42" t="n"/>
      <c r="AF438" s="42" t="n"/>
      <c r="AG438" s="42" t="n"/>
      <c r="AH438" s="42" t="n"/>
      <c r="AI438" s="42" t="n"/>
      <c r="AJ438" s="42" t="n"/>
      <c r="AK438" s="42" t="n"/>
      <c r="AL438" s="42" t="n"/>
      <c r="AM438" s="42" t="n"/>
      <c r="AN438" s="42" t="n"/>
      <c r="AO438" s="42" t="n"/>
      <c r="AP438" s="42" t="n"/>
      <c r="AQ438" s="42" t="n"/>
    </row>
    <row r="439" ht="18" customHeight="1" s="74">
      <c r="A439" s="32" t="n"/>
      <c r="B439" s="32" t="n"/>
      <c r="C439" s="32" t="n"/>
      <c r="D439" s="32" t="n"/>
      <c r="E439" s="33" t="n"/>
      <c r="F439" s="33" t="n"/>
      <c r="G439" s="33" t="n"/>
      <c r="H439" s="33" t="n"/>
      <c r="I439" s="33" t="n"/>
      <c r="J439" s="33" t="n"/>
      <c r="K439" s="33" t="n"/>
      <c r="L439" s="33" t="n"/>
      <c r="M439" s="33" t="n"/>
      <c r="N439" s="33" t="n"/>
      <c r="O439" s="33" t="n"/>
      <c r="P439" s="33" t="n"/>
      <c r="Q439" s="33" t="n"/>
      <c r="R439" s="33" t="n"/>
      <c r="S439" s="33" t="n"/>
      <c r="T439" s="33" t="n"/>
      <c r="U439" s="33" t="n"/>
      <c r="V439" s="33" t="n"/>
      <c r="W439" s="34" t="n"/>
      <c r="X439" s="33" t="n"/>
      <c r="Y439" s="35" t="n"/>
      <c r="Z439" s="157">
        <f>IF(OR(Y439="",X439=""),"",IFERROR(Y439*INDEX(FXRates[USD per unit],MATCH(X439,FXRates[Currency],0)),"No rate"))</f>
        <v/>
      </c>
      <c r="AA439" s="32" t="n"/>
      <c r="AB439" s="32" t="n"/>
      <c r="AC439" s="36">
        <f>IF(A439="","",IF(COUNTIF($A$6:$A$504,A439)&gt;1,"⚠ Duplicate",""))</f>
        <v/>
      </c>
      <c r="AD439" s="43" t="n"/>
      <c r="AE439" s="43" t="n"/>
      <c r="AF439" s="43" t="n"/>
      <c r="AG439" s="43" t="n"/>
      <c r="AH439" s="43" t="n"/>
      <c r="AI439" s="43" t="n"/>
      <c r="AJ439" s="43" t="n"/>
      <c r="AK439" s="43" t="n"/>
      <c r="AL439" s="43" t="n"/>
      <c r="AM439" s="43" t="n"/>
      <c r="AN439" s="43" t="n"/>
      <c r="AO439" s="43" t="n"/>
      <c r="AP439" s="43" t="n"/>
      <c r="AQ439" s="43" t="n"/>
    </row>
    <row r="440" ht="18" customHeight="1" s="74">
      <c r="A440" s="38" t="n"/>
      <c r="B440" s="38" t="n"/>
      <c r="C440" s="38" t="n"/>
      <c r="D440" s="38" t="n"/>
      <c r="E440" s="39" t="n"/>
      <c r="F440" s="39" t="n"/>
      <c r="G440" s="39" t="n"/>
      <c r="H440" s="39" t="n"/>
      <c r="I440" s="39" t="n"/>
      <c r="J440" s="39" t="n"/>
      <c r="K440" s="39" t="n"/>
      <c r="L440" s="39" t="n"/>
      <c r="M440" s="39" t="n"/>
      <c r="N440" s="39" t="n"/>
      <c r="O440" s="39" t="n"/>
      <c r="P440" s="39" t="n"/>
      <c r="Q440" s="39" t="n"/>
      <c r="R440" s="39" t="n"/>
      <c r="S440" s="39" t="n"/>
      <c r="T440" s="39" t="n"/>
      <c r="U440" s="39" t="n"/>
      <c r="V440" s="39" t="n"/>
      <c r="W440" s="34" t="n"/>
      <c r="X440" s="39" t="n"/>
      <c r="Y440" s="40" t="n"/>
      <c r="Z440" s="158">
        <f>IF(OR(Y440="",X440=""),"",IFERROR(Y440*INDEX(FXRates[USD per unit],MATCH(X440,FXRates[Currency],0)),"No rate"))</f>
        <v/>
      </c>
      <c r="AA440" s="38" t="n"/>
      <c r="AB440" s="38" t="n"/>
      <c r="AC440" s="41">
        <f>IF(A440="","",IF(COUNTIF($A$6:$A$504,A440)&gt;1,"⚠ Duplicate",""))</f>
        <v/>
      </c>
      <c r="AD440" s="42" t="n"/>
      <c r="AE440" s="42" t="n"/>
      <c r="AF440" s="42" t="n"/>
      <c r="AG440" s="42" t="n"/>
      <c r="AH440" s="42" t="n"/>
      <c r="AI440" s="42" t="n"/>
      <c r="AJ440" s="42" t="n"/>
      <c r="AK440" s="42" t="n"/>
      <c r="AL440" s="42" t="n"/>
      <c r="AM440" s="42" t="n"/>
      <c r="AN440" s="42" t="n"/>
      <c r="AO440" s="42" t="n"/>
      <c r="AP440" s="42" t="n"/>
      <c r="AQ440" s="42" t="n"/>
    </row>
    <row r="441" ht="18" customHeight="1" s="74">
      <c r="A441" s="32" t="n"/>
      <c r="B441" s="32" t="n"/>
      <c r="C441" s="32" t="n"/>
      <c r="D441" s="32" t="n"/>
      <c r="E441" s="33" t="n"/>
      <c r="F441" s="33" t="n"/>
      <c r="G441" s="33" t="n"/>
      <c r="H441" s="33" t="n"/>
      <c r="I441" s="33" t="n"/>
      <c r="J441" s="33" t="n"/>
      <c r="K441" s="33" t="n"/>
      <c r="L441" s="33" t="n"/>
      <c r="M441" s="33" t="n"/>
      <c r="N441" s="33" t="n"/>
      <c r="O441" s="33" t="n"/>
      <c r="P441" s="33" t="n"/>
      <c r="Q441" s="33" t="n"/>
      <c r="R441" s="33" t="n"/>
      <c r="S441" s="33" t="n"/>
      <c r="T441" s="33" t="n"/>
      <c r="U441" s="33" t="n"/>
      <c r="V441" s="33" t="n"/>
      <c r="W441" s="34" t="n"/>
      <c r="X441" s="33" t="n"/>
      <c r="Y441" s="35" t="n"/>
      <c r="Z441" s="157">
        <f>IF(OR(Y441="",X441=""),"",IFERROR(Y441*INDEX(FXRates[USD per unit],MATCH(X441,FXRates[Currency],0)),"No rate"))</f>
        <v/>
      </c>
      <c r="AA441" s="32" t="n"/>
      <c r="AB441" s="32" t="n"/>
      <c r="AC441" s="36">
        <f>IF(A441="","",IF(COUNTIF($A$6:$A$504,A441)&gt;1,"⚠ Duplicate",""))</f>
        <v/>
      </c>
      <c r="AD441" s="43" t="n"/>
      <c r="AE441" s="43" t="n"/>
      <c r="AF441" s="43" t="n"/>
      <c r="AG441" s="43" t="n"/>
      <c r="AH441" s="43" t="n"/>
      <c r="AI441" s="43" t="n"/>
      <c r="AJ441" s="43" t="n"/>
      <c r="AK441" s="43" t="n"/>
      <c r="AL441" s="43" t="n"/>
      <c r="AM441" s="43" t="n"/>
      <c r="AN441" s="43" t="n"/>
      <c r="AO441" s="43" t="n"/>
      <c r="AP441" s="43" t="n"/>
      <c r="AQ441" s="43" t="n"/>
    </row>
    <row r="442" ht="18" customHeight="1" s="74">
      <c r="A442" s="38" t="n"/>
      <c r="B442" s="38" t="n"/>
      <c r="C442" s="38" t="n"/>
      <c r="D442" s="38" t="n"/>
      <c r="E442" s="39" t="n"/>
      <c r="F442" s="39" t="n"/>
      <c r="G442" s="39" t="n"/>
      <c r="H442" s="39" t="n"/>
      <c r="I442" s="39" t="n"/>
      <c r="J442" s="39" t="n"/>
      <c r="K442" s="39" t="n"/>
      <c r="L442" s="39" t="n"/>
      <c r="M442" s="39" t="n"/>
      <c r="N442" s="39" t="n"/>
      <c r="O442" s="39" t="n"/>
      <c r="P442" s="39" t="n"/>
      <c r="Q442" s="39" t="n"/>
      <c r="R442" s="39" t="n"/>
      <c r="S442" s="39" t="n"/>
      <c r="T442" s="39" t="n"/>
      <c r="U442" s="39" t="n"/>
      <c r="V442" s="39" t="n"/>
      <c r="W442" s="34" t="n"/>
      <c r="X442" s="39" t="n"/>
      <c r="Y442" s="40" t="n"/>
      <c r="Z442" s="158">
        <f>IF(OR(Y442="",X442=""),"",IFERROR(Y442*INDEX(FXRates[USD per unit],MATCH(X442,FXRates[Currency],0)),"No rate"))</f>
        <v/>
      </c>
      <c r="AA442" s="38" t="n"/>
      <c r="AB442" s="38" t="n"/>
      <c r="AC442" s="41">
        <f>IF(A442="","",IF(COUNTIF($A$6:$A$504,A442)&gt;1,"⚠ Duplicate",""))</f>
        <v/>
      </c>
      <c r="AD442" s="42" t="n"/>
      <c r="AE442" s="42" t="n"/>
      <c r="AF442" s="42" t="n"/>
      <c r="AG442" s="42" t="n"/>
      <c r="AH442" s="42" t="n"/>
      <c r="AI442" s="42" t="n"/>
      <c r="AJ442" s="42" t="n"/>
      <c r="AK442" s="42" t="n"/>
      <c r="AL442" s="42" t="n"/>
      <c r="AM442" s="42" t="n"/>
      <c r="AN442" s="42" t="n"/>
      <c r="AO442" s="42" t="n"/>
      <c r="AP442" s="42" t="n"/>
      <c r="AQ442" s="42" t="n"/>
    </row>
    <row r="443" ht="18" customHeight="1" s="74">
      <c r="A443" s="32" t="n"/>
      <c r="B443" s="32" t="n"/>
      <c r="C443" s="32" t="n"/>
      <c r="D443" s="32" t="n"/>
      <c r="E443" s="33" t="n"/>
      <c r="F443" s="33" t="n"/>
      <c r="G443" s="33" t="n"/>
      <c r="H443" s="33" t="n"/>
      <c r="I443" s="33" t="n"/>
      <c r="J443" s="33" t="n"/>
      <c r="K443" s="33" t="n"/>
      <c r="L443" s="33" t="n"/>
      <c r="M443" s="33" t="n"/>
      <c r="N443" s="33" t="n"/>
      <c r="O443" s="33" t="n"/>
      <c r="P443" s="33" t="n"/>
      <c r="Q443" s="33" t="n"/>
      <c r="R443" s="33" t="n"/>
      <c r="S443" s="33" t="n"/>
      <c r="T443" s="33" t="n"/>
      <c r="U443" s="33" t="n"/>
      <c r="V443" s="33" t="n"/>
      <c r="W443" s="34" t="n"/>
      <c r="X443" s="33" t="n"/>
      <c r="Y443" s="35" t="n"/>
      <c r="Z443" s="157">
        <f>IF(OR(Y443="",X443=""),"",IFERROR(Y443*INDEX(FXRates[USD per unit],MATCH(X443,FXRates[Currency],0)),"No rate"))</f>
        <v/>
      </c>
      <c r="AA443" s="32" t="n"/>
      <c r="AB443" s="32" t="n"/>
      <c r="AC443" s="36">
        <f>IF(A443="","",IF(COUNTIF($A$6:$A$504,A443)&gt;1,"⚠ Duplicate",""))</f>
        <v/>
      </c>
      <c r="AD443" s="43" t="n"/>
      <c r="AE443" s="43" t="n"/>
      <c r="AF443" s="43" t="n"/>
      <c r="AG443" s="43" t="n"/>
      <c r="AH443" s="43" t="n"/>
      <c r="AI443" s="43" t="n"/>
      <c r="AJ443" s="43" t="n"/>
      <c r="AK443" s="43" t="n"/>
      <c r="AL443" s="43" t="n"/>
      <c r="AM443" s="43" t="n"/>
      <c r="AN443" s="43" t="n"/>
      <c r="AO443" s="43" t="n"/>
      <c r="AP443" s="43" t="n"/>
      <c r="AQ443" s="43" t="n"/>
    </row>
    <row r="444" ht="18" customHeight="1" s="74">
      <c r="A444" s="38" t="n"/>
      <c r="B444" s="38" t="n"/>
      <c r="C444" s="38" t="n"/>
      <c r="D444" s="38" t="n"/>
      <c r="E444" s="39" t="n"/>
      <c r="F444" s="39" t="n"/>
      <c r="G444" s="39" t="n"/>
      <c r="H444" s="39" t="n"/>
      <c r="I444" s="39" t="n"/>
      <c r="J444" s="39" t="n"/>
      <c r="K444" s="39" t="n"/>
      <c r="L444" s="39" t="n"/>
      <c r="M444" s="39" t="n"/>
      <c r="N444" s="39" t="n"/>
      <c r="O444" s="39" t="n"/>
      <c r="P444" s="39" t="n"/>
      <c r="Q444" s="39" t="n"/>
      <c r="R444" s="39" t="n"/>
      <c r="S444" s="39" t="n"/>
      <c r="T444" s="39" t="n"/>
      <c r="U444" s="39" t="n"/>
      <c r="V444" s="39" t="n"/>
      <c r="W444" s="34" t="n"/>
      <c r="X444" s="39" t="n"/>
      <c r="Y444" s="40" t="n"/>
      <c r="Z444" s="158">
        <f>IF(OR(Y444="",X444=""),"",IFERROR(Y444*INDEX(FXRates[USD per unit],MATCH(X444,FXRates[Currency],0)),"No rate"))</f>
        <v/>
      </c>
      <c r="AA444" s="38" t="n"/>
      <c r="AB444" s="38" t="n"/>
      <c r="AC444" s="41">
        <f>IF(A444="","",IF(COUNTIF($A$6:$A$504,A444)&gt;1,"⚠ Duplicate",""))</f>
        <v/>
      </c>
      <c r="AD444" s="42" t="n"/>
      <c r="AE444" s="42" t="n"/>
      <c r="AF444" s="42" t="n"/>
      <c r="AG444" s="42" t="n"/>
      <c r="AH444" s="42" t="n"/>
      <c r="AI444" s="42" t="n"/>
      <c r="AJ444" s="42" t="n"/>
      <c r="AK444" s="42" t="n"/>
      <c r="AL444" s="42" t="n"/>
      <c r="AM444" s="42" t="n"/>
      <c r="AN444" s="42" t="n"/>
      <c r="AO444" s="42" t="n"/>
      <c r="AP444" s="42" t="n"/>
      <c r="AQ444" s="42" t="n"/>
    </row>
    <row r="445" ht="18" customHeight="1" s="74">
      <c r="A445" s="32" t="n"/>
      <c r="B445" s="32" t="n"/>
      <c r="C445" s="32" t="n"/>
      <c r="D445" s="32" t="n"/>
      <c r="E445" s="33" t="n"/>
      <c r="F445" s="33" t="n"/>
      <c r="G445" s="33" t="n"/>
      <c r="H445" s="33" t="n"/>
      <c r="I445" s="33" t="n"/>
      <c r="J445" s="33" t="n"/>
      <c r="K445" s="33" t="n"/>
      <c r="L445" s="33" t="n"/>
      <c r="M445" s="33" t="n"/>
      <c r="N445" s="33" t="n"/>
      <c r="O445" s="33" t="n"/>
      <c r="P445" s="33" t="n"/>
      <c r="Q445" s="33" t="n"/>
      <c r="R445" s="33" t="n"/>
      <c r="S445" s="33" t="n"/>
      <c r="T445" s="33" t="n"/>
      <c r="U445" s="33" t="n"/>
      <c r="V445" s="33" t="n"/>
      <c r="W445" s="34" t="n"/>
      <c r="X445" s="33" t="n"/>
      <c r="Y445" s="35" t="n"/>
      <c r="Z445" s="157">
        <f>IF(OR(Y445="",X445=""),"",IFERROR(Y445*INDEX(FXRates[USD per unit],MATCH(X445,FXRates[Currency],0)),"No rate"))</f>
        <v/>
      </c>
      <c r="AA445" s="32" t="n"/>
      <c r="AB445" s="32" t="n"/>
      <c r="AC445" s="36">
        <f>IF(A445="","",IF(COUNTIF($A$6:$A$504,A445)&gt;1,"⚠ Duplicate",""))</f>
        <v/>
      </c>
      <c r="AD445" s="43" t="n"/>
      <c r="AE445" s="43" t="n"/>
      <c r="AF445" s="43" t="n"/>
      <c r="AG445" s="43" t="n"/>
      <c r="AH445" s="43" t="n"/>
      <c r="AI445" s="43" t="n"/>
      <c r="AJ445" s="43" t="n"/>
      <c r="AK445" s="43" t="n"/>
      <c r="AL445" s="43" t="n"/>
      <c r="AM445" s="43" t="n"/>
      <c r="AN445" s="43" t="n"/>
      <c r="AO445" s="43" t="n"/>
      <c r="AP445" s="43" t="n"/>
      <c r="AQ445" s="43" t="n"/>
    </row>
    <row r="446" ht="18" customHeight="1" s="74">
      <c r="A446" s="38" t="n"/>
      <c r="B446" s="38" t="n"/>
      <c r="C446" s="38" t="n"/>
      <c r="D446" s="38" t="n"/>
      <c r="E446" s="39" t="n"/>
      <c r="F446" s="39" t="n"/>
      <c r="G446" s="39" t="n"/>
      <c r="H446" s="39" t="n"/>
      <c r="I446" s="39" t="n"/>
      <c r="J446" s="39" t="n"/>
      <c r="K446" s="39" t="n"/>
      <c r="L446" s="39" t="n"/>
      <c r="M446" s="39" t="n"/>
      <c r="N446" s="39" t="n"/>
      <c r="O446" s="39" t="n"/>
      <c r="P446" s="39" t="n"/>
      <c r="Q446" s="39" t="n"/>
      <c r="R446" s="39" t="n"/>
      <c r="S446" s="39" t="n"/>
      <c r="T446" s="39" t="n"/>
      <c r="U446" s="39" t="n"/>
      <c r="V446" s="39" t="n"/>
      <c r="W446" s="34" t="n"/>
      <c r="X446" s="39" t="n"/>
      <c r="Y446" s="40" t="n"/>
      <c r="Z446" s="158">
        <f>IF(OR(Y446="",X446=""),"",IFERROR(Y446*INDEX(FXRates[USD per unit],MATCH(X446,FXRates[Currency],0)),"No rate"))</f>
        <v/>
      </c>
      <c r="AA446" s="38" t="n"/>
      <c r="AB446" s="38" t="n"/>
      <c r="AC446" s="41">
        <f>IF(A446="","",IF(COUNTIF($A$6:$A$504,A446)&gt;1,"⚠ Duplicate",""))</f>
        <v/>
      </c>
      <c r="AD446" s="42" t="n"/>
      <c r="AE446" s="42" t="n"/>
      <c r="AF446" s="42" t="n"/>
      <c r="AG446" s="42" t="n"/>
      <c r="AH446" s="42" t="n"/>
      <c r="AI446" s="42" t="n"/>
      <c r="AJ446" s="42" t="n"/>
      <c r="AK446" s="42" t="n"/>
      <c r="AL446" s="42" t="n"/>
      <c r="AM446" s="42" t="n"/>
      <c r="AN446" s="42" t="n"/>
      <c r="AO446" s="42" t="n"/>
      <c r="AP446" s="42" t="n"/>
      <c r="AQ446" s="42" t="n"/>
    </row>
    <row r="447" ht="18" customHeight="1" s="74">
      <c r="A447" s="32" t="n"/>
      <c r="B447" s="32" t="n"/>
      <c r="C447" s="32" t="n"/>
      <c r="D447" s="32" t="n"/>
      <c r="E447" s="33" t="n"/>
      <c r="F447" s="33" t="n"/>
      <c r="G447" s="33" t="n"/>
      <c r="H447" s="33" t="n"/>
      <c r="I447" s="33" t="n"/>
      <c r="J447" s="33" t="n"/>
      <c r="K447" s="33" t="n"/>
      <c r="L447" s="33" t="n"/>
      <c r="M447" s="33" t="n"/>
      <c r="N447" s="33" t="n"/>
      <c r="O447" s="33" t="n"/>
      <c r="P447" s="33" t="n"/>
      <c r="Q447" s="33" t="n"/>
      <c r="R447" s="33" t="n"/>
      <c r="S447" s="33" t="n"/>
      <c r="T447" s="33" t="n"/>
      <c r="U447" s="33" t="n"/>
      <c r="V447" s="33" t="n"/>
      <c r="W447" s="34" t="n"/>
      <c r="X447" s="33" t="n"/>
      <c r="Y447" s="35" t="n"/>
      <c r="Z447" s="157">
        <f>IF(OR(Y447="",X447=""),"",IFERROR(Y447*INDEX(FXRates[USD per unit],MATCH(X447,FXRates[Currency],0)),"No rate"))</f>
        <v/>
      </c>
      <c r="AA447" s="32" t="n"/>
      <c r="AB447" s="32" t="n"/>
      <c r="AC447" s="36">
        <f>IF(A447="","",IF(COUNTIF($A$6:$A$504,A447)&gt;1,"⚠ Duplicate",""))</f>
        <v/>
      </c>
      <c r="AD447" s="43" t="n"/>
      <c r="AE447" s="43" t="n"/>
      <c r="AF447" s="43" t="n"/>
      <c r="AG447" s="43" t="n"/>
      <c r="AH447" s="43" t="n"/>
      <c r="AI447" s="43" t="n"/>
      <c r="AJ447" s="43" t="n"/>
      <c r="AK447" s="43" t="n"/>
      <c r="AL447" s="43" t="n"/>
      <c r="AM447" s="43" t="n"/>
      <c r="AN447" s="43" t="n"/>
      <c r="AO447" s="43" t="n"/>
      <c r="AP447" s="43" t="n"/>
      <c r="AQ447" s="43" t="n"/>
    </row>
    <row r="448" ht="18" customHeight="1" s="74">
      <c r="A448" s="38" t="n"/>
      <c r="B448" s="38" t="n"/>
      <c r="C448" s="38" t="n"/>
      <c r="D448" s="38" t="n"/>
      <c r="E448" s="39" t="n"/>
      <c r="F448" s="39" t="n"/>
      <c r="G448" s="39" t="n"/>
      <c r="H448" s="39" t="n"/>
      <c r="I448" s="39" t="n"/>
      <c r="J448" s="39" t="n"/>
      <c r="K448" s="39" t="n"/>
      <c r="L448" s="39" t="n"/>
      <c r="M448" s="39" t="n"/>
      <c r="N448" s="39" t="n"/>
      <c r="O448" s="39" t="n"/>
      <c r="P448" s="39" t="n"/>
      <c r="Q448" s="39" t="n"/>
      <c r="R448" s="39" t="n"/>
      <c r="S448" s="39" t="n"/>
      <c r="T448" s="39" t="n"/>
      <c r="U448" s="39" t="n"/>
      <c r="V448" s="39" t="n"/>
      <c r="W448" s="34" t="n"/>
      <c r="X448" s="39" t="n"/>
      <c r="Y448" s="40" t="n"/>
      <c r="Z448" s="158">
        <f>IF(OR(Y448="",X448=""),"",IFERROR(Y448*INDEX(FXRates[USD per unit],MATCH(X448,FXRates[Currency],0)),"No rate"))</f>
        <v/>
      </c>
      <c r="AA448" s="38" t="n"/>
      <c r="AB448" s="38" t="n"/>
      <c r="AC448" s="41">
        <f>IF(A448="","",IF(COUNTIF($A$6:$A$504,A448)&gt;1,"⚠ Duplicate",""))</f>
        <v/>
      </c>
      <c r="AD448" s="42" t="n"/>
      <c r="AE448" s="42" t="n"/>
      <c r="AF448" s="42" t="n"/>
      <c r="AG448" s="42" t="n"/>
      <c r="AH448" s="42" t="n"/>
      <c r="AI448" s="42" t="n"/>
      <c r="AJ448" s="42" t="n"/>
      <c r="AK448" s="42" t="n"/>
      <c r="AL448" s="42" t="n"/>
      <c r="AM448" s="42" t="n"/>
      <c r="AN448" s="42" t="n"/>
      <c r="AO448" s="42" t="n"/>
      <c r="AP448" s="42" t="n"/>
      <c r="AQ448" s="42" t="n"/>
    </row>
    <row r="449" ht="18" customHeight="1" s="74">
      <c r="A449" s="32" t="n"/>
      <c r="B449" s="32" t="n"/>
      <c r="C449" s="32" t="n"/>
      <c r="D449" s="32" t="n"/>
      <c r="E449" s="33" t="n"/>
      <c r="F449" s="33" t="n"/>
      <c r="G449" s="33" t="n"/>
      <c r="H449" s="33" t="n"/>
      <c r="I449" s="33" t="n"/>
      <c r="J449" s="33" t="n"/>
      <c r="K449" s="33" t="n"/>
      <c r="L449" s="33" t="n"/>
      <c r="M449" s="33" t="n"/>
      <c r="N449" s="33" t="n"/>
      <c r="O449" s="33" t="n"/>
      <c r="P449" s="33" t="n"/>
      <c r="Q449" s="33" t="n"/>
      <c r="R449" s="33" t="n"/>
      <c r="S449" s="33" t="n"/>
      <c r="T449" s="33" t="n"/>
      <c r="U449" s="33" t="n"/>
      <c r="V449" s="33" t="n"/>
      <c r="W449" s="34" t="n"/>
      <c r="X449" s="33" t="n"/>
      <c r="Y449" s="35" t="n"/>
      <c r="Z449" s="157">
        <f>IF(OR(Y449="",X449=""),"",IFERROR(Y449*INDEX(FXRates[USD per unit],MATCH(X449,FXRates[Currency],0)),"No rate"))</f>
        <v/>
      </c>
      <c r="AA449" s="32" t="n"/>
      <c r="AB449" s="32" t="n"/>
      <c r="AC449" s="36">
        <f>IF(A449="","",IF(COUNTIF($A$6:$A$504,A449)&gt;1,"⚠ Duplicate",""))</f>
        <v/>
      </c>
      <c r="AD449" s="43" t="n"/>
      <c r="AE449" s="43" t="n"/>
      <c r="AF449" s="43" t="n"/>
      <c r="AG449" s="43" t="n"/>
      <c r="AH449" s="43" t="n"/>
      <c r="AI449" s="43" t="n"/>
      <c r="AJ449" s="43" t="n"/>
      <c r="AK449" s="43" t="n"/>
      <c r="AL449" s="43" t="n"/>
      <c r="AM449" s="43" t="n"/>
      <c r="AN449" s="43" t="n"/>
      <c r="AO449" s="43" t="n"/>
      <c r="AP449" s="43" t="n"/>
      <c r="AQ449" s="43" t="n"/>
    </row>
    <row r="450" ht="18" customHeight="1" s="74">
      <c r="A450" s="38" t="n"/>
      <c r="B450" s="38" t="n"/>
      <c r="C450" s="38" t="n"/>
      <c r="D450" s="38" t="n"/>
      <c r="E450" s="39" t="n"/>
      <c r="F450" s="39" t="n"/>
      <c r="G450" s="39" t="n"/>
      <c r="H450" s="39" t="n"/>
      <c r="I450" s="39" t="n"/>
      <c r="J450" s="39" t="n"/>
      <c r="K450" s="39" t="n"/>
      <c r="L450" s="39" t="n"/>
      <c r="M450" s="39" t="n"/>
      <c r="N450" s="39" t="n"/>
      <c r="O450" s="39" t="n"/>
      <c r="P450" s="39" t="n"/>
      <c r="Q450" s="39" t="n"/>
      <c r="R450" s="39" t="n"/>
      <c r="S450" s="39" t="n"/>
      <c r="T450" s="39" t="n"/>
      <c r="U450" s="39" t="n"/>
      <c r="V450" s="39" t="n"/>
      <c r="W450" s="34" t="n"/>
      <c r="X450" s="39" t="n"/>
      <c r="Y450" s="40" t="n"/>
      <c r="Z450" s="158">
        <f>IF(OR(Y450="",X450=""),"",IFERROR(Y450*INDEX(FXRates[USD per unit],MATCH(X450,FXRates[Currency],0)),"No rate"))</f>
        <v/>
      </c>
      <c r="AA450" s="38" t="n"/>
      <c r="AB450" s="38" t="n"/>
      <c r="AC450" s="41">
        <f>IF(A450="","",IF(COUNTIF($A$6:$A$504,A450)&gt;1,"⚠ Duplicate",""))</f>
        <v/>
      </c>
      <c r="AD450" s="42" t="n"/>
      <c r="AE450" s="42" t="n"/>
      <c r="AF450" s="42" t="n"/>
      <c r="AG450" s="42" t="n"/>
      <c r="AH450" s="42" t="n"/>
      <c r="AI450" s="42" t="n"/>
      <c r="AJ450" s="42" t="n"/>
      <c r="AK450" s="42" t="n"/>
      <c r="AL450" s="42" t="n"/>
      <c r="AM450" s="42" t="n"/>
      <c r="AN450" s="42" t="n"/>
      <c r="AO450" s="42" t="n"/>
      <c r="AP450" s="42" t="n"/>
      <c r="AQ450" s="42" t="n"/>
    </row>
    <row r="451" ht="18" customHeight="1" s="74">
      <c r="A451" s="32" t="n"/>
      <c r="B451" s="32" t="n"/>
      <c r="C451" s="32" t="n"/>
      <c r="D451" s="32" t="n"/>
      <c r="E451" s="33" t="n"/>
      <c r="F451" s="33" t="n"/>
      <c r="G451" s="33" t="n"/>
      <c r="H451" s="33" t="n"/>
      <c r="I451" s="33" t="n"/>
      <c r="J451" s="33" t="n"/>
      <c r="K451" s="33" t="n"/>
      <c r="L451" s="33" t="n"/>
      <c r="M451" s="33" t="n"/>
      <c r="N451" s="33" t="n"/>
      <c r="O451" s="33" t="n"/>
      <c r="P451" s="33" t="n"/>
      <c r="Q451" s="33" t="n"/>
      <c r="R451" s="33" t="n"/>
      <c r="S451" s="33" t="n"/>
      <c r="T451" s="33" t="n"/>
      <c r="U451" s="33" t="n"/>
      <c r="V451" s="33" t="n"/>
      <c r="W451" s="34" t="n"/>
      <c r="X451" s="33" t="n"/>
      <c r="Y451" s="35" t="n"/>
      <c r="Z451" s="157">
        <f>IF(OR(Y451="",X451=""),"",IFERROR(Y451*INDEX(FXRates[USD per unit],MATCH(X451,FXRates[Currency],0)),"No rate"))</f>
        <v/>
      </c>
      <c r="AA451" s="32" t="n"/>
      <c r="AB451" s="32" t="n"/>
      <c r="AC451" s="36">
        <f>IF(A451="","",IF(COUNTIF($A$6:$A$504,A451)&gt;1,"⚠ Duplicate",""))</f>
        <v/>
      </c>
      <c r="AD451" s="43" t="n"/>
      <c r="AE451" s="43" t="n"/>
      <c r="AF451" s="43" t="n"/>
      <c r="AG451" s="43" t="n"/>
      <c r="AH451" s="43" t="n"/>
      <c r="AI451" s="43" t="n"/>
      <c r="AJ451" s="43" t="n"/>
      <c r="AK451" s="43" t="n"/>
      <c r="AL451" s="43" t="n"/>
      <c r="AM451" s="43" t="n"/>
      <c r="AN451" s="43" t="n"/>
      <c r="AO451" s="43" t="n"/>
      <c r="AP451" s="43" t="n"/>
      <c r="AQ451" s="43" t="n"/>
    </row>
    <row r="452" ht="18" customHeight="1" s="74">
      <c r="A452" s="38" t="n"/>
      <c r="B452" s="38" t="n"/>
      <c r="C452" s="38" t="n"/>
      <c r="D452" s="38" t="n"/>
      <c r="E452" s="39" t="n"/>
      <c r="F452" s="39" t="n"/>
      <c r="G452" s="39" t="n"/>
      <c r="H452" s="39" t="n"/>
      <c r="I452" s="39" t="n"/>
      <c r="J452" s="39" t="n"/>
      <c r="K452" s="39" t="n"/>
      <c r="L452" s="39" t="n"/>
      <c r="M452" s="39" t="n"/>
      <c r="N452" s="39" t="n"/>
      <c r="O452" s="39" t="n"/>
      <c r="P452" s="39" t="n"/>
      <c r="Q452" s="39" t="n"/>
      <c r="R452" s="39" t="n"/>
      <c r="S452" s="39" t="n"/>
      <c r="T452" s="39" t="n"/>
      <c r="U452" s="39" t="n"/>
      <c r="V452" s="39" t="n"/>
      <c r="W452" s="34" t="n"/>
      <c r="X452" s="39" t="n"/>
      <c r="Y452" s="40" t="n"/>
      <c r="Z452" s="158">
        <f>IF(OR(Y452="",X452=""),"",IFERROR(Y452*INDEX(FXRates[USD per unit],MATCH(X452,FXRates[Currency],0)),"No rate"))</f>
        <v/>
      </c>
      <c r="AA452" s="38" t="n"/>
      <c r="AB452" s="38" t="n"/>
      <c r="AC452" s="41">
        <f>IF(A452="","",IF(COUNTIF($A$6:$A$504,A452)&gt;1,"⚠ Duplicate",""))</f>
        <v/>
      </c>
      <c r="AD452" s="42" t="n"/>
      <c r="AE452" s="42" t="n"/>
      <c r="AF452" s="42" t="n"/>
      <c r="AG452" s="42" t="n"/>
      <c r="AH452" s="42" t="n"/>
      <c r="AI452" s="42" t="n"/>
      <c r="AJ452" s="42" t="n"/>
      <c r="AK452" s="42" t="n"/>
      <c r="AL452" s="42" t="n"/>
      <c r="AM452" s="42" t="n"/>
      <c r="AN452" s="42" t="n"/>
      <c r="AO452" s="42" t="n"/>
      <c r="AP452" s="42" t="n"/>
      <c r="AQ452" s="42" t="n"/>
    </row>
    <row r="453" ht="18" customHeight="1" s="74">
      <c r="A453" s="32" t="n"/>
      <c r="B453" s="32" t="n"/>
      <c r="C453" s="32" t="n"/>
      <c r="D453" s="32" t="n"/>
      <c r="E453" s="33" t="n"/>
      <c r="F453" s="33" t="n"/>
      <c r="G453" s="33" t="n"/>
      <c r="H453" s="33" t="n"/>
      <c r="I453" s="33" t="n"/>
      <c r="J453" s="33" t="n"/>
      <c r="K453" s="33" t="n"/>
      <c r="L453" s="33" t="n"/>
      <c r="M453" s="33" t="n"/>
      <c r="N453" s="33" t="n"/>
      <c r="O453" s="33" t="n"/>
      <c r="P453" s="33" t="n"/>
      <c r="Q453" s="33" t="n"/>
      <c r="R453" s="33" t="n"/>
      <c r="S453" s="33" t="n"/>
      <c r="T453" s="33" t="n"/>
      <c r="U453" s="33" t="n"/>
      <c r="V453" s="33" t="n"/>
      <c r="W453" s="34" t="n"/>
      <c r="X453" s="33" t="n"/>
      <c r="Y453" s="35" t="n"/>
      <c r="Z453" s="157">
        <f>IF(OR(Y453="",X453=""),"",IFERROR(Y453*INDEX(FXRates[USD per unit],MATCH(X453,FXRates[Currency],0)),"No rate"))</f>
        <v/>
      </c>
      <c r="AA453" s="32" t="n"/>
      <c r="AB453" s="32" t="n"/>
      <c r="AC453" s="36">
        <f>IF(A453="","",IF(COUNTIF($A$6:$A$504,A453)&gt;1,"⚠ Duplicate",""))</f>
        <v/>
      </c>
      <c r="AD453" s="43" t="n"/>
      <c r="AE453" s="43" t="n"/>
      <c r="AF453" s="43" t="n"/>
      <c r="AG453" s="43" t="n"/>
      <c r="AH453" s="43" t="n"/>
      <c r="AI453" s="43" t="n"/>
      <c r="AJ453" s="43" t="n"/>
      <c r="AK453" s="43" t="n"/>
      <c r="AL453" s="43" t="n"/>
      <c r="AM453" s="43" t="n"/>
      <c r="AN453" s="43" t="n"/>
      <c r="AO453" s="43" t="n"/>
      <c r="AP453" s="43" t="n"/>
      <c r="AQ453" s="43" t="n"/>
    </row>
    <row r="454" ht="18" customHeight="1" s="74">
      <c r="A454" s="38" t="n"/>
      <c r="B454" s="38" t="n"/>
      <c r="C454" s="38" t="n"/>
      <c r="D454" s="38" t="n"/>
      <c r="E454" s="39" t="n"/>
      <c r="F454" s="39" t="n"/>
      <c r="G454" s="39" t="n"/>
      <c r="H454" s="39" t="n"/>
      <c r="I454" s="39" t="n"/>
      <c r="J454" s="39" t="n"/>
      <c r="K454" s="39" t="n"/>
      <c r="L454" s="39" t="n"/>
      <c r="M454" s="39" t="n"/>
      <c r="N454" s="39" t="n"/>
      <c r="O454" s="39" t="n"/>
      <c r="P454" s="39" t="n"/>
      <c r="Q454" s="39" t="n"/>
      <c r="R454" s="39" t="n"/>
      <c r="S454" s="39" t="n"/>
      <c r="T454" s="39" t="n"/>
      <c r="U454" s="39" t="n"/>
      <c r="V454" s="39" t="n"/>
      <c r="W454" s="34" t="n"/>
      <c r="X454" s="39" t="n"/>
      <c r="Y454" s="40" t="n"/>
      <c r="Z454" s="158">
        <f>IF(OR(Y454="",X454=""),"",IFERROR(Y454*INDEX(FXRates[USD per unit],MATCH(X454,FXRates[Currency],0)),"No rate"))</f>
        <v/>
      </c>
      <c r="AA454" s="38" t="n"/>
      <c r="AB454" s="38" t="n"/>
      <c r="AC454" s="41">
        <f>IF(A454="","",IF(COUNTIF($A$6:$A$504,A454)&gt;1,"⚠ Duplicate",""))</f>
        <v/>
      </c>
      <c r="AD454" s="42" t="n"/>
      <c r="AE454" s="42" t="n"/>
      <c r="AF454" s="42" t="n"/>
      <c r="AG454" s="42" t="n"/>
      <c r="AH454" s="42" t="n"/>
      <c r="AI454" s="42" t="n"/>
      <c r="AJ454" s="42" t="n"/>
      <c r="AK454" s="42" t="n"/>
      <c r="AL454" s="42" t="n"/>
      <c r="AM454" s="42" t="n"/>
      <c r="AN454" s="42" t="n"/>
      <c r="AO454" s="42" t="n"/>
      <c r="AP454" s="42" t="n"/>
      <c r="AQ454" s="42" t="n"/>
    </row>
    <row r="455" ht="18" customHeight="1" s="74">
      <c r="A455" s="32" t="n"/>
      <c r="B455" s="32" t="n"/>
      <c r="C455" s="32" t="n"/>
      <c r="D455" s="32" t="n"/>
      <c r="E455" s="33" t="n"/>
      <c r="F455" s="33" t="n"/>
      <c r="G455" s="33" t="n"/>
      <c r="H455" s="33" t="n"/>
      <c r="I455" s="33" t="n"/>
      <c r="J455" s="33" t="n"/>
      <c r="K455" s="33" t="n"/>
      <c r="L455" s="33" t="n"/>
      <c r="M455" s="33" t="n"/>
      <c r="N455" s="33" t="n"/>
      <c r="O455" s="33" t="n"/>
      <c r="P455" s="33" t="n"/>
      <c r="Q455" s="33" t="n"/>
      <c r="R455" s="33" t="n"/>
      <c r="S455" s="33" t="n"/>
      <c r="T455" s="33" t="n"/>
      <c r="U455" s="33" t="n"/>
      <c r="V455" s="33" t="n"/>
      <c r="W455" s="34" t="n"/>
      <c r="X455" s="33" t="n"/>
      <c r="Y455" s="35" t="n"/>
      <c r="Z455" s="157">
        <f>IF(OR(Y455="",X455=""),"",IFERROR(Y455*INDEX(FXRates[USD per unit],MATCH(X455,FXRates[Currency],0)),"No rate"))</f>
        <v/>
      </c>
      <c r="AA455" s="32" t="n"/>
      <c r="AB455" s="32" t="n"/>
      <c r="AC455" s="36">
        <f>IF(A455="","",IF(COUNTIF($A$6:$A$504,A455)&gt;1,"⚠ Duplicate",""))</f>
        <v/>
      </c>
      <c r="AD455" s="43" t="n"/>
      <c r="AE455" s="43" t="n"/>
      <c r="AF455" s="43" t="n"/>
      <c r="AG455" s="43" t="n"/>
      <c r="AH455" s="43" t="n"/>
      <c r="AI455" s="43" t="n"/>
      <c r="AJ455" s="43" t="n"/>
      <c r="AK455" s="43" t="n"/>
      <c r="AL455" s="43" t="n"/>
      <c r="AM455" s="43" t="n"/>
      <c r="AN455" s="43" t="n"/>
      <c r="AO455" s="43" t="n"/>
      <c r="AP455" s="43" t="n"/>
      <c r="AQ455" s="43" t="n"/>
    </row>
    <row r="456" ht="18" customHeight="1" s="74">
      <c r="A456" s="38" t="n"/>
      <c r="B456" s="38" t="n"/>
      <c r="C456" s="38" t="n"/>
      <c r="D456" s="38" t="n"/>
      <c r="E456" s="39" t="n"/>
      <c r="F456" s="39" t="n"/>
      <c r="G456" s="39" t="n"/>
      <c r="H456" s="39" t="n"/>
      <c r="I456" s="39" t="n"/>
      <c r="J456" s="39" t="n"/>
      <c r="K456" s="39" t="n"/>
      <c r="L456" s="39" t="n"/>
      <c r="M456" s="39" t="n"/>
      <c r="N456" s="39" t="n"/>
      <c r="O456" s="39" t="n"/>
      <c r="P456" s="39" t="n"/>
      <c r="Q456" s="39" t="n"/>
      <c r="R456" s="39" t="n"/>
      <c r="S456" s="39" t="n"/>
      <c r="T456" s="39" t="n"/>
      <c r="U456" s="39" t="n"/>
      <c r="V456" s="39" t="n"/>
      <c r="W456" s="34" t="n"/>
      <c r="X456" s="39" t="n"/>
      <c r="Y456" s="40" t="n"/>
      <c r="Z456" s="158">
        <f>IF(OR(Y456="",X456=""),"",IFERROR(Y456*INDEX(FXRates[USD per unit],MATCH(X456,FXRates[Currency],0)),"No rate"))</f>
        <v/>
      </c>
      <c r="AA456" s="38" t="n"/>
      <c r="AB456" s="38" t="n"/>
      <c r="AC456" s="41">
        <f>IF(A456="","",IF(COUNTIF($A$6:$A$504,A456)&gt;1,"⚠ Duplicate",""))</f>
        <v/>
      </c>
      <c r="AD456" s="42" t="n"/>
      <c r="AE456" s="42" t="n"/>
      <c r="AF456" s="42" t="n"/>
      <c r="AG456" s="42" t="n"/>
      <c r="AH456" s="42" t="n"/>
      <c r="AI456" s="42" t="n"/>
      <c r="AJ456" s="42" t="n"/>
      <c r="AK456" s="42" t="n"/>
      <c r="AL456" s="42" t="n"/>
      <c r="AM456" s="42" t="n"/>
      <c r="AN456" s="42" t="n"/>
      <c r="AO456" s="42" t="n"/>
      <c r="AP456" s="42" t="n"/>
      <c r="AQ456" s="42" t="n"/>
    </row>
    <row r="457" ht="18" customHeight="1" s="74">
      <c r="A457" s="32" t="n"/>
      <c r="B457" s="32" t="n"/>
      <c r="C457" s="32" t="n"/>
      <c r="D457" s="32" t="n"/>
      <c r="E457" s="33" t="n"/>
      <c r="F457" s="33" t="n"/>
      <c r="G457" s="33" t="n"/>
      <c r="H457" s="33" t="n"/>
      <c r="I457" s="33" t="n"/>
      <c r="J457" s="33" t="n"/>
      <c r="K457" s="33" t="n"/>
      <c r="L457" s="33" t="n"/>
      <c r="M457" s="33" t="n"/>
      <c r="N457" s="33" t="n"/>
      <c r="O457" s="33" t="n"/>
      <c r="P457" s="33" t="n"/>
      <c r="Q457" s="33" t="n"/>
      <c r="R457" s="33" t="n"/>
      <c r="S457" s="33" t="n"/>
      <c r="T457" s="33" t="n"/>
      <c r="U457" s="33" t="n"/>
      <c r="V457" s="33" t="n"/>
      <c r="W457" s="34" t="n"/>
      <c r="X457" s="33" t="n"/>
      <c r="Y457" s="35" t="n"/>
      <c r="Z457" s="157">
        <f>IF(OR(Y457="",X457=""),"",IFERROR(Y457*INDEX(FXRates[USD per unit],MATCH(X457,FXRates[Currency],0)),"No rate"))</f>
        <v/>
      </c>
      <c r="AA457" s="32" t="n"/>
      <c r="AB457" s="32" t="n"/>
      <c r="AC457" s="36">
        <f>IF(A457="","",IF(COUNTIF($A$6:$A$504,A457)&gt;1,"⚠ Duplicate",""))</f>
        <v/>
      </c>
      <c r="AD457" s="43" t="n"/>
      <c r="AE457" s="43" t="n"/>
      <c r="AF457" s="43" t="n"/>
      <c r="AG457" s="43" t="n"/>
      <c r="AH457" s="43" t="n"/>
      <c r="AI457" s="43" t="n"/>
      <c r="AJ457" s="43" t="n"/>
      <c r="AK457" s="43" t="n"/>
      <c r="AL457" s="43" t="n"/>
      <c r="AM457" s="43" t="n"/>
      <c r="AN457" s="43" t="n"/>
      <c r="AO457" s="43" t="n"/>
      <c r="AP457" s="43" t="n"/>
      <c r="AQ457" s="43" t="n"/>
    </row>
    <row r="458" ht="18" customHeight="1" s="74">
      <c r="A458" s="38" t="n"/>
      <c r="B458" s="38" t="n"/>
      <c r="C458" s="38" t="n"/>
      <c r="D458" s="38" t="n"/>
      <c r="E458" s="39" t="n"/>
      <c r="F458" s="39" t="n"/>
      <c r="G458" s="39" t="n"/>
      <c r="H458" s="39" t="n"/>
      <c r="I458" s="39" t="n"/>
      <c r="J458" s="39" t="n"/>
      <c r="K458" s="39" t="n"/>
      <c r="L458" s="39" t="n"/>
      <c r="M458" s="39" t="n"/>
      <c r="N458" s="39" t="n"/>
      <c r="O458" s="39" t="n"/>
      <c r="P458" s="39" t="n"/>
      <c r="Q458" s="39" t="n"/>
      <c r="R458" s="39" t="n"/>
      <c r="S458" s="39" t="n"/>
      <c r="T458" s="39" t="n"/>
      <c r="U458" s="39" t="n"/>
      <c r="V458" s="39" t="n"/>
      <c r="W458" s="34" t="n"/>
      <c r="X458" s="39" t="n"/>
      <c r="Y458" s="40" t="n"/>
      <c r="Z458" s="158">
        <f>IF(OR(Y458="",X458=""),"",IFERROR(Y458*INDEX(FXRates[USD per unit],MATCH(X458,FXRates[Currency],0)),"No rate"))</f>
        <v/>
      </c>
      <c r="AA458" s="38" t="n"/>
      <c r="AB458" s="38" t="n"/>
      <c r="AC458" s="41">
        <f>IF(A458="","",IF(COUNTIF($A$6:$A$504,A458)&gt;1,"⚠ Duplicate",""))</f>
        <v/>
      </c>
      <c r="AD458" s="42" t="n"/>
      <c r="AE458" s="42" t="n"/>
      <c r="AF458" s="42" t="n"/>
      <c r="AG458" s="42" t="n"/>
      <c r="AH458" s="42" t="n"/>
      <c r="AI458" s="42" t="n"/>
      <c r="AJ458" s="42" t="n"/>
      <c r="AK458" s="42" t="n"/>
      <c r="AL458" s="42" t="n"/>
      <c r="AM458" s="42" t="n"/>
      <c r="AN458" s="42" t="n"/>
      <c r="AO458" s="42" t="n"/>
      <c r="AP458" s="42" t="n"/>
      <c r="AQ458" s="42" t="n"/>
    </row>
    <row r="459" ht="18" customHeight="1" s="74">
      <c r="A459" s="32" t="n"/>
      <c r="B459" s="32" t="n"/>
      <c r="C459" s="32" t="n"/>
      <c r="D459" s="32" t="n"/>
      <c r="E459" s="33" t="n"/>
      <c r="F459" s="33" t="n"/>
      <c r="G459" s="33" t="n"/>
      <c r="H459" s="33" t="n"/>
      <c r="I459" s="33" t="n"/>
      <c r="J459" s="33" t="n"/>
      <c r="K459" s="33" t="n"/>
      <c r="L459" s="33" t="n"/>
      <c r="M459" s="33" t="n"/>
      <c r="N459" s="33" t="n"/>
      <c r="O459" s="33" t="n"/>
      <c r="P459" s="33" t="n"/>
      <c r="Q459" s="33" t="n"/>
      <c r="R459" s="33" t="n"/>
      <c r="S459" s="33" t="n"/>
      <c r="T459" s="33" t="n"/>
      <c r="U459" s="33" t="n"/>
      <c r="V459" s="33" t="n"/>
      <c r="W459" s="34" t="n"/>
      <c r="X459" s="33" t="n"/>
      <c r="Y459" s="35" t="n"/>
      <c r="Z459" s="157">
        <f>IF(OR(Y459="",X459=""),"",IFERROR(Y459*INDEX(FXRates[USD per unit],MATCH(X459,FXRates[Currency],0)),"No rate"))</f>
        <v/>
      </c>
      <c r="AA459" s="32" t="n"/>
      <c r="AB459" s="32" t="n"/>
      <c r="AC459" s="36">
        <f>IF(A459="","",IF(COUNTIF($A$6:$A$504,A459)&gt;1,"⚠ Duplicate",""))</f>
        <v/>
      </c>
      <c r="AD459" s="43" t="n"/>
      <c r="AE459" s="43" t="n"/>
      <c r="AF459" s="43" t="n"/>
      <c r="AG459" s="43" t="n"/>
      <c r="AH459" s="43" t="n"/>
      <c r="AI459" s="43" t="n"/>
      <c r="AJ459" s="43" t="n"/>
      <c r="AK459" s="43" t="n"/>
      <c r="AL459" s="43" t="n"/>
      <c r="AM459" s="43" t="n"/>
      <c r="AN459" s="43" t="n"/>
      <c r="AO459" s="43" t="n"/>
      <c r="AP459" s="43" t="n"/>
      <c r="AQ459" s="43" t="n"/>
    </row>
    <row r="460" ht="18" customHeight="1" s="74">
      <c r="A460" s="38" t="n"/>
      <c r="B460" s="38" t="n"/>
      <c r="C460" s="38" t="n"/>
      <c r="D460" s="38" t="n"/>
      <c r="E460" s="39" t="n"/>
      <c r="F460" s="39" t="n"/>
      <c r="G460" s="39" t="n"/>
      <c r="H460" s="39" t="n"/>
      <c r="I460" s="39" t="n"/>
      <c r="J460" s="39" t="n"/>
      <c r="K460" s="39" t="n"/>
      <c r="L460" s="39" t="n"/>
      <c r="M460" s="39" t="n"/>
      <c r="N460" s="39" t="n"/>
      <c r="O460" s="39" t="n"/>
      <c r="P460" s="39" t="n"/>
      <c r="Q460" s="39" t="n"/>
      <c r="R460" s="39" t="n"/>
      <c r="S460" s="39" t="n"/>
      <c r="T460" s="39" t="n"/>
      <c r="U460" s="39" t="n"/>
      <c r="V460" s="39" t="n"/>
      <c r="W460" s="34" t="n"/>
      <c r="X460" s="39" t="n"/>
      <c r="Y460" s="40" t="n"/>
      <c r="Z460" s="158">
        <f>IF(OR(Y460="",X460=""),"",IFERROR(Y460*INDEX(FXRates[USD per unit],MATCH(X460,FXRates[Currency],0)),"No rate"))</f>
        <v/>
      </c>
      <c r="AA460" s="38" t="n"/>
      <c r="AB460" s="38" t="n"/>
      <c r="AC460" s="41">
        <f>IF(A460="","",IF(COUNTIF($A$6:$A$504,A460)&gt;1,"⚠ Duplicate",""))</f>
        <v/>
      </c>
      <c r="AD460" s="42" t="n"/>
      <c r="AE460" s="42" t="n"/>
      <c r="AF460" s="42" t="n"/>
      <c r="AG460" s="42" t="n"/>
      <c r="AH460" s="42" t="n"/>
      <c r="AI460" s="42" t="n"/>
      <c r="AJ460" s="42" t="n"/>
      <c r="AK460" s="42" t="n"/>
      <c r="AL460" s="42" t="n"/>
      <c r="AM460" s="42" t="n"/>
      <c r="AN460" s="42" t="n"/>
      <c r="AO460" s="42" t="n"/>
      <c r="AP460" s="42" t="n"/>
      <c r="AQ460" s="42" t="n"/>
    </row>
    <row r="461" ht="18" customHeight="1" s="74">
      <c r="A461" s="32" t="n"/>
      <c r="B461" s="32" t="n"/>
      <c r="C461" s="32" t="n"/>
      <c r="D461" s="32" t="n"/>
      <c r="E461" s="33" t="n"/>
      <c r="F461" s="33" t="n"/>
      <c r="G461" s="33" t="n"/>
      <c r="H461" s="33" t="n"/>
      <c r="I461" s="33" t="n"/>
      <c r="J461" s="33" t="n"/>
      <c r="K461" s="33" t="n"/>
      <c r="L461" s="33" t="n"/>
      <c r="M461" s="33" t="n"/>
      <c r="N461" s="33" t="n"/>
      <c r="O461" s="33" t="n"/>
      <c r="P461" s="33" t="n"/>
      <c r="Q461" s="33" t="n"/>
      <c r="R461" s="33" t="n"/>
      <c r="S461" s="33" t="n"/>
      <c r="T461" s="33" t="n"/>
      <c r="U461" s="33" t="n"/>
      <c r="V461" s="33" t="n"/>
      <c r="W461" s="34" t="n"/>
      <c r="X461" s="33" t="n"/>
      <c r="Y461" s="35" t="n"/>
      <c r="Z461" s="157">
        <f>IF(OR(Y461="",X461=""),"",IFERROR(Y461*INDEX(FXRates[USD per unit],MATCH(X461,FXRates[Currency],0)),"No rate"))</f>
        <v/>
      </c>
      <c r="AA461" s="32" t="n"/>
      <c r="AB461" s="32" t="n"/>
      <c r="AC461" s="36">
        <f>IF(A461="","",IF(COUNTIF($A$6:$A$504,A461)&gt;1,"⚠ Duplicate",""))</f>
        <v/>
      </c>
      <c r="AD461" s="43" t="n"/>
      <c r="AE461" s="43" t="n"/>
      <c r="AF461" s="43" t="n"/>
      <c r="AG461" s="43" t="n"/>
      <c r="AH461" s="43" t="n"/>
      <c r="AI461" s="43" t="n"/>
      <c r="AJ461" s="43" t="n"/>
      <c r="AK461" s="43" t="n"/>
      <c r="AL461" s="43" t="n"/>
      <c r="AM461" s="43" t="n"/>
      <c r="AN461" s="43" t="n"/>
      <c r="AO461" s="43" t="n"/>
      <c r="AP461" s="43" t="n"/>
      <c r="AQ461" s="43" t="n"/>
    </row>
    <row r="462" ht="18" customHeight="1" s="74">
      <c r="A462" s="38" t="n"/>
      <c r="B462" s="38" t="n"/>
      <c r="C462" s="38" t="n"/>
      <c r="D462" s="38" t="n"/>
      <c r="E462" s="39" t="n"/>
      <c r="F462" s="39" t="n"/>
      <c r="G462" s="39" t="n"/>
      <c r="H462" s="39" t="n"/>
      <c r="I462" s="39" t="n"/>
      <c r="J462" s="39" t="n"/>
      <c r="K462" s="39" t="n"/>
      <c r="L462" s="39" t="n"/>
      <c r="M462" s="39" t="n"/>
      <c r="N462" s="39" t="n"/>
      <c r="O462" s="39" t="n"/>
      <c r="P462" s="39" t="n"/>
      <c r="Q462" s="39" t="n"/>
      <c r="R462" s="39" t="n"/>
      <c r="S462" s="39" t="n"/>
      <c r="T462" s="39" t="n"/>
      <c r="U462" s="39" t="n"/>
      <c r="V462" s="39" t="n"/>
      <c r="W462" s="34" t="n"/>
      <c r="X462" s="39" t="n"/>
      <c r="Y462" s="40" t="n"/>
      <c r="Z462" s="158">
        <f>IF(OR(Y462="",X462=""),"",IFERROR(Y462*INDEX(FXRates[USD per unit],MATCH(X462,FXRates[Currency],0)),"No rate"))</f>
        <v/>
      </c>
      <c r="AA462" s="38" t="n"/>
      <c r="AB462" s="38" t="n"/>
      <c r="AC462" s="41">
        <f>IF(A462="","",IF(COUNTIF($A$6:$A$504,A462)&gt;1,"⚠ Duplicate",""))</f>
        <v/>
      </c>
      <c r="AD462" s="42" t="n"/>
      <c r="AE462" s="42" t="n"/>
      <c r="AF462" s="42" t="n"/>
      <c r="AG462" s="42" t="n"/>
      <c r="AH462" s="42" t="n"/>
      <c r="AI462" s="42" t="n"/>
      <c r="AJ462" s="42" t="n"/>
      <c r="AK462" s="42" t="n"/>
      <c r="AL462" s="42" t="n"/>
      <c r="AM462" s="42" t="n"/>
      <c r="AN462" s="42" t="n"/>
      <c r="AO462" s="42" t="n"/>
      <c r="AP462" s="42" t="n"/>
      <c r="AQ462" s="42" t="n"/>
    </row>
    <row r="463" ht="18" customHeight="1" s="74">
      <c r="A463" s="32" t="n"/>
      <c r="B463" s="32" t="n"/>
      <c r="C463" s="32" t="n"/>
      <c r="D463" s="32" t="n"/>
      <c r="E463" s="33" t="n"/>
      <c r="F463" s="33" t="n"/>
      <c r="G463" s="33" t="n"/>
      <c r="H463" s="33" t="n"/>
      <c r="I463" s="33" t="n"/>
      <c r="J463" s="33" t="n"/>
      <c r="K463" s="33" t="n"/>
      <c r="L463" s="33" t="n"/>
      <c r="M463" s="33" t="n"/>
      <c r="N463" s="33" t="n"/>
      <c r="O463" s="33" t="n"/>
      <c r="P463" s="33" t="n"/>
      <c r="Q463" s="33" t="n"/>
      <c r="R463" s="33" t="n"/>
      <c r="S463" s="33" t="n"/>
      <c r="T463" s="33" t="n"/>
      <c r="U463" s="33" t="n"/>
      <c r="V463" s="33" t="n"/>
      <c r="W463" s="34" t="n"/>
      <c r="X463" s="33" t="n"/>
      <c r="Y463" s="35" t="n"/>
      <c r="Z463" s="157">
        <f>IF(OR(Y463="",X463=""),"",IFERROR(Y463*INDEX(FXRates[USD per unit],MATCH(X463,FXRates[Currency],0)),"No rate"))</f>
        <v/>
      </c>
      <c r="AA463" s="32" t="n"/>
      <c r="AB463" s="32" t="n"/>
      <c r="AC463" s="36">
        <f>IF(A463="","",IF(COUNTIF($A$6:$A$504,A463)&gt;1,"⚠ Duplicate",""))</f>
        <v/>
      </c>
      <c r="AD463" s="43" t="n"/>
      <c r="AE463" s="43" t="n"/>
      <c r="AF463" s="43" t="n"/>
      <c r="AG463" s="43" t="n"/>
      <c r="AH463" s="43" t="n"/>
      <c r="AI463" s="43" t="n"/>
      <c r="AJ463" s="43" t="n"/>
      <c r="AK463" s="43" t="n"/>
      <c r="AL463" s="43" t="n"/>
      <c r="AM463" s="43" t="n"/>
      <c r="AN463" s="43" t="n"/>
      <c r="AO463" s="43" t="n"/>
      <c r="AP463" s="43" t="n"/>
      <c r="AQ463" s="43" t="n"/>
    </row>
    <row r="464" ht="18" customHeight="1" s="74">
      <c r="A464" s="38" t="n"/>
      <c r="B464" s="38" t="n"/>
      <c r="C464" s="38" t="n"/>
      <c r="D464" s="38" t="n"/>
      <c r="E464" s="39" t="n"/>
      <c r="F464" s="39" t="n"/>
      <c r="G464" s="39" t="n"/>
      <c r="H464" s="39" t="n"/>
      <c r="I464" s="39" t="n"/>
      <c r="J464" s="39" t="n"/>
      <c r="K464" s="39" t="n"/>
      <c r="L464" s="39" t="n"/>
      <c r="M464" s="39" t="n"/>
      <c r="N464" s="39" t="n"/>
      <c r="O464" s="39" t="n"/>
      <c r="P464" s="39" t="n"/>
      <c r="Q464" s="39" t="n"/>
      <c r="R464" s="39" t="n"/>
      <c r="S464" s="39" t="n"/>
      <c r="T464" s="39" t="n"/>
      <c r="U464" s="39" t="n"/>
      <c r="V464" s="39" t="n"/>
      <c r="W464" s="34" t="n"/>
      <c r="X464" s="39" t="n"/>
      <c r="Y464" s="40" t="n"/>
      <c r="Z464" s="158">
        <f>IF(OR(Y464="",X464=""),"",IFERROR(Y464*INDEX(FXRates[USD per unit],MATCH(X464,FXRates[Currency],0)),"No rate"))</f>
        <v/>
      </c>
      <c r="AA464" s="38" t="n"/>
      <c r="AB464" s="38" t="n"/>
      <c r="AC464" s="41">
        <f>IF(A464="","",IF(COUNTIF($A$6:$A$504,A464)&gt;1,"⚠ Duplicate",""))</f>
        <v/>
      </c>
      <c r="AD464" s="42" t="n"/>
      <c r="AE464" s="42" t="n"/>
      <c r="AF464" s="42" t="n"/>
      <c r="AG464" s="42" t="n"/>
      <c r="AH464" s="42" t="n"/>
      <c r="AI464" s="42" t="n"/>
      <c r="AJ464" s="42" t="n"/>
      <c r="AK464" s="42" t="n"/>
      <c r="AL464" s="42" t="n"/>
      <c r="AM464" s="42" t="n"/>
      <c r="AN464" s="42" t="n"/>
      <c r="AO464" s="42" t="n"/>
      <c r="AP464" s="42" t="n"/>
      <c r="AQ464" s="42" t="n"/>
    </row>
    <row r="465" ht="18" customHeight="1" s="74">
      <c r="A465" s="32" t="n"/>
      <c r="B465" s="32" t="n"/>
      <c r="C465" s="32" t="n"/>
      <c r="D465" s="32" t="n"/>
      <c r="E465" s="33" t="n"/>
      <c r="F465" s="33" t="n"/>
      <c r="G465" s="33" t="n"/>
      <c r="H465" s="33" t="n"/>
      <c r="I465" s="33" t="n"/>
      <c r="J465" s="33" t="n"/>
      <c r="K465" s="33" t="n"/>
      <c r="L465" s="33" t="n"/>
      <c r="M465" s="33" t="n"/>
      <c r="N465" s="33" t="n"/>
      <c r="O465" s="33" t="n"/>
      <c r="P465" s="33" t="n"/>
      <c r="Q465" s="33" t="n"/>
      <c r="R465" s="33" t="n"/>
      <c r="S465" s="33" t="n"/>
      <c r="T465" s="33" t="n"/>
      <c r="U465" s="33" t="n"/>
      <c r="V465" s="33" t="n"/>
      <c r="W465" s="34" t="n"/>
      <c r="X465" s="33" t="n"/>
      <c r="Y465" s="35" t="n"/>
      <c r="Z465" s="157">
        <f>IF(OR(Y465="",X465=""),"",IFERROR(Y465*INDEX(FXRates[USD per unit],MATCH(X465,FXRates[Currency],0)),"No rate"))</f>
        <v/>
      </c>
      <c r="AA465" s="32" t="n"/>
      <c r="AB465" s="32" t="n"/>
      <c r="AC465" s="36">
        <f>IF(A465="","",IF(COUNTIF($A$6:$A$504,A465)&gt;1,"⚠ Duplicate",""))</f>
        <v/>
      </c>
      <c r="AD465" s="43" t="n"/>
      <c r="AE465" s="43" t="n"/>
      <c r="AF465" s="43" t="n"/>
      <c r="AG465" s="43" t="n"/>
      <c r="AH465" s="43" t="n"/>
      <c r="AI465" s="43" t="n"/>
      <c r="AJ465" s="43" t="n"/>
      <c r="AK465" s="43" t="n"/>
      <c r="AL465" s="43" t="n"/>
      <c r="AM465" s="43" t="n"/>
      <c r="AN465" s="43" t="n"/>
      <c r="AO465" s="43" t="n"/>
      <c r="AP465" s="43" t="n"/>
      <c r="AQ465" s="43" t="n"/>
    </row>
    <row r="466" ht="18" customHeight="1" s="74">
      <c r="A466" s="38" t="n"/>
      <c r="B466" s="38" t="n"/>
      <c r="C466" s="38" t="n"/>
      <c r="D466" s="38" t="n"/>
      <c r="E466" s="39" t="n"/>
      <c r="F466" s="39" t="n"/>
      <c r="G466" s="39" t="n"/>
      <c r="H466" s="39" t="n"/>
      <c r="I466" s="39" t="n"/>
      <c r="J466" s="39" t="n"/>
      <c r="K466" s="39" t="n"/>
      <c r="L466" s="39" t="n"/>
      <c r="M466" s="39" t="n"/>
      <c r="N466" s="39" t="n"/>
      <c r="O466" s="39" t="n"/>
      <c r="P466" s="39" t="n"/>
      <c r="Q466" s="39" t="n"/>
      <c r="R466" s="39" t="n"/>
      <c r="S466" s="39" t="n"/>
      <c r="T466" s="39" t="n"/>
      <c r="U466" s="39" t="n"/>
      <c r="V466" s="39" t="n"/>
      <c r="W466" s="34" t="n"/>
      <c r="X466" s="39" t="n"/>
      <c r="Y466" s="40" t="n"/>
      <c r="Z466" s="158">
        <f>IF(OR(Y466="",X466=""),"",IFERROR(Y466*INDEX(FXRates[USD per unit],MATCH(X466,FXRates[Currency],0)),"No rate"))</f>
        <v/>
      </c>
      <c r="AA466" s="38" t="n"/>
      <c r="AB466" s="38" t="n"/>
      <c r="AC466" s="41">
        <f>IF(A466="","",IF(COUNTIF($A$6:$A$504,A466)&gt;1,"⚠ Duplicate",""))</f>
        <v/>
      </c>
      <c r="AD466" s="42" t="n"/>
      <c r="AE466" s="42" t="n"/>
      <c r="AF466" s="42" t="n"/>
      <c r="AG466" s="42" t="n"/>
      <c r="AH466" s="42" t="n"/>
      <c r="AI466" s="42" t="n"/>
      <c r="AJ466" s="42" t="n"/>
      <c r="AK466" s="42" t="n"/>
      <c r="AL466" s="42" t="n"/>
      <c r="AM466" s="42" t="n"/>
      <c r="AN466" s="42" t="n"/>
      <c r="AO466" s="42" t="n"/>
      <c r="AP466" s="42" t="n"/>
      <c r="AQ466" s="42" t="n"/>
    </row>
    <row r="467" ht="18" customHeight="1" s="74">
      <c r="A467" s="32" t="n"/>
      <c r="B467" s="32" t="n"/>
      <c r="C467" s="32" t="n"/>
      <c r="D467" s="32" t="n"/>
      <c r="E467" s="33" t="n"/>
      <c r="F467" s="33" t="n"/>
      <c r="G467" s="33" t="n"/>
      <c r="H467" s="33" t="n"/>
      <c r="I467" s="33" t="n"/>
      <c r="J467" s="33" t="n"/>
      <c r="K467" s="33" t="n"/>
      <c r="L467" s="33" t="n"/>
      <c r="M467" s="33" t="n"/>
      <c r="N467" s="33" t="n"/>
      <c r="O467" s="33" t="n"/>
      <c r="P467" s="33" t="n"/>
      <c r="Q467" s="33" t="n"/>
      <c r="R467" s="33" t="n"/>
      <c r="S467" s="33" t="n"/>
      <c r="T467" s="33" t="n"/>
      <c r="U467" s="33" t="n"/>
      <c r="V467" s="33" t="n"/>
      <c r="W467" s="34" t="n"/>
      <c r="X467" s="33" t="n"/>
      <c r="Y467" s="35" t="n"/>
      <c r="Z467" s="157">
        <f>IF(OR(Y467="",X467=""),"",IFERROR(Y467*INDEX(FXRates[USD per unit],MATCH(X467,FXRates[Currency],0)),"No rate"))</f>
        <v/>
      </c>
      <c r="AA467" s="32" t="n"/>
      <c r="AB467" s="32" t="n"/>
      <c r="AC467" s="36">
        <f>IF(A467="","",IF(COUNTIF($A$6:$A$504,A467)&gt;1,"⚠ Duplicate",""))</f>
        <v/>
      </c>
      <c r="AD467" s="43" t="n"/>
      <c r="AE467" s="43" t="n"/>
      <c r="AF467" s="43" t="n"/>
      <c r="AG467" s="43" t="n"/>
      <c r="AH467" s="43" t="n"/>
      <c r="AI467" s="43" t="n"/>
      <c r="AJ467" s="43" t="n"/>
      <c r="AK467" s="43" t="n"/>
      <c r="AL467" s="43" t="n"/>
      <c r="AM467" s="43" t="n"/>
      <c r="AN467" s="43" t="n"/>
      <c r="AO467" s="43" t="n"/>
      <c r="AP467" s="43" t="n"/>
      <c r="AQ467" s="43" t="n"/>
    </row>
    <row r="468" ht="18" customHeight="1" s="74">
      <c r="A468" s="38" t="n"/>
      <c r="B468" s="38" t="n"/>
      <c r="C468" s="38" t="n"/>
      <c r="D468" s="38" t="n"/>
      <c r="E468" s="39" t="n"/>
      <c r="F468" s="39" t="n"/>
      <c r="G468" s="39" t="n"/>
      <c r="H468" s="39" t="n"/>
      <c r="I468" s="39" t="n"/>
      <c r="J468" s="39" t="n"/>
      <c r="K468" s="39" t="n"/>
      <c r="L468" s="39" t="n"/>
      <c r="M468" s="39" t="n"/>
      <c r="N468" s="39" t="n"/>
      <c r="O468" s="39" t="n"/>
      <c r="P468" s="39" t="n"/>
      <c r="Q468" s="39" t="n"/>
      <c r="R468" s="39" t="n"/>
      <c r="S468" s="39" t="n"/>
      <c r="T468" s="39" t="n"/>
      <c r="U468" s="39" t="n"/>
      <c r="V468" s="39" t="n"/>
      <c r="W468" s="34" t="n"/>
      <c r="X468" s="39" t="n"/>
      <c r="Y468" s="40" t="n"/>
      <c r="Z468" s="158">
        <f>IF(OR(Y468="",X468=""),"",IFERROR(Y468*INDEX(FXRates[USD per unit],MATCH(X468,FXRates[Currency],0)),"No rate"))</f>
        <v/>
      </c>
      <c r="AA468" s="38" t="n"/>
      <c r="AB468" s="38" t="n"/>
      <c r="AC468" s="41">
        <f>IF(A468="","",IF(COUNTIF($A$6:$A$504,A468)&gt;1,"⚠ Duplicate",""))</f>
        <v/>
      </c>
      <c r="AD468" s="42" t="n"/>
      <c r="AE468" s="42" t="n"/>
      <c r="AF468" s="42" t="n"/>
      <c r="AG468" s="42" t="n"/>
      <c r="AH468" s="42" t="n"/>
      <c r="AI468" s="42" t="n"/>
      <c r="AJ468" s="42" t="n"/>
      <c r="AK468" s="42" t="n"/>
      <c r="AL468" s="42" t="n"/>
      <c r="AM468" s="42" t="n"/>
      <c r="AN468" s="42" t="n"/>
      <c r="AO468" s="42" t="n"/>
      <c r="AP468" s="42" t="n"/>
      <c r="AQ468" s="42" t="n"/>
    </row>
    <row r="469" ht="18" customHeight="1" s="74">
      <c r="A469" s="32" t="n"/>
      <c r="B469" s="32" t="n"/>
      <c r="C469" s="32" t="n"/>
      <c r="D469" s="32" t="n"/>
      <c r="E469" s="33" t="n"/>
      <c r="F469" s="33" t="n"/>
      <c r="G469" s="33" t="n"/>
      <c r="H469" s="33" t="n"/>
      <c r="I469" s="33" t="n"/>
      <c r="J469" s="33" t="n"/>
      <c r="K469" s="33" t="n"/>
      <c r="L469" s="33" t="n"/>
      <c r="M469" s="33" t="n"/>
      <c r="N469" s="33" t="n"/>
      <c r="O469" s="33" t="n"/>
      <c r="P469" s="33" t="n"/>
      <c r="Q469" s="33" t="n"/>
      <c r="R469" s="33" t="n"/>
      <c r="S469" s="33" t="n"/>
      <c r="T469" s="33" t="n"/>
      <c r="U469" s="33" t="n"/>
      <c r="V469" s="33" t="n"/>
      <c r="W469" s="34" t="n"/>
      <c r="X469" s="33" t="n"/>
      <c r="Y469" s="35" t="n"/>
      <c r="Z469" s="157">
        <f>IF(OR(Y469="",X469=""),"",IFERROR(Y469*INDEX(FXRates[USD per unit],MATCH(X469,FXRates[Currency],0)),"No rate"))</f>
        <v/>
      </c>
      <c r="AA469" s="32" t="n"/>
      <c r="AB469" s="32" t="n"/>
      <c r="AC469" s="36">
        <f>IF(A469="","",IF(COUNTIF($A$6:$A$504,A469)&gt;1,"⚠ Duplicate",""))</f>
        <v/>
      </c>
      <c r="AD469" s="43" t="n"/>
      <c r="AE469" s="43" t="n"/>
      <c r="AF469" s="43" t="n"/>
      <c r="AG469" s="43" t="n"/>
      <c r="AH469" s="43" t="n"/>
      <c r="AI469" s="43" t="n"/>
      <c r="AJ469" s="43" t="n"/>
      <c r="AK469" s="43" t="n"/>
      <c r="AL469" s="43" t="n"/>
      <c r="AM469" s="43" t="n"/>
      <c r="AN469" s="43" t="n"/>
      <c r="AO469" s="43" t="n"/>
      <c r="AP469" s="43" t="n"/>
      <c r="AQ469" s="43" t="n"/>
    </row>
    <row r="470" ht="18" customHeight="1" s="74">
      <c r="A470" s="38" t="n"/>
      <c r="B470" s="38" t="n"/>
      <c r="C470" s="38" t="n"/>
      <c r="D470" s="38" t="n"/>
      <c r="E470" s="39" t="n"/>
      <c r="F470" s="39" t="n"/>
      <c r="G470" s="39" t="n"/>
      <c r="H470" s="39" t="n"/>
      <c r="I470" s="39" t="n"/>
      <c r="J470" s="39" t="n"/>
      <c r="K470" s="39" t="n"/>
      <c r="L470" s="39" t="n"/>
      <c r="M470" s="39" t="n"/>
      <c r="N470" s="39" t="n"/>
      <c r="O470" s="39" t="n"/>
      <c r="P470" s="39" t="n"/>
      <c r="Q470" s="39" t="n"/>
      <c r="R470" s="39" t="n"/>
      <c r="S470" s="39" t="n"/>
      <c r="T470" s="39" t="n"/>
      <c r="U470" s="39" t="n"/>
      <c r="V470" s="39" t="n"/>
      <c r="W470" s="34" t="n"/>
      <c r="X470" s="39" t="n"/>
      <c r="Y470" s="40" t="n"/>
      <c r="Z470" s="158">
        <f>IF(OR(Y470="",X470=""),"",IFERROR(Y470*INDEX(FXRates[USD per unit],MATCH(X470,FXRates[Currency],0)),"No rate"))</f>
        <v/>
      </c>
      <c r="AA470" s="38" t="n"/>
      <c r="AB470" s="38" t="n"/>
      <c r="AC470" s="41">
        <f>IF(A470="","",IF(COUNTIF($A$6:$A$504,A470)&gt;1,"⚠ Duplicate",""))</f>
        <v/>
      </c>
      <c r="AD470" s="42" t="n"/>
      <c r="AE470" s="42" t="n"/>
      <c r="AF470" s="42" t="n"/>
      <c r="AG470" s="42" t="n"/>
      <c r="AH470" s="42" t="n"/>
      <c r="AI470" s="42" t="n"/>
      <c r="AJ470" s="42" t="n"/>
      <c r="AK470" s="42" t="n"/>
      <c r="AL470" s="42" t="n"/>
      <c r="AM470" s="42" t="n"/>
      <c r="AN470" s="42" t="n"/>
      <c r="AO470" s="42" t="n"/>
      <c r="AP470" s="42" t="n"/>
      <c r="AQ470" s="42" t="n"/>
    </row>
    <row r="471" ht="18" customHeight="1" s="74">
      <c r="A471" s="32" t="n"/>
      <c r="B471" s="32" t="n"/>
      <c r="C471" s="32" t="n"/>
      <c r="D471" s="32" t="n"/>
      <c r="E471" s="33" t="n"/>
      <c r="F471" s="33" t="n"/>
      <c r="G471" s="33" t="n"/>
      <c r="H471" s="33" t="n"/>
      <c r="I471" s="33" t="n"/>
      <c r="J471" s="33" t="n"/>
      <c r="K471" s="33" t="n"/>
      <c r="L471" s="33" t="n"/>
      <c r="M471" s="33" t="n"/>
      <c r="N471" s="33" t="n"/>
      <c r="O471" s="33" t="n"/>
      <c r="P471" s="33" t="n"/>
      <c r="Q471" s="33" t="n"/>
      <c r="R471" s="33" t="n"/>
      <c r="S471" s="33" t="n"/>
      <c r="T471" s="33" t="n"/>
      <c r="U471" s="33" t="n"/>
      <c r="V471" s="33" t="n"/>
      <c r="W471" s="34" t="n"/>
      <c r="X471" s="33" t="n"/>
      <c r="Y471" s="35" t="n"/>
      <c r="Z471" s="157">
        <f>IF(OR(Y471="",X471=""),"",IFERROR(Y471*INDEX(FXRates[USD per unit],MATCH(X471,FXRates[Currency],0)),"No rate"))</f>
        <v/>
      </c>
      <c r="AA471" s="32" t="n"/>
      <c r="AB471" s="32" t="n"/>
      <c r="AC471" s="36">
        <f>IF(A471="","",IF(COUNTIF($A$6:$A$504,A471)&gt;1,"⚠ Duplicate",""))</f>
        <v/>
      </c>
      <c r="AD471" s="43" t="n"/>
      <c r="AE471" s="43" t="n"/>
      <c r="AF471" s="43" t="n"/>
      <c r="AG471" s="43" t="n"/>
      <c r="AH471" s="43" t="n"/>
      <c r="AI471" s="43" t="n"/>
      <c r="AJ471" s="43" t="n"/>
      <c r="AK471" s="43" t="n"/>
      <c r="AL471" s="43" t="n"/>
      <c r="AM471" s="43" t="n"/>
      <c r="AN471" s="43" t="n"/>
      <c r="AO471" s="43" t="n"/>
      <c r="AP471" s="43" t="n"/>
      <c r="AQ471" s="43" t="n"/>
    </row>
    <row r="472" ht="18" customHeight="1" s="74">
      <c r="A472" s="38" t="n"/>
      <c r="B472" s="38" t="n"/>
      <c r="C472" s="38" t="n"/>
      <c r="D472" s="38" t="n"/>
      <c r="E472" s="39" t="n"/>
      <c r="F472" s="39" t="n"/>
      <c r="G472" s="39" t="n"/>
      <c r="H472" s="39" t="n"/>
      <c r="I472" s="39" t="n"/>
      <c r="J472" s="39" t="n"/>
      <c r="K472" s="39" t="n"/>
      <c r="L472" s="39" t="n"/>
      <c r="M472" s="39" t="n"/>
      <c r="N472" s="39" t="n"/>
      <c r="O472" s="39" t="n"/>
      <c r="P472" s="39" t="n"/>
      <c r="Q472" s="39" t="n"/>
      <c r="R472" s="39" t="n"/>
      <c r="S472" s="39" t="n"/>
      <c r="T472" s="39" t="n"/>
      <c r="U472" s="39" t="n"/>
      <c r="V472" s="39" t="n"/>
      <c r="W472" s="34" t="n"/>
      <c r="X472" s="39" t="n"/>
      <c r="Y472" s="40" t="n"/>
      <c r="Z472" s="158">
        <f>IF(OR(Y472="",X472=""),"",IFERROR(Y472*INDEX(FXRates[USD per unit],MATCH(X472,FXRates[Currency],0)),"No rate"))</f>
        <v/>
      </c>
      <c r="AA472" s="38" t="n"/>
      <c r="AB472" s="38" t="n"/>
      <c r="AC472" s="41">
        <f>IF(A472="","",IF(COUNTIF($A$6:$A$504,A472)&gt;1,"⚠ Duplicate",""))</f>
        <v/>
      </c>
      <c r="AD472" s="42" t="n"/>
      <c r="AE472" s="42" t="n"/>
      <c r="AF472" s="42" t="n"/>
      <c r="AG472" s="42" t="n"/>
      <c r="AH472" s="42" t="n"/>
      <c r="AI472" s="42" t="n"/>
      <c r="AJ472" s="42" t="n"/>
      <c r="AK472" s="42" t="n"/>
      <c r="AL472" s="42" t="n"/>
      <c r="AM472" s="42" t="n"/>
      <c r="AN472" s="42" t="n"/>
      <c r="AO472" s="42" t="n"/>
      <c r="AP472" s="42" t="n"/>
      <c r="AQ472" s="42" t="n"/>
    </row>
    <row r="473" ht="18" customHeight="1" s="74">
      <c r="A473" s="32" t="n"/>
      <c r="B473" s="32" t="n"/>
      <c r="C473" s="32" t="n"/>
      <c r="D473" s="32" t="n"/>
      <c r="E473" s="33" t="n"/>
      <c r="F473" s="33" t="n"/>
      <c r="G473" s="33" t="n"/>
      <c r="H473" s="33" t="n"/>
      <c r="I473" s="33" t="n"/>
      <c r="J473" s="33" t="n"/>
      <c r="K473" s="33" t="n"/>
      <c r="L473" s="33" t="n"/>
      <c r="M473" s="33" t="n"/>
      <c r="N473" s="33" t="n"/>
      <c r="O473" s="33" t="n"/>
      <c r="P473" s="33" t="n"/>
      <c r="Q473" s="33" t="n"/>
      <c r="R473" s="33" t="n"/>
      <c r="S473" s="33" t="n"/>
      <c r="T473" s="33" t="n"/>
      <c r="U473" s="33" t="n"/>
      <c r="V473" s="33" t="n"/>
      <c r="W473" s="34" t="n"/>
      <c r="X473" s="33" t="n"/>
      <c r="Y473" s="35" t="n"/>
      <c r="Z473" s="157">
        <f>IF(OR(Y473="",X473=""),"",IFERROR(Y473*INDEX(FXRates[USD per unit],MATCH(X473,FXRates[Currency],0)),"No rate"))</f>
        <v/>
      </c>
      <c r="AA473" s="32" t="n"/>
      <c r="AB473" s="32" t="n"/>
      <c r="AC473" s="36">
        <f>IF(A473="","",IF(COUNTIF($A$6:$A$504,A473)&gt;1,"⚠ Duplicate",""))</f>
        <v/>
      </c>
      <c r="AD473" s="43" t="n"/>
      <c r="AE473" s="43" t="n"/>
      <c r="AF473" s="43" t="n"/>
      <c r="AG473" s="43" t="n"/>
      <c r="AH473" s="43" t="n"/>
      <c r="AI473" s="43" t="n"/>
      <c r="AJ473" s="43" t="n"/>
      <c r="AK473" s="43" t="n"/>
      <c r="AL473" s="43" t="n"/>
      <c r="AM473" s="43" t="n"/>
      <c r="AN473" s="43" t="n"/>
      <c r="AO473" s="43" t="n"/>
      <c r="AP473" s="43" t="n"/>
      <c r="AQ473" s="43" t="n"/>
    </row>
    <row r="474" ht="18" customHeight="1" s="74">
      <c r="A474" s="38" t="n"/>
      <c r="B474" s="38" t="n"/>
      <c r="C474" s="38" t="n"/>
      <c r="D474" s="38" t="n"/>
      <c r="E474" s="39" t="n"/>
      <c r="F474" s="39" t="n"/>
      <c r="G474" s="39" t="n"/>
      <c r="H474" s="39" t="n"/>
      <c r="I474" s="39" t="n"/>
      <c r="J474" s="39" t="n"/>
      <c r="K474" s="39" t="n"/>
      <c r="L474" s="39" t="n"/>
      <c r="M474" s="39" t="n"/>
      <c r="N474" s="39" t="n"/>
      <c r="O474" s="39" t="n"/>
      <c r="P474" s="39" t="n"/>
      <c r="Q474" s="39" t="n"/>
      <c r="R474" s="39" t="n"/>
      <c r="S474" s="39" t="n"/>
      <c r="T474" s="39" t="n"/>
      <c r="U474" s="39" t="n"/>
      <c r="V474" s="39" t="n"/>
      <c r="W474" s="34" t="n"/>
      <c r="X474" s="39" t="n"/>
      <c r="Y474" s="40" t="n"/>
      <c r="Z474" s="158">
        <f>IF(OR(Y474="",X474=""),"",IFERROR(Y474*INDEX(FXRates[USD per unit],MATCH(X474,FXRates[Currency],0)),"No rate"))</f>
        <v/>
      </c>
      <c r="AA474" s="38" t="n"/>
      <c r="AB474" s="38" t="n"/>
      <c r="AC474" s="41">
        <f>IF(A474="","",IF(COUNTIF($A$6:$A$504,A474)&gt;1,"⚠ Duplicate",""))</f>
        <v/>
      </c>
      <c r="AD474" s="42" t="n"/>
      <c r="AE474" s="42" t="n"/>
      <c r="AF474" s="42" t="n"/>
      <c r="AG474" s="42" t="n"/>
      <c r="AH474" s="42" t="n"/>
      <c r="AI474" s="42" t="n"/>
      <c r="AJ474" s="42" t="n"/>
      <c r="AK474" s="42" t="n"/>
      <c r="AL474" s="42" t="n"/>
      <c r="AM474" s="42" t="n"/>
      <c r="AN474" s="42" t="n"/>
      <c r="AO474" s="42" t="n"/>
      <c r="AP474" s="42" t="n"/>
      <c r="AQ474" s="42" t="n"/>
    </row>
    <row r="475" ht="18" customHeight="1" s="74">
      <c r="A475" s="32" t="n"/>
      <c r="B475" s="32" t="n"/>
      <c r="C475" s="32" t="n"/>
      <c r="D475" s="32" t="n"/>
      <c r="E475" s="33" t="n"/>
      <c r="F475" s="33" t="n"/>
      <c r="G475" s="33" t="n"/>
      <c r="H475" s="33" t="n"/>
      <c r="I475" s="33" t="n"/>
      <c r="J475" s="33" t="n"/>
      <c r="K475" s="33" t="n"/>
      <c r="L475" s="33" t="n"/>
      <c r="M475" s="33" t="n"/>
      <c r="N475" s="33" t="n"/>
      <c r="O475" s="33" t="n"/>
      <c r="P475" s="33" t="n"/>
      <c r="Q475" s="33" t="n"/>
      <c r="R475" s="33" t="n"/>
      <c r="S475" s="33" t="n"/>
      <c r="T475" s="33" t="n"/>
      <c r="U475" s="33" t="n"/>
      <c r="V475" s="33" t="n"/>
      <c r="W475" s="34" t="n"/>
      <c r="X475" s="33" t="n"/>
      <c r="Y475" s="35" t="n"/>
      <c r="Z475" s="157">
        <f>IF(OR(Y475="",X475=""),"",IFERROR(Y475*INDEX(FXRates[USD per unit],MATCH(X475,FXRates[Currency],0)),"No rate"))</f>
        <v/>
      </c>
      <c r="AA475" s="32" t="n"/>
      <c r="AB475" s="32" t="n"/>
      <c r="AC475" s="36">
        <f>IF(A475="","",IF(COUNTIF($A$6:$A$504,A475)&gt;1,"⚠ Duplicate",""))</f>
        <v/>
      </c>
      <c r="AD475" s="43" t="n"/>
      <c r="AE475" s="43" t="n"/>
      <c r="AF475" s="43" t="n"/>
      <c r="AG475" s="43" t="n"/>
      <c r="AH475" s="43" t="n"/>
      <c r="AI475" s="43" t="n"/>
      <c r="AJ475" s="43" t="n"/>
      <c r="AK475" s="43" t="n"/>
      <c r="AL475" s="43" t="n"/>
      <c r="AM475" s="43" t="n"/>
      <c r="AN475" s="43" t="n"/>
      <c r="AO475" s="43" t="n"/>
      <c r="AP475" s="43" t="n"/>
      <c r="AQ475" s="43" t="n"/>
    </row>
    <row r="476" ht="18" customHeight="1" s="74">
      <c r="A476" s="38" t="n"/>
      <c r="B476" s="38" t="n"/>
      <c r="C476" s="38" t="n"/>
      <c r="D476" s="38" t="n"/>
      <c r="E476" s="39" t="n"/>
      <c r="F476" s="39" t="n"/>
      <c r="G476" s="39" t="n"/>
      <c r="H476" s="39" t="n"/>
      <c r="I476" s="39" t="n"/>
      <c r="J476" s="39" t="n"/>
      <c r="K476" s="39" t="n"/>
      <c r="L476" s="39" t="n"/>
      <c r="M476" s="39" t="n"/>
      <c r="N476" s="39" t="n"/>
      <c r="O476" s="39" t="n"/>
      <c r="P476" s="39" t="n"/>
      <c r="Q476" s="39" t="n"/>
      <c r="R476" s="39" t="n"/>
      <c r="S476" s="39" t="n"/>
      <c r="T476" s="39" t="n"/>
      <c r="U476" s="39" t="n"/>
      <c r="V476" s="39" t="n"/>
      <c r="W476" s="34" t="n"/>
      <c r="X476" s="39" t="n"/>
      <c r="Y476" s="40" t="n"/>
      <c r="Z476" s="158">
        <f>IF(OR(Y476="",X476=""),"",IFERROR(Y476*INDEX(FXRates[USD per unit],MATCH(X476,FXRates[Currency],0)),"No rate"))</f>
        <v/>
      </c>
      <c r="AA476" s="38" t="n"/>
      <c r="AB476" s="38" t="n"/>
      <c r="AC476" s="41">
        <f>IF(A476="","",IF(COUNTIF($A$6:$A$504,A476)&gt;1,"⚠ Duplicate",""))</f>
        <v/>
      </c>
      <c r="AD476" s="42" t="n"/>
      <c r="AE476" s="42" t="n"/>
      <c r="AF476" s="42" t="n"/>
      <c r="AG476" s="42" t="n"/>
      <c r="AH476" s="42" t="n"/>
      <c r="AI476" s="42" t="n"/>
      <c r="AJ476" s="42" t="n"/>
      <c r="AK476" s="42" t="n"/>
      <c r="AL476" s="42" t="n"/>
      <c r="AM476" s="42" t="n"/>
      <c r="AN476" s="42" t="n"/>
      <c r="AO476" s="42" t="n"/>
      <c r="AP476" s="42" t="n"/>
      <c r="AQ476" s="42" t="n"/>
    </row>
    <row r="477" ht="18" customHeight="1" s="74">
      <c r="A477" s="32" t="n"/>
      <c r="B477" s="32" t="n"/>
      <c r="C477" s="32" t="n"/>
      <c r="D477" s="32" t="n"/>
      <c r="E477" s="33" t="n"/>
      <c r="F477" s="33" t="n"/>
      <c r="G477" s="33" t="n"/>
      <c r="H477" s="33" t="n"/>
      <c r="I477" s="33" t="n"/>
      <c r="J477" s="33" t="n"/>
      <c r="K477" s="33" t="n"/>
      <c r="L477" s="33" t="n"/>
      <c r="M477" s="33" t="n"/>
      <c r="N477" s="33" t="n"/>
      <c r="O477" s="33" t="n"/>
      <c r="P477" s="33" t="n"/>
      <c r="Q477" s="33" t="n"/>
      <c r="R477" s="33" t="n"/>
      <c r="S477" s="33" t="n"/>
      <c r="T477" s="33" t="n"/>
      <c r="U477" s="33" t="n"/>
      <c r="V477" s="33" t="n"/>
      <c r="W477" s="34" t="n"/>
      <c r="X477" s="33" t="n"/>
      <c r="Y477" s="35" t="n"/>
      <c r="Z477" s="157">
        <f>IF(OR(Y477="",X477=""),"",IFERROR(Y477*INDEX(FXRates[USD per unit],MATCH(X477,FXRates[Currency],0)),"No rate"))</f>
        <v/>
      </c>
      <c r="AA477" s="32" t="n"/>
      <c r="AB477" s="32" t="n"/>
      <c r="AC477" s="36">
        <f>IF(A477="","",IF(COUNTIF($A$6:$A$504,A477)&gt;1,"⚠ Duplicate",""))</f>
        <v/>
      </c>
      <c r="AD477" s="43" t="n"/>
      <c r="AE477" s="43" t="n"/>
      <c r="AF477" s="43" t="n"/>
      <c r="AG477" s="43" t="n"/>
      <c r="AH477" s="43" t="n"/>
      <c r="AI477" s="43" t="n"/>
      <c r="AJ477" s="43" t="n"/>
      <c r="AK477" s="43" t="n"/>
      <c r="AL477" s="43" t="n"/>
      <c r="AM477" s="43" t="n"/>
      <c r="AN477" s="43" t="n"/>
      <c r="AO477" s="43" t="n"/>
      <c r="AP477" s="43" t="n"/>
      <c r="AQ477" s="43" t="n"/>
    </row>
    <row r="478" ht="18" customHeight="1" s="74">
      <c r="A478" s="38" t="n"/>
      <c r="B478" s="38" t="n"/>
      <c r="C478" s="38" t="n"/>
      <c r="D478" s="38" t="n"/>
      <c r="E478" s="39" t="n"/>
      <c r="F478" s="39" t="n"/>
      <c r="G478" s="39" t="n"/>
      <c r="H478" s="39" t="n"/>
      <c r="I478" s="39" t="n"/>
      <c r="J478" s="39" t="n"/>
      <c r="K478" s="39" t="n"/>
      <c r="L478" s="39" t="n"/>
      <c r="M478" s="39" t="n"/>
      <c r="N478" s="39" t="n"/>
      <c r="O478" s="39" t="n"/>
      <c r="P478" s="39" t="n"/>
      <c r="Q478" s="39" t="n"/>
      <c r="R478" s="39" t="n"/>
      <c r="S478" s="39" t="n"/>
      <c r="T478" s="39" t="n"/>
      <c r="U478" s="39" t="n"/>
      <c r="V478" s="39" t="n"/>
      <c r="W478" s="34" t="n"/>
      <c r="X478" s="39" t="n"/>
      <c r="Y478" s="40" t="n"/>
      <c r="Z478" s="158">
        <f>IF(OR(Y478="",X478=""),"",IFERROR(Y478*INDEX(FXRates[USD per unit],MATCH(X478,FXRates[Currency],0)),"No rate"))</f>
        <v/>
      </c>
      <c r="AA478" s="38" t="n"/>
      <c r="AB478" s="38" t="n"/>
      <c r="AC478" s="41">
        <f>IF(A478="","",IF(COUNTIF($A$6:$A$504,A478)&gt;1,"⚠ Duplicate",""))</f>
        <v/>
      </c>
      <c r="AD478" s="42" t="n"/>
      <c r="AE478" s="42" t="n"/>
      <c r="AF478" s="42" t="n"/>
      <c r="AG478" s="42" t="n"/>
      <c r="AH478" s="42" t="n"/>
      <c r="AI478" s="42" t="n"/>
      <c r="AJ478" s="42" t="n"/>
      <c r="AK478" s="42" t="n"/>
      <c r="AL478" s="42" t="n"/>
      <c r="AM478" s="42" t="n"/>
      <c r="AN478" s="42" t="n"/>
      <c r="AO478" s="42" t="n"/>
      <c r="AP478" s="42" t="n"/>
      <c r="AQ478" s="42" t="n"/>
    </row>
    <row r="479" ht="18" customHeight="1" s="74">
      <c r="A479" s="32" t="n"/>
      <c r="B479" s="32" t="n"/>
      <c r="C479" s="32" t="n"/>
      <c r="D479" s="32" t="n"/>
      <c r="E479" s="33" t="n"/>
      <c r="F479" s="33" t="n"/>
      <c r="G479" s="33" t="n"/>
      <c r="H479" s="33" t="n"/>
      <c r="I479" s="33" t="n"/>
      <c r="J479" s="33" t="n"/>
      <c r="K479" s="33" t="n"/>
      <c r="L479" s="33" t="n"/>
      <c r="M479" s="33" t="n"/>
      <c r="N479" s="33" t="n"/>
      <c r="O479" s="33" t="n"/>
      <c r="P479" s="33" t="n"/>
      <c r="Q479" s="33" t="n"/>
      <c r="R479" s="33" t="n"/>
      <c r="S479" s="33" t="n"/>
      <c r="T479" s="33" t="n"/>
      <c r="U479" s="33" t="n"/>
      <c r="V479" s="33" t="n"/>
      <c r="W479" s="34" t="n"/>
      <c r="X479" s="33" t="n"/>
      <c r="Y479" s="35" t="n"/>
      <c r="Z479" s="157">
        <f>IF(OR(Y479="",X479=""),"",IFERROR(Y479*INDEX(FXRates[USD per unit],MATCH(X479,FXRates[Currency],0)),"No rate"))</f>
        <v/>
      </c>
      <c r="AA479" s="32" t="n"/>
      <c r="AB479" s="32" t="n"/>
      <c r="AC479" s="36">
        <f>IF(A479="","",IF(COUNTIF($A$6:$A$504,A479)&gt;1,"⚠ Duplicate",""))</f>
        <v/>
      </c>
      <c r="AD479" s="43" t="n"/>
      <c r="AE479" s="43" t="n"/>
      <c r="AF479" s="43" t="n"/>
      <c r="AG479" s="43" t="n"/>
      <c r="AH479" s="43" t="n"/>
      <c r="AI479" s="43" t="n"/>
      <c r="AJ479" s="43" t="n"/>
      <c r="AK479" s="43" t="n"/>
      <c r="AL479" s="43" t="n"/>
      <c r="AM479" s="43" t="n"/>
      <c r="AN479" s="43" t="n"/>
      <c r="AO479" s="43" t="n"/>
      <c r="AP479" s="43" t="n"/>
      <c r="AQ479" s="43" t="n"/>
    </row>
    <row r="480" ht="18" customHeight="1" s="74">
      <c r="A480" s="38" t="n"/>
      <c r="B480" s="38" t="n"/>
      <c r="C480" s="38" t="n"/>
      <c r="D480" s="38" t="n"/>
      <c r="E480" s="39" t="n"/>
      <c r="F480" s="39" t="n"/>
      <c r="G480" s="39" t="n"/>
      <c r="H480" s="39" t="n"/>
      <c r="I480" s="39" t="n"/>
      <c r="J480" s="39" t="n"/>
      <c r="K480" s="39" t="n"/>
      <c r="L480" s="39" t="n"/>
      <c r="M480" s="39" t="n"/>
      <c r="N480" s="39" t="n"/>
      <c r="O480" s="39" t="n"/>
      <c r="P480" s="39" t="n"/>
      <c r="Q480" s="39" t="n"/>
      <c r="R480" s="39" t="n"/>
      <c r="S480" s="39" t="n"/>
      <c r="T480" s="39" t="n"/>
      <c r="U480" s="39" t="n"/>
      <c r="V480" s="39" t="n"/>
      <c r="W480" s="34" t="n"/>
      <c r="X480" s="39" t="n"/>
      <c r="Y480" s="40" t="n"/>
      <c r="Z480" s="158">
        <f>IF(OR(Y480="",X480=""),"",IFERROR(Y480*INDEX(FXRates[USD per unit],MATCH(X480,FXRates[Currency],0)),"No rate"))</f>
        <v/>
      </c>
      <c r="AA480" s="38" t="n"/>
      <c r="AB480" s="38" t="n"/>
      <c r="AC480" s="41">
        <f>IF(A480="","",IF(COUNTIF($A$6:$A$504,A480)&gt;1,"⚠ Duplicate",""))</f>
        <v/>
      </c>
      <c r="AD480" s="42" t="n"/>
      <c r="AE480" s="42" t="n"/>
      <c r="AF480" s="42" t="n"/>
      <c r="AG480" s="42" t="n"/>
      <c r="AH480" s="42" t="n"/>
      <c r="AI480" s="42" t="n"/>
      <c r="AJ480" s="42" t="n"/>
      <c r="AK480" s="42" t="n"/>
      <c r="AL480" s="42" t="n"/>
      <c r="AM480" s="42" t="n"/>
      <c r="AN480" s="42" t="n"/>
      <c r="AO480" s="42" t="n"/>
      <c r="AP480" s="42" t="n"/>
      <c r="AQ480" s="42" t="n"/>
    </row>
    <row r="481" ht="18" customHeight="1" s="74">
      <c r="A481" s="32" t="n"/>
      <c r="B481" s="32" t="n"/>
      <c r="C481" s="32" t="n"/>
      <c r="D481" s="32" t="n"/>
      <c r="E481" s="33" t="n"/>
      <c r="F481" s="33" t="n"/>
      <c r="G481" s="33" t="n"/>
      <c r="H481" s="33" t="n"/>
      <c r="I481" s="33" t="n"/>
      <c r="J481" s="33" t="n"/>
      <c r="K481" s="33" t="n"/>
      <c r="L481" s="33" t="n"/>
      <c r="M481" s="33" t="n"/>
      <c r="N481" s="33" t="n"/>
      <c r="O481" s="33" t="n"/>
      <c r="P481" s="33" t="n"/>
      <c r="Q481" s="33" t="n"/>
      <c r="R481" s="33" t="n"/>
      <c r="S481" s="33" t="n"/>
      <c r="T481" s="33" t="n"/>
      <c r="U481" s="33" t="n"/>
      <c r="V481" s="33" t="n"/>
      <c r="W481" s="34" t="n"/>
      <c r="X481" s="33" t="n"/>
      <c r="Y481" s="35" t="n"/>
      <c r="Z481" s="157">
        <f>IF(OR(Y481="",X481=""),"",IFERROR(Y481*INDEX(FXRates[USD per unit],MATCH(X481,FXRates[Currency],0)),"No rate"))</f>
        <v/>
      </c>
      <c r="AA481" s="32" t="n"/>
      <c r="AB481" s="32" t="n"/>
      <c r="AC481" s="36">
        <f>IF(A481="","",IF(COUNTIF($A$6:$A$504,A481)&gt;1,"⚠ Duplicate",""))</f>
        <v/>
      </c>
      <c r="AD481" s="43" t="n"/>
      <c r="AE481" s="43" t="n"/>
      <c r="AF481" s="43" t="n"/>
      <c r="AG481" s="43" t="n"/>
      <c r="AH481" s="43" t="n"/>
      <c r="AI481" s="43" t="n"/>
      <c r="AJ481" s="43" t="n"/>
      <c r="AK481" s="43" t="n"/>
      <c r="AL481" s="43" t="n"/>
      <c r="AM481" s="43" t="n"/>
      <c r="AN481" s="43" t="n"/>
      <c r="AO481" s="43" t="n"/>
      <c r="AP481" s="43" t="n"/>
      <c r="AQ481" s="43" t="n"/>
    </row>
    <row r="482" ht="18" customHeight="1" s="74">
      <c r="A482" s="38" t="n"/>
      <c r="B482" s="38" t="n"/>
      <c r="C482" s="38" t="n"/>
      <c r="D482" s="38" t="n"/>
      <c r="E482" s="39" t="n"/>
      <c r="F482" s="39" t="n"/>
      <c r="G482" s="39" t="n"/>
      <c r="H482" s="39" t="n"/>
      <c r="I482" s="39" t="n"/>
      <c r="J482" s="39" t="n"/>
      <c r="K482" s="39" t="n"/>
      <c r="L482" s="39" t="n"/>
      <c r="M482" s="39" t="n"/>
      <c r="N482" s="39" t="n"/>
      <c r="O482" s="39" t="n"/>
      <c r="P482" s="39" t="n"/>
      <c r="Q482" s="39" t="n"/>
      <c r="R482" s="39" t="n"/>
      <c r="S482" s="39" t="n"/>
      <c r="T482" s="39" t="n"/>
      <c r="U482" s="39" t="n"/>
      <c r="V482" s="39" t="n"/>
      <c r="W482" s="34" t="n"/>
      <c r="X482" s="39" t="n"/>
      <c r="Y482" s="40" t="n"/>
      <c r="Z482" s="158">
        <f>IF(OR(Y482="",X482=""),"",IFERROR(Y482*INDEX(FXRates[USD per unit],MATCH(X482,FXRates[Currency],0)),"No rate"))</f>
        <v/>
      </c>
      <c r="AA482" s="38" t="n"/>
      <c r="AB482" s="38" t="n"/>
      <c r="AC482" s="41">
        <f>IF(A482="","",IF(COUNTIF($A$6:$A$504,A482)&gt;1,"⚠ Duplicate",""))</f>
        <v/>
      </c>
      <c r="AD482" s="42" t="n"/>
      <c r="AE482" s="42" t="n"/>
      <c r="AF482" s="42" t="n"/>
      <c r="AG482" s="42" t="n"/>
      <c r="AH482" s="42" t="n"/>
      <c r="AI482" s="42" t="n"/>
      <c r="AJ482" s="42" t="n"/>
      <c r="AK482" s="42" t="n"/>
      <c r="AL482" s="42" t="n"/>
      <c r="AM482" s="42" t="n"/>
      <c r="AN482" s="42" t="n"/>
      <c r="AO482" s="42" t="n"/>
      <c r="AP482" s="42" t="n"/>
      <c r="AQ482" s="42" t="n"/>
    </row>
    <row r="483" ht="18" customHeight="1" s="74">
      <c r="A483" s="32" t="n"/>
      <c r="B483" s="32" t="n"/>
      <c r="C483" s="32" t="n"/>
      <c r="D483" s="32" t="n"/>
      <c r="E483" s="33" t="n"/>
      <c r="F483" s="33" t="n"/>
      <c r="G483" s="33" t="n"/>
      <c r="H483" s="33" t="n"/>
      <c r="I483" s="33" t="n"/>
      <c r="J483" s="33" t="n"/>
      <c r="K483" s="33" t="n"/>
      <c r="L483" s="33" t="n"/>
      <c r="M483" s="33" t="n"/>
      <c r="N483" s="33" t="n"/>
      <c r="O483" s="33" t="n"/>
      <c r="P483" s="33" t="n"/>
      <c r="Q483" s="33" t="n"/>
      <c r="R483" s="33" t="n"/>
      <c r="S483" s="33" t="n"/>
      <c r="T483" s="33" t="n"/>
      <c r="U483" s="33" t="n"/>
      <c r="V483" s="33" t="n"/>
      <c r="W483" s="34" t="n"/>
      <c r="X483" s="33" t="n"/>
      <c r="Y483" s="35" t="n"/>
      <c r="Z483" s="157">
        <f>IF(OR(Y483="",X483=""),"",IFERROR(Y483*INDEX(FXRates[USD per unit],MATCH(X483,FXRates[Currency],0)),"No rate"))</f>
        <v/>
      </c>
      <c r="AA483" s="32" t="n"/>
      <c r="AB483" s="32" t="n"/>
      <c r="AC483" s="36">
        <f>IF(A483="","",IF(COUNTIF($A$6:$A$504,A483)&gt;1,"⚠ Duplicate",""))</f>
        <v/>
      </c>
      <c r="AD483" s="43" t="n"/>
      <c r="AE483" s="43" t="n"/>
      <c r="AF483" s="43" t="n"/>
      <c r="AG483" s="43" t="n"/>
      <c r="AH483" s="43" t="n"/>
      <c r="AI483" s="43" t="n"/>
      <c r="AJ483" s="43" t="n"/>
      <c r="AK483" s="43" t="n"/>
      <c r="AL483" s="43" t="n"/>
      <c r="AM483" s="43" t="n"/>
      <c r="AN483" s="43" t="n"/>
      <c r="AO483" s="43" t="n"/>
      <c r="AP483" s="43" t="n"/>
      <c r="AQ483" s="43" t="n"/>
    </row>
    <row r="484" ht="18" customHeight="1" s="74">
      <c r="A484" s="38" t="n"/>
      <c r="B484" s="38" t="n"/>
      <c r="C484" s="38" t="n"/>
      <c r="D484" s="38" t="n"/>
      <c r="E484" s="39" t="n"/>
      <c r="F484" s="39" t="n"/>
      <c r="G484" s="39" t="n"/>
      <c r="H484" s="39" t="n"/>
      <c r="I484" s="39" t="n"/>
      <c r="J484" s="39" t="n"/>
      <c r="K484" s="39" t="n"/>
      <c r="L484" s="39" t="n"/>
      <c r="M484" s="39" t="n"/>
      <c r="N484" s="39" t="n"/>
      <c r="O484" s="39" t="n"/>
      <c r="P484" s="39" t="n"/>
      <c r="Q484" s="39" t="n"/>
      <c r="R484" s="39" t="n"/>
      <c r="S484" s="39" t="n"/>
      <c r="T484" s="39" t="n"/>
      <c r="U484" s="39" t="n"/>
      <c r="V484" s="39" t="n"/>
      <c r="W484" s="34" t="n"/>
      <c r="X484" s="39" t="n"/>
      <c r="Y484" s="40" t="n"/>
      <c r="Z484" s="158">
        <f>IF(OR(Y484="",X484=""),"",IFERROR(Y484*INDEX(FXRates[USD per unit],MATCH(X484,FXRates[Currency],0)),"No rate"))</f>
        <v/>
      </c>
      <c r="AA484" s="38" t="n"/>
      <c r="AB484" s="38" t="n"/>
      <c r="AC484" s="41">
        <f>IF(A484="","",IF(COUNTIF($A$6:$A$504,A484)&gt;1,"⚠ Duplicate",""))</f>
        <v/>
      </c>
      <c r="AD484" s="42" t="n"/>
      <c r="AE484" s="42" t="n"/>
      <c r="AF484" s="42" t="n"/>
      <c r="AG484" s="42" t="n"/>
      <c r="AH484" s="42" t="n"/>
      <c r="AI484" s="42" t="n"/>
      <c r="AJ484" s="42" t="n"/>
      <c r="AK484" s="42" t="n"/>
      <c r="AL484" s="42" t="n"/>
      <c r="AM484" s="42" t="n"/>
      <c r="AN484" s="42" t="n"/>
      <c r="AO484" s="42" t="n"/>
      <c r="AP484" s="42" t="n"/>
      <c r="AQ484" s="42" t="n"/>
    </row>
    <row r="485" ht="18" customHeight="1" s="74">
      <c r="A485" s="32" t="n"/>
      <c r="B485" s="32" t="n"/>
      <c r="C485" s="32" t="n"/>
      <c r="D485" s="32" t="n"/>
      <c r="E485" s="33" t="n"/>
      <c r="F485" s="33" t="n"/>
      <c r="G485" s="33" t="n"/>
      <c r="H485" s="33" t="n"/>
      <c r="I485" s="33" t="n"/>
      <c r="J485" s="33" t="n"/>
      <c r="K485" s="33" t="n"/>
      <c r="L485" s="33" t="n"/>
      <c r="M485" s="33" t="n"/>
      <c r="N485" s="33" t="n"/>
      <c r="O485" s="33" t="n"/>
      <c r="P485" s="33" t="n"/>
      <c r="Q485" s="33" t="n"/>
      <c r="R485" s="33" t="n"/>
      <c r="S485" s="33" t="n"/>
      <c r="T485" s="33" t="n"/>
      <c r="U485" s="33" t="n"/>
      <c r="V485" s="33" t="n"/>
      <c r="W485" s="34" t="n"/>
      <c r="X485" s="33" t="n"/>
      <c r="Y485" s="35" t="n"/>
      <c r="Z485" s="157">
        <f>IF(OR(Y485="",X485=""),"",IFERROR(Y485*INDEX(FXRates[USD per unit],MATCH(X485,FXRates[Currency],0)),"No rate"))</f>
        <v/>
      </c>
      <c r="AA485" s="32" t="n"/>
      <c r="AB485" s="32" t="n"/>
      <c r="AC485" s="36">
        <f>IF(A485="","",IF(COUNTIF($A$6:$A$504,A485)&gt;1,"⚠ Duplicate",""))</f>
        <v/>
      </c>
      <c r="AD485" s="43" t="n"/>
      <c r="AE485" s="43" t="n"/>
      <c r="AF485" s="43" t="n"/>
      <c r="AG485" s="43" t="n"/>
      <c r="AH485" s="43" t="n"/>
      <c r="AI485" s="43" t="n"/>
      <c r="AJ485" s="43" t="n"/>
      <c r="AK485" s="43" t="n"/>
      <c r="AL485" s="43" t="n"/>
      <c r="AM485" s="43" t="n"/>
      <c r="AN485" s="43" t="n"/>
      <c r="AO485" s="43" t="n"/>
      <c r="AP485" s="43" t="n"/>
      <c r="AQ485" s="43" t="n"/>
    </row>
    <row r="486" ht="18" customHeight="1" s="74">
      <c r="A486" s="38" t="n"/>
      <c r="B486" s="38" t="n"/>
      <c r="C486" s="38" t="n"/>
      <c r="D486" s="38" t="n"/>
      <c r="E486" s="39" t="n"/>
      <c r="F486" s="39" t="n"/>
      <c r="G486" s="39" t="n"/>
      <c r="H486" s="39" t="n"/>
      <c r="I486" s="39" t="n"/>
      <c r="J486" s="39" t="n"/>
      <c r="K486" s="39" t="n"/>
      <c r="L486" s="39" t="n"/>
      <c r="M486" s="39" t="n"/>
      <c r="N486" s="39" t="n"/>
      <c r="O486" s="39" t="n"/>
      <c r="P486" s="39" t="n"/>
      <c r="Q486" s="39" t="n"/>
      <c r="R486" s="39" t="n"/>
      <c r="S486" s="39" t="n"/>
      <c r="T486" s="39" t="n"/>
      <c r="U486" s="39" t="n"/>
      <c r="V486" s="39" t="n"/>
      <c r="W486" s="34" t="n"/>
      <c r="X486" s="39" t="n"/>
      <c r="Y486" s="40" t="n"/>
      <c r="Z486" s="158">
        <f>IF(OR(Y486="",X486=""),"",IFERROR(Y486*INDEX(FXRates[USD per unit],MATCH(X486,FXRates[Currency],0)),"No rate"))</f>
        <v/>
      </c>
      <c r="AA486" s="38" t="n"/>
      <c r="AB486" s="38" t="n"/>
      <c r="AC486" s="41">
        <f>IF(A486="","",IF(COUNTIF($A$6:$A$504,A486)&gt;1,"⚠ Duplicate",""))</f>
        <v/>
      </c>
      <c r="AD486" s="42" t="n"/>
      <c r="AE486" s="42" t="n"/>
      <c r="AF486" s="42" t="n"/>
      <c r="AG486" s="42" t="n"/>
      <c r="AH486" s="42" t="n"/>
      <c r="AI486" s="42" t="n"/>
      <c r="AJ486" s="42" t="n"/>
      <c r="AK486" s="42" t="n"/>
      <c r="AL486" s="42" t="n"/>
      <c r="AM486" s="42" t="n"/>
      <c r="AN486" s="42" t="n"/>
      <c r="AO486" s="42" t="n"/>
      <c r="AP486" s="42" t="n"/>
      <c r="AQ486" s="42" t="n"/>
    </row>
    <row r="487" ht="18" customHeight="1" s="74">
      <c r="A487" s="32" t="n"/>
      <c r="B487" s="32" t="n"/>
      <c r="C487" s="32" t="n"/>
      <c r="D487" s="32" t="n"/>
      <c r="E487" s="33" t="n"/>
      <c r="F487" s="33" t="n"/>
      <c r="G487" s="33" t="n"/>
      <c r="H487" s="33" t="n"/>
      <c r="I487" s="33" t="n"/>
      <c r="J487" s="33" t="n"/>
      <c r="K487" s="33" t="n"/>
      <c r="L487" s="33" t="n"/>
      <c r="M487" s="33" t="n"/>
      <c r="N487" s="33" t="n"/>
      <c r="O487" s="33" t="n"/>
      <c r="P487" s="33" t="n"/>
      <c r="Q487" s="33" t="n"/>
      <c r="R487" s="33" t="n"/>
      <c r="S487" s="33" t="n"/>
      <c r="T487" s="33" t="n"/>
      <c r="U487" s="33" t="n"/>
      <c r="V487" s="33" t="n"/>
      <c r="W487" s="34" t="n"/>
      <c r="X487" s="33" t="n"/>
      <c r="Y487" s="35" t="n"/>
      <c r="Z487" s="157">
        <f>IF(OR(Y487="",X487=""),"",IFERROR(Y487*INDEX(FXRates[USD per unit],MATCH(X487,FXRates[Currency],0)),"No rate"))</f>
        <v/>
      </c>
      <c r="AA487" s="32" t="n"/>
      <c r="AB487" s="32" t="n"/>
      <c r="AC487" s="36">
        <f>IF(A487="","",IF(COUNTIF($A$6:$A$504,A487)&gt;1,"⚠ Duplicate",""))</f>
        <v/>
      </c>
      <c r="AD487" s="43" t="n"/>
      <c r="AE487" s="43" t="n"/>
      <c r="AF487" s="43" t="n"/>
      <c r="AG487" s="43" t="n"/>
      <c r="AH487" s="43" t="n"/>
      <c r="AI487" s="43" t="n"/>
      <c r="AJ487" s="43" t="n"/>
      <c r="AK487" s="43" t="n"/>
      <c r="AL487" s="43" t="n"/>
      <c r="AM487" s="43" t="n"/>
      <c r="AN487" s="43" t="n"/>
      <c r="AO487" s="43" t="n"/>
      <c r="AP487" s="43" t="n"/>
      <c r="AQ487" s="43" t="n"/>
    </row>
    <row r="488" ht="18" customHeight="1" s="74">
      <c r="A488" s="38" t="n"/>
      <c r="B488" s="38" t="n"/>
      <c r="C488" s="38" t="n"/>
      <c r="D488" s="38" t="n"/>
      <c r="E488" s="39" t="n"/>
      <c r="F488" s="39" t="n"/>
      <c r="G488" s="39" t="n"/>
      <c r="H488" s="39" t="n"/>
      <c r="I488" s="39" t="n"/>
      <c r="J488" s="39" t="n"/>
      <c r="K488" s="39" t="n"/>
      <c r="L488" s="39" t="n"/>
      <c r="M488" s="39" t="n"/>
      <c r="N488" s="39" t="n"/>
      <c r="O488" s="39" t="n"/>
      <c r="P488" s="39" t="n"/>
      <c r="Q488" s="39" t="n"/>
      <c r="R488" s="39" t="n"/>
      <c r="S488" s="39" t="n"/>
      <c r="T488" s="39" t="n"/>
      <c r="U488" s="39" t="n"/>
      <c r="V488" s="39" t="n"/>
      <c r="W488" s="34" t="n"/>
      <c r="X488" s="39" t="n"/>
      <c r="Y488" s="40" t="n"/>
      <c r="Z488" s="158">
        <f>IF(OR(Y488="",X488=""),"",IFERROR(Y488*INDEX(FXRates[USD per unit],MATCH(X488,FXRates[Currency],0)),"No rate"))</f>
        <v/>
      </c>
      <c r="AA488" s="38" t="n"/>
      <c r="AB488" s="38" t="n"/>
      <c r="AC488" s="41">
        <f>IF(A488="","",IF(COUNTIF($A$6:$A$504,A488)&gt;1,"⚠ Duplicate",""))</f>
        <v/>
      </c>
      <c r="AD488" s="42" t="n"/>
      <c r="AE488" s="42" t="n"/>
      <c r="AF488" s="42" t="n"/>
      <c r="AG488" s="42" t="n"/>
      <c r="AH488" s="42" t="n"/>
      <c r="AI488" s="42" t="n"/>
      <c r="AJ488" s="42" t="n"/>
      <c r="AK488" s="42" t="n"/>
      <c r="AL488" s="42" t="n"/>
      <c r="AM488" s="42" t="n"/>
      <c r="AN488" s="42" t="n"/>
      <c r="AO488" s="42" t="n"/>
      <c r="AP488" s="42" t="n"/>
      <c r="AQ488" s="42" t="n"/>
    </row>
    <row r="489" ht="18" customHeight="1" s="74">
      <c r="A489" s="32" t="n"/>
      <c r="B489" s="32" t="n"/>
      <c r="C489" s="32" t="n"/>
      <c r="D489" s="32" t="n"/>
      <c r="E489" s="33" t="n"/>
      <c r="F489" s="33" t="n"/>
      <c r="G489" s="33" t="n"/>
      <c r="H489" s="33" t="n"/>
      <c r="I489" s="33" t="n"/>
      <c r="J489" s="33" t="n"/>
      <c r="K489" s="33" t="n"/>
      <c r="L489" s="33" t="n"/>
      <c r="M489" s="33" t="n"/>
      <c r="N489" s="33" t="n"/>
      <c r="O489" s="33" t="n"/>
      <c r="P489" s="33" t="n"/>
      <c r="Q489" s="33" t="n"/>
      <c r="R489" s="33" t="n"/>
      <c r="S489" s="33" t="n"/>
      <c r="T489" s="33" t="n"/>
      <c r="U489" s="33" t="n"/>
      <c r="V489" s="33" t="n"/>
      <c r="W489" s="34" t="n"/>
      <c r="X489" s="33" t="n"/>
      <c r="Y489" s="35" t="n"/>
      <c r="Z489" s="157">
        <f>IF(OR(Y489="",X489=""),"",IFERROR(Y489*INDEX(FXRates[USD per unit],MATCH(X489,FXRates[Currency],0)),"No rate"))</f>
        <v/>
      </c>
      <c r="AA489" s="32" t="n"/>
      <c r="AB489" s="32" t="n"/>
      <c r="AC489" s="36">
        <f>IF(A489="","",IF(COUNTIF($A$6:$A$504,A489)&gt;1,"⚠ Duplicate",""))</f>
        <v/>
      </c>
      <c r="AD489" s="43" t="n"/>
      <c r="AE489" s="43" t="n"/>
      <c r="AF489" s="43" t="n"/>
      <c r="AG489" s="43" t="n"/>
      <c r="AH489" s="43" t="n"/>
      <c r="AI489" s="43" t="n"/>
      <c r="AJ489" s="43" t="n"/>
      <c r="AK489" s="43" t="n"/>
      <c r="AL489" s="43" t="n"/>
      <c r="AM489" s="43" t="n"/>
      <c r="AN489" s="43" t="n"/>
      <c r="AO489" s="43" t="n"/>
      <c r="AP489" s="43" t="n"/>
      <c r="AQ489" s="43" t="n"/>
    </row>
    <row r="490" ht="18" customHeight="1" s="74">
      <c r="A490" s="38" t="n"/>
      <c r="B490" s="38" t="n"/>
      <c r="C490" s="38" t="n"/>
      <c r="D490" s="38" t="n"/>
      <c r="E490" s="39" t="n"/>
      <c r="F490" s="39" t="n"/>
      <c r="G490" s="39" t="n"/>
      <c r="H490" s="39" t="n"/>
      <c r="I490" s="39" t="n"/>
      <c r="J490" s="39" t="n"/>
      <c r="K490" s="39" t="n"/>
      <c r="L490" s="39" t="n"/>
      <c r="M490" s="39" t="n"/>
      <c r="N490" s="39" t="n"/>
      <c r="O490" s="39" t="n"/>
      <c r="P490" s="39" t="n"/>
      <c r="Q490" s="39" t="n"/>
      <c r="R490" s="39" t="n"/>
      <c r="S490" s="39" t="n"/>
      <c r="T490" s="39" t="n"/>
      <c r="U490" s="39" t="n"/>
      <c r="V490" s="39" t="n"/>
      <c r="W490" s="34" t="n"/>
      <c r="X490" s="39" t="n"/>
      <c r="Y490" s="40" t="n"/>
      <c r="Z490" s="158">
        <f>IF(OR(Y490="",X490=""),"",IFERROR(Y490*INDEX(FXRates[USD per unit],MATCH(X490,FXRates[Currency],0)),"No rate"))</f>
        <v/>
      </c>
      <c r="AA490" s="38" t="n"/>
      <c r="AB490" s="38" t="n"/>
      <c r="AC490" s="41">
        <f>IF(A490="","",IF(COUNTIF($A$6:$A$504,A490)&gt;1,"⚠ Duplicate",""))</f>
        <v/>
      </c>
      <c r="AD490" s="42" t="n"/>
      <c r="AE490" s="42" t="n"/>
      <c r="AF490" s="42" t="n"/>
      <c r="AG490" s="42" t="n"/>
      <c r="AH490" s="42" t="n"/>
      <c r="AI490" s="42" t="n"/>
      <c r="AJ490" s="42" t="n"/>
      <c r="AK490" s="42" t="n"/>
      <c r="AL490" s="42" t="n"/>
      <c r="AM490" s="42" t="n"/>
      <c r="AN490" s="42" t="n"/>
      <c r="AO490" s="42" t="n"/>
      <c r="AP490" s="42" t="n"/>
      <c r="AQ490" s="42" t="n"/>
    </row>
    <row r="491" ht="18" customHeight="1" s="74">
      <c r="A491" s="32" t="n"/>
      <c r="B491" s="32" t="n"/>
      <c r="C491" s="32" t="n"/>
      <c r="D491" s="32" t="n"/>
      <c r="E491" s="33" t="n"/>
      <c r="F491" s="33" t="n"/>
      <c r="G491" s="33" t="n"/>
      <c r="H491" s="33" t="n"/>
      <c r="I491" s="33" t="n"/>
      <c r="J491" s="33" t="n"/>
      <c r="K491" s="33" t="n"/>
      <c r="L491" s="33" t="n"/>
      <c r="M491" s="33" t="n"/>
      <c r="N491" s="33" t="n"/>
      <c r="O491" s="33" t="n"/>
      <c r="P491" s="33" t="n"/>
      <c r="Q491" s="33" t="n"/>
      <c r="R491" s="33" t="n"/>
      <c r="S491" s="33" t="n"/>
      <c r="T491" s="33" t="n"/>
      <c r="U491" s="33" t="n"/>
      <c r="V491" s="33" t="n"/>
      <c r="W491" s="34" t="n"/>
      <c r="X491" s="33" t="n"/>
      <c r="Y491" s="35" t="n"/>
      <c r="Z491" s="157">
        <f>IF(OR(Y491="",X491=""),"",IFERROR(Y491*INDEX(FXRates[USD per unit],MATCH(X491,FXRates[Currency],0)),"No rate"))</f>
        <v/>
      </c>
      <c r="AA491" s="32" t="n"/>
      <c r="AB491" s="32" t="n"/>
      <c r="AC491" s="36">
        <f>IF(A491="","",IF(COUNTIF($A$6:$A$504,A491)&gt;1,"⚠ Duplicate",""))</f>
        <v/>
      </c>
      <c r="AD491" s="43" t="n"/>
      <c r="AE491" s="43" t="n"/>
      <c r="AF491" s="43" t="n"/>
      <c r="AG491" s="43" t="n"/>
      <c r="AH491" s="43" t="n"/>
      <c r="AI491" s="43" t="n"/>
      <c r="AJ491" s="43" t="n"/>
      <c r="AK491" s="43" t="n"/>
      <c r="AL491" s="43" t="n"/>
      <c r="AM491" s="43" t="n"/>
      <c r="AN491" s="43" t="n"/>
      <c r="AO491" s="43" t="n"/>
      <c r="AP491" s="43" t="n"/>
      <c r="AQ491" s="43" t="n"/>
    </row>
    <row r="492" ht="18" customHeight="1" s="74">
      <c r="A492" s="38" t="n"/>
      <c r="B492" s="38" t="n"/>
      <c r="C492" s="38" t="n"/>
      <c r="D492" s="38" t="n"/>
      <c r="E492" s="39" t="n"/>
      <c r="F492" s="39" t="n"/>
      <c r="G492" s="39" t="n"/>
      <c r="H492" s="39" t="n"/>
      <c r="I492" s="39" t="n"/>
      <c r="J492" s="39" t="n"/>
      <c r="K492" s="39" t="n"/>
      <c r="L492" s="39" t="n"/>
      <c r="M492" s="39" t="n"/>
      <c r="N492" s="39" t="n"/>
      <c r="O492" s="39" t="n"/>
      <c r="P492" s="39" t="n"/>
      <c r="Q492" s="39" t="n"/>
      <c r="R492" s="39" t="n"/>
      <c r="S492" s="39" t="n"/>
      <c r="T492" s="39" t="n"/>
      <c r="U492" s="39" t="n"/>
      <c r="V492" s="39" t="n"/>
      <c r="W492" s="34" t="n"/>
      <c r="X492" s="39" t="n"/>
      <c r="Y492" s="40" t="n"/>
      <c r="Z492" s="158">
        <f>IF(OR(Y492="",X492=""),"",IFERROR(Y492*INDEX(FXRates[USD per unit],MATCH(X492,FXRates[Currency],0)),"No rate"))</f>
        <v/>
      </c>
      <c r="AA492" s="38" t="n"/>
      <c r="AB492" s="38" t="n"/>
      <c r="AC492" s="41">
        <f>IF(A492="","",IF(COUNTIF($A$6:$A$504,A492)&gt;1,"⚠ Duplicate",""))</f>
        <v/>
      </c>
      <c r="AD492" s="42" t="n"/>
      <c r="AE492" s="42" t="n"/>
      <c r="AF492" s="42" t="n"/>
      <c r="AG492" s="42" t="n"/>
      <c r="AH492" s="42" t="n"/>
      <c r="AI492" s="42" t="n"/>
      <c r="AJ492" s="42" t="n"/>
      <c r="AK492" s="42" t="n"/>
      <c r="AL492" s="42" t="n"/>
      <c r="AM492" s="42" t="n"/>
      <c r="AN492" s="42" t="n"/>
      <c r="AO492" s="42" t="n"/>
      <c r="AP492" s="42" t="n"/>
      <c r="AQ492" s="42" t="n"/>
    </row>
    <row r="493" ht="18" customHeight="1" s="74">
      <c r="A493" s="32" t="n"/>
      <c r="B493" s="32" t="n"/>
      <c r="C493" s="32" t="n"/>
      <c r="D493" s="32" t="n"/>
      <c r="E493" s="33" t="n"/>
      <c r="F493" s="33" t="n"/>
      <c r="G493" s="33" t="n"/>
      <c r="H493" s="33" t="n"/>
      <c r="I493" s="33" t="n"/>
      <c r="J493" s="33" t="n"/>
      <c r="K493" s="33" t="n"/>
      <c r="L493" s="33" t="n"/>
      <c r="M493" s="33" t="n"/>
      <c r="N493" s="33" t="n"/>
      <c r="O493" s="33" t="n"/>
      <c r="P493" s="33" t="n"/>
      <c r="Q493" s="33" t="n"/>
      <c r="R493" s="33" t="n"/>
      <c r="S493" s="33" t="n"/>
      <c r="T493" s="33" t="n"/>
      <c r="U493" s="33" t="n"/>
      <c r="V493" s="33" t="n"/>
      <c r="W493" s="34" t="n"/>
      <c r="X493" s="33" t="n"/>
      <c r="Y493" s="35" t="n"/>
      <c r="Z493" s="157">
        <f>IF(OR(Y493="",X493=""),"",IFERROR(Y493*INDEX(FXRates[USD per unit],MATCH(X493,FXRates[Currency],0)),"No rate"))</f>
        <v/>
      </c>
      <c r="AA493" s="32" t="n"/>
      <c r="AB493" s="32" t="n"/>
      <c r="AC493" s="36">
        <f>IF(A493="","",IF(COUNTIF($A$6:$A$504,A493)&gt;1,"⚠ Duplicate",""))</f>
        <v/>
      </c>
      <c r="AD493" s="43" t="n"/>
      <c r="AE493" s="43" t="n"/>
      <c r="AF493" s="43" t="n"/>
      <c r="AG493" s="43" t="n"/>
      <c r="AH493" s="43" t="n"/>
      <c r="AI493" s="43" t="n"/>
      <c r="AJ493" s="43" t="n"/>
      <c r="AK493" s="43" t="n"/>
      <c r="AL493" s="43" t="n"/>
      <c r="AM493" s="43" t="n"/>
      <c r="AN493" s="43" t="n"/>
      <c r="AO493" s="43" t="n"/>
      <c r="AP493" s="43" t="n"/>
      <c r="AQ493" s="43" t="n"/>
    </row>
    <row r="494" ht="18" customHeight="1" s="74">
      <c r="A494" s="38" t="n"/>
      <c r="B494" s="38" t="n"/>
      <c r="C494" s="38" t="n"/>
      <c r="D494" s="38" t="n"/>
      <c r="E494" s="39" t="n"/>
      <c r="F494" s="39" t="n"/>
      <c r="G494" s="39" t="n"/>
      <c r="H494" s="39" t="n"/>
      <c r="I494" s="39" t="n"/>
      <c r="J494" s="39" t="n"/>
      <c r="K494" s="39" t="n"/>
      <c r="L494" s="39" t="n"/>
      <c r="M494" s="39" t="n"/>
      <c r="N494" s="39" t="n"/>
      <c r="O494" s="39" t="n"/>
      <c r="P494" s="39" t="n"/>
      <c r="Q494" s="39" t="n"/>
      <c r="R494" s="39" t="n"/>
      <c r="S494" s="39" t="n"/>
      <c r="T494" s="39" t="n"/>
      <c r="U494" s="39" t="n"/>
      <c r="V494" s="39" t="n"/>
      <c r="W494" s="34" t="n"/>
      <c r="X494" s="39" t="n"/>
      <c r="Y494" s="40" t="n"/>
      <c r="Z494" s="158">
        <f>IF(OR(Y494="",X494=""),"",IFERROR(Y494*INDEX(FXRates[USD per unit],MATCH(X494,FXRates[Currency],0)),"No rate"))</f>
        <v/>
      </c>
      <c r="AA494" s="38" t="n"/>
      <c r="AB494" s="38" t="n"/>
      <c r="AC494" s="41">
        <f>IF(A494="","",IF(COUNTIF($A$6:$A$504,A494)&gt;1,"⚠ Duplicate",""))</f>
        <v/>
      </c>
      <c r="AD494" s="42" t="n"/>
      <c r="AE494" s="42" t="n"/>
      <c r="AF494" s="42" t="n"/>
      <c r="AG494" s="42" t="n"/>
      <c r="AH494" s="42" t="n"/>
      <c r="AI494" s="42" t="n"/>
      <c r="AJ494" s="42" t="n"/>
      <c r="AK494" s="42" t="n"/>
      <c r="AL494" s="42" t="n"/>
      <c r="AM494" s="42" t="n"/>
      <c r="AN494" s="42" t="n"/>
      <c r="AO494" s="42" t="n"/>
      <c r="AP494" s="42" t="n"/>
      <c r="AQ494" s="42" t="n"/>
    </row>
    <row r="495" ht="18" customHeight="1" s="74">
      <c r="A495" s="32" t="n"/>
      <c r="B495" s="32" t="n"/>
      <c r="C495" s="32" t="n"/>
      <c r="D495" s="32" t="n"/>
      <c r="E495" s="33" t="n"/>
      <c r="F495" s="33" t="n"/>
      <c r="G495" s="33" t="n"/>
      <c r="H495" s="33" t="n"/>
      <c r="I495" s="33" t="n"/>
      <c r="J495" s="33" t="n"/>
      <c r="K495" s="33" t="n"/>
      <c r="L495" s="33" t="n"/>
      <c r="M495" s="33" t="n"/>
      <c r="N495" s="33" t="n"/>
      <c r="O495" s="33" t="n"/>
      <c r="P495" s="33" t="n"/>
      <c r="Q495" s="33" t="n"/>
      <c r="R495" s="33" t="n"/>
      <c r="S495" s="33" t="n"/>
      <c r="T495" s="33" t="n"/>
      <c r="U495" s="33" t="n"/>
      <c r="V495" s="33" t="n"/>
      <c r="W495" s="34" t="n"/>
      <c r="X495" s="33" t="n"/>
      <c r="Y495" s="35" t="n"/>
      <c r="Z495" s="157">
        <f>IF(OR(Y495="",X495=""),"",IFERROR(Y495*INDEX(FXRates[USD per unit],MATCH(X495,FXRates[Currency],0)),"No rate"))</f>
        <v/>
      </c>
      <c r="AA495" s="32" t="n"/>
      <c r="AB495" s="32" t="n"/>
      <c r="AC495" s="36">
        <f>IF(A495="","",IF(COUNTIF($A$6:$A$504,A495)&gt;1,"⚠ Duplicate",""))</f>
        <v/>
      </c>
      <c r="AD495" s="43" t="n"/>
      <c r="AE495" s="43" t="n"/>
      <c r="AF495" s="43" t="n"/>
      <c r="AG495" s="43" t="n"/>
      <c r="AH495" s="43" t="n"/>
      <c r="AI495" s="43" t="n"/>
      <c r="AJ495" s="43" t="n"/>
      <c r="AK495" s="43" t="n"/>
      <c r="AL495" s="43" t="n"/>
      <c r="AM495" s="43" t="n"/>
      <c r="AN495" s="43" t="n"/>
      <c r="AO495" s="43" t="n"/>
      <c r="AP495" s="43" t="n"/>
      <c r="AQ495" s="43" t="n"/>
    </row>
    <row r="496" ht="18" customHeight="1" s="74">
      <c r="A496" s="38" t="n"/>
      <c r="B496" s="38" t="n"/>
      <c r="C496" s="38" t="n"/>
      <c r="D496" s="38" t="n"/>
      <c r="E496" s="39" t="n"/>
      <c r="F496" s="39" t="n"/>
      <c r="G496" s="39" t="n"/>
      <c r="H496" s="39" t="n"/>
      <c r="I496" s="39" t="n"/>
      <c r="J496" s="39" t="n"/>
      <c r="K496" s="39" t="n"/>
      <c r="L496" s="39" t="n"/>
      <c r="M496" s="39" t="n"/>
      <c r="N496" s="39" t="n"/>
      <c r="O496" s="39" t="n"/>
      <c r="P496" s="39" t="n"/>
      <c r="Q496" s="39" t="n"/>
      <c r="R496" s="39" t="n"/>
      <c r="S496" s="39" t="n"/>
      <c r="T496" s="39" t="n"/>
      <c r="U496" s="39" t="n"/>
      <c r="V496" s="39" t="n"/>
      <c r="W496" s="34" t="n"/>
      <c r="X496" s="39" t="n"/>
      <c r="Y496" s="40" t="n"/>
      <c r="Z496" s="158">
        <f>IF(OR(Y496="",X496=""),"",IFERROR(Y496*INDEX(FXRates[USD per unit],MATCH(X496,FXRates[Currency],0)),"No rate"))</f>
        <v/>
      </c>
      <c r="AA496" s="38" t="n"/>
      <c r="AB496" s="38" t="n"/>
      <c r="AC496" s="41">
        <f>IF(A496="","",IF(COUNTIF($A$6:$A$504,A496)&gt;1,"⚠ Duplicate",""))</f>
        <v/>
      </c>
      <c r="AD496" s="42" t="n"/>
      <c r="AE496" s="42" t="n"/>
      <c r="AF496" s="42" t="n"/>
      <c r="AG496" s="42" t="n"/>
      <c r="AH496" s="42" t="n"/>
      <c r="AI496" s="42" t="n"/>
      <c r="AJ496" s="42" t="n"/>
      <c r="AK496" s="42" t="n"/>
      <c r="AL496" s="42" t="n"/>
      <c r="AM496" s="42" t="n"/>
      <c r="AN496" s="42" t="n"/>
      <c r="AO496" s="42" t="n"/>
      <c r="AP496" s="42" t="n"/>
      <c r="AQ496" s="42" t="n"/>
    </row>
    <row r="497" ht="18" customHeight="1" s="74">
      <c r="A497" s="32" t="n"/>
      <c r="B497" s="32" t="n"/>
      <c r="C497" s="32" t="n"/>
      <c r="D497" s="32" t="n"/>
      <c r="E497" s="33" t="n"/>
      <c r="F497" s="33" t="n"/>
      <c r="G497" s="33" t="n"/>
      <c r="H497" s="33" t="n"/>
      <c r="I497" s="33" t="n"/>
      <c r="J497" s="33" t="n"/>
      <c r="K497" s="33" t="n"/>
      <c r="L497" s="33" t="n"/>
      <c r="M497" s="33" t="n"/>
      <c r="N497" s="33" t="n"/>
      <c r="O497" s="33" t="n"/>
      <c r="P497" s="33" t="n"/>
      <c r="Q497" s="33" t="n"/>
      <c r="R497" s="33" t="n"/>
      <c r="S497" s="33" t="n"/>
      <c r="T497" s="33" t="n"/>
      <c r="U497" s="33" t="n"/>
      <c r="V497" s="33" t="n"/>
      <c r="W497" s="34" t="n"/>
      <c r="X497" s="33" t="n"/>
      <c r="Y497" s="35" t="n"/>
      <c r="Z497" s="157">
        <f>IF(OR(Y497="",X497=""),"",IFERROR(Y497*INDEX(FXRates[USD per unit],MATCH(X497,FXRates[Currency],0)),"No rate"))</f>
        <v/>
      </c>
      <c r="AA497" s="32" t="n"/>
      <c r="AB497" s="32" t="n"/>
      <c r="AC497" s="36">
        <f>IF(A497="","",IF(COUNTIF($A$6:$A$504,A497)&gt;1,"⚠ Duplicate",""))</f>
        <v/>
      </c>
      <c r="AD497" s="43" t="n"/>
      <c r="AE497" s="43" t="n"/>
      <c r="AF497" s="43" t="n"/>
      <c r="AG497" s="43" t="n"/>
      <c r="AH497" s="43" t="n"/>
      <c r="AI497" s="43" t="n"/>
      <c r="AJ497" s="43" t="n"/>
      <c r="AK497" s="43" t="n"/>
      <c r="AL497" s="43" t="n"/>
      <c r="AM497" s="43" t="n"/>
      <c r="AN497" s="43" t="n"/>
      <c r="AO497" s="43" t="n"/>
      <c r="AP497" s="43" t="n"/>
      <c r="AQ497" s="43" t="n"/>
    </row>
    <row r="498" ht="18" customHeight="1" s="74">
      <c r="A498" s="38" t="n"/>
      <c r="B498" s="38" t="n"/>
      <c r="C498" s="38" t="n"/>
      <c r="D498" s="38" t="n"/>
      <c r="E498" s="39" t="n"/>
      <c r="F498" s="39" t="n"/>
      <c r="G498" s="39" t="n"/>
      <c r="H498" s="39" t="n"/>
      <c r="I498" s="39" t="n"/>
      <c r="J498" s="39" t="n"/>
      <c r="K498" s="39" t="n"/>
      <c r="L498" s="39" t="n"/>
      <c r="M498" s="39" t="n"/>
      <c r="N498" s="39" t="n"/>
      <c r="O498" s="39" t="n"/>
      <c r="P498" s="39" t="n"/>
      <c r="Q498" s="39" t="n"/>
      <c r="R498" s="39" t="n"/>
      <c r="S498" s="39" t="n"/>
      <c r="T498" s="39" t="n"/>
      <c r="U498" s="39" t="n"/>
      <c r="V498" s="39" t="n"/>
      <c r="W498" s="34" t="n"/>
      <c r="X498" s="39" t="n"/>
      <c r="Y498" s="40" t="n"/>
      <c r="Z498" s="158">
        <f>IF(OR(Y498="",X498=""),"",IFERROR(Y498*INDEX(FXRates[USD per unit],MATCH(X498,FXRates[Currency],0)),"No rate"))</f>
        <v/>
      </c>
      <c r="AA498" s="38" t="n"/>
      <c r="AB498" s="38" t="n"/>
      <c r="AC498" s="41">
        <f>IF(A498="","",IF(COUNTIF($A$6:$A$504,A498)&gt;1,"⚠ Duplicate",""))</f>
        <v/>
      </c>
      <c r="AD498" s="42" t="n"/>
      <c r="AE498" s="42" t="n"/>
      <c r="AF498" s="42" t="n"/>
      <c r="AG498" s="42" t="n"/>
      <c r="AH498" s="42" t="n"/>
      <c r="AI498" s="42" t="n"/>
      <c r="AJ498" s="42" t="n"/>
      <c r="AK498" s="42" t="n"/>
      <c r="AL498" s="42" t="n"/>
      <c r="AM498" s="42" t="n"/>
      <c r="AN498" s="42" t="n"/>
      <c r="AO498" s="42" t="n"/>
      <c r="AP498" s="42" t="n"/>
      <c r="AQ498" s="42" t="n"/>
    </row>
    <row r="499" ht="18" customHeight="1" s="74">
      <c r="A499" s="32" t="n"/>
      <c r="B499" s="32" t="n"/>
      <c r="C499" s="32" t="n"/>
      <c r="D499" s="32" t="n"/>
      <c r="E499" s="33" t="n"/>
      <c r="F499" s="33" t="n"/>
      <c r="G499" s="33" t="n"/>
      <c r="H499" s="33" t="n"/>
      <c r="I499" s="33" t="n"/>
      <c r="J499" s="33" t="n"/>
      <c r="K499" s="33" t="n"/>
      <c r="L499" s="33" t="n"/>
      <c r="M499" s="33" t="n"/>
      <c r="N499" s="33" t="n"/>
      <c r="O499" s="33" t="n"/>
      <c r="P499" s="33" t="n"/>
      <c r="Q499" s="33" t="n"/>
      <c r="R499" s="33" t="n"/>
      <c r="S499" s="33" t="n"/>
      <c r="T499" s="33" t="n"/>
      <c r="U499" s="33" t="n"/>
      <c r="V499" s="33" t="n"/>
      <c r="W499" s="34" t="n"/>
      <c r="X499" s="33" t="n"/>
      <c r="Y499" s="35" t="n"/>
      <c r="Z499" s="157">
        <f>IF(OR(Y499="",X499=""),"",IFERROR(Y499*INDEX(FXRates[USD per unit],MATCH(X499,FXRates[Currency],0)),"No rate"))</f>
        <v/>
      </c>
      <c r="AA499" s="32" t="n"/>
      <c r="AB499" s="32" t="n"/>
      <c r="AC499" s="36">
        <f>IF(A499="","",IF(COUNTIF($A$6:$A$504,A499)&gt;1,"⚠ Duplicate",""))</f>
        <v/>
      </c>
      <c r="AD499" s="43" t="n"/>
      <c r="AE499" s="43" t="n"/>
      <c r="AF499" s="43" t="n"/>
      <c r="AG499" s="43" t="n"/>
      <c r="AH499" s="43" t="n"/>
      <c r="AI499" s="43" t="n"/>
      <c r="AJ499" s="43" t="n"/>
      <c r="AK499" s="43" t="n"/>
      <c r="AL499" s="43" t="n"/>
      <c r="AM499" s="43" t="n"/>
      <c r="AN499" s="43" t="n"/>
      <c r="AO499" s="43" t="n"/>
      <c r="AP499" s="43" t="n"/>
      <c r="AQ499" s="43" t="n"/>
    </row>
    <row r="500" ht="18" customHeight="1" s="74">
      <c r="A500" s="38" t="n"/>
      <c r="B500" s="38" t="n"/>
      <c r="C500" s="38" t="n"/>
      <c r="D500" s="38" t="n"/>
      <c r="E500" s="39" t="n"/>
      <c r="F500" s="39" t="n"/>
      <c r="G500" s="39" t="n"/>
      <c r="H500" s="39" t="n"/>
      <c r="I500" s="39" t="n"/>
      <c r="J500" s="39" t="n"/>
      <c r="K500" s="39" t="n"/>
      <c r="L500" s="39" t="n"/>
      <c r="M500" s="39" t="n"/>
      <c r="N500" s="39" t="n"/>
      <c r="O500" s="39" t="n"/>
      <c r="P500" s="39" t="n"/>
      <c r="Q500" s="39" t="n"/>
      <c r="R500" s="39" t="n"/>
      <c r="S500" s="39" t="n"/>
      <c r="T500" s="39" t="n"/>
      <c r="U500" s="39" t="n"/>
      <c r="V500" s="39" t="n"/>
      <c r="W500" s="34" t="n"/>
      <c r="X500" s="39" t="n"/>
      <c r="Y500" s="40" t="n"/>
      <c r="Z500" s="158">
        <f>IF(OR(Y500="",X500=""),"",IFERROR(Y500*INDEX(FXRates[USD per unit],MATCH(X500,FXRates[Currency],0)),"No rate"))</f>
        <v/>
      </c>
      <c r="AA500" s="38" t="n"/>
      <c r="AB500" s="38" t="n"/>
      <c r="AC500" s="41">
        <f>IF(A500="","",IF(COUNTIF($A$6:$A$504,A500)&gt;1,"⚠ Duplicate",""))</f>
        <v/>
      </c>
      <c r="AD500" s="42" t="n"/>
      <c r="AE500" s="42" t="n"/>
      <c r="AF500" s="42" t="n"/>
      <c r="AG500" s="42" t="n"/>
      <c r="AH500" s="42" t="n"/>
      <c r="AI500" s="42" t="n"/>
      <c r="AJ500" s="42" t="n"/>
      <c r="AK500" s="42" t="n"/>
      <c r="AL500" s="42" t="n"/>
      <c r="AM500" s="42" t="n"/>
      <c r="AN500" s="42" t="n"/>
      <c r="AO500" s="42" t="n"/>
      <c r="AP500" s="42" t="n"/>
      <c r="AQ500" s="42" t="n"/>
    </row>
    <row r="501" ht="18" customHeight="1" s="74">
      <c r="A501" s="32" t="n"/>
      <c r="B501" s="32" t="n"/>
      <c r="C501" s="32" t="n"/>
      <c r="D501" s="32" t="n"/>
      <c r="E501" s="33" t="n"/>
      <c r="F501" s="33" t="n"/>
      <c r="G501" s="33" t="n"/>
      <c r="H501" s="33" t="n"/>
      <c r="I501" s="33" t="n"/>
      <c r="J501" s="33" t="n"/>
      <c r="K501" s="33" t="n"/>
      <c r="L501" s="33" t="n"/>
      <c r="M501" s="33" t="n"/>
      <c r="N501" s="33" t="n"/>
      <c r="O501" s="33" t="n"/>
      <c r="P501" s="33" t="n"/>
      <c r="Q501" s="33" t="n"/>
      <c r="R501" s="33" t="n"/>
      <c r="S501" s="33" t="n"/>
      <c r="T501" s="33" t="n"/>
      <c r="U501" s="33" t="n"/>
      <c r="V501" s="33" t="n"/>
      <c r="W501" s="34" t="n"/>
      <c r="X501" s="33" t="n"/>
      <c r="Y501" s="35" t="n"/>
      <c r="Z501" s="157">
        <f>IF(OR(Y501="",X501=""),"",IFERROR(Y501*INDEX(FXRates[USD per unit],MATCH(X501,FXRates[Currency],0)),"No rate"))</f>
        <v/>
      </c>
      <c r="AA501" s="32" t="n"/>
      <c r="AB501" s="32" t="n"/>
      <c r="AC501" s="36">
        <f>IF(A501="","",IF(COUNTIF($A$6:$A$504,A501)&gt;1,"⚠ Duplicate",""))</f>
        <v/>
      </c>
      <c r="AD501" s="43" t="n"/>
      <c r="AE501" s="43" t="n"/>
      <c r="AF501" s="43" t="n"/>
      <c r="AG501" s="43" t="n"/>
      <c r="AH501" s="43" t="n"/>
      <c r="AI501" s="43" t="n"/>
      <c r="AJ501" s="43" t="n"/>
      <c r="AK501" s="43" t="n"/>
      <c r="AL501" s="43" t="n"/>
      <c r="AM501" s="43" t="n"/>
      <c r="AN501" s="43" t="n"/>
      <c r="AO501" s="43" t="n"/>
      <c r="AP501" s="43" t="n"/>
      <c r="AQ501" s="43" t="n"/>
    </row>
    <row r="502" ht="18" customHeight="1" s="74">
      <c r="A502" s="38" t="n"/>
      <c r="B502" s="38" t="n"/>
      <c r="C502" s="38" t="n"/>
      <c r="D502" s="38" t="n"/>
      <c r="E502" s="39" t="n"/>
      <c r="F502" s="39" t="n"/>
      <c r="G502" s="39" t="n"/>
      <c r="H502" s="39" t="n"/>
      <c r="I502" s="39" t="n"/>
      <c r="J502" s="39" t="n"/>
      <c r="K502" s="39" t="n"/>
      <c r="L502" s="39" t="n"/>
      <c r="M502" s="39" t="n"/>
      <c r="N502" s="39" t="n"/>
      <c r="O502" s="39" t="n"/>
      <c r="P502" s="39" t="n"/>
      <c r="Q502" s="39" t="n"/>
      <c r="R502" s="39" t="n"/>
      <c r="S502" s="39" t="n"/>
      <c r="T502" s="39" t="n"/>
      <c r="U502" s="39" t="n"/>
      <c r="V502" s="39" t="n"/>
      <c r="W502" s="34" t="n"/>
      <c r="X502" s="39" t="n"/>
      <c r="Y502" s="40" t="n"/>
      <c r="Z502" s="158">
        <f>IF(OR(Y502="",X502=""),"",IFERROR(Y502*INDEX(FXRates[USD per unit],MATCH(X502,FXRates[Currency],0)),"No rate"))</f>
        <v/>
      </c>
      <c r="AA502" s="38" t="n"/>
      <c r="AB502" s="38" t="n"/>
      <c r="AC502" s="41">
        <f>IF(A502="","",IF(COUNTIF($A$6:$A$504,A502)&gt;1,"⚠ Duplicate",""))</f>
        <v/>
      </c>
      <c r="AD502" s="42" t="n"/>
      <c r="AE502" s="42" t="n"/>
      <c r="AF502" s="42" t="n"/>
      <c r="AG502" s="42" t="n"/>
      <c r="AH502" s="42" t="n"/>
      <c r="AI502" s="42" t="n"/>
      <c r="AJ502" s="42" t="n"/>
      <c r="AK502" s="42" t="n"/>
      <c r="AL502" s="42" t="n"/>
      <c r="AM502" s="42" t="n"/>
      <c r="AN502" s="42" t="n"/>
      <c r="AO502" s="42" t="n"/>
      <c r="AP502" s="42" t="n"/>
      <c r="AQ502" s="42" t="n"/>
    </row>
    <row r="503" ht="18" customHeight="1" s="74">
      <c r="A503" s="32" t="n"/>
      <c r="B503" s="32" t="n"/>
      <c r="C503" s="32" t="n"/>
      <c r="D503" s="32" t="n"/>
      <c r="E503" s="33" t="n"/>
      <c r="F503" s="33" t="n"/>
      <c r="G503" s="33" t="n"/>
      <c r="H503" s="33" t="n"/>
      <c r="I503" s="33" t="n"/>
      <c r="J503" s="33" t="n"/>
      <c r="K503" s="33" t="n"/>
      <c r="L503" s="33" t="n"/>
      <c r="M503" s="33" t="n"/>
      <c r="N503" s="33" t="n"/>
      <c r="O503" s="33" t="n"/>
      <c r="P503" s="33" t="n"/>
      <c r="Q503" s="33" t="n"/>
      <c r="R503" s="33" t="n"/>
      <c r="S503" s="33" t="n"/>
      <c r="T503" s="33" t="n"/>
      <c r="U503" s="33" t="n"/>
      <c r="V503" s="33" t="n"/>
      <c r="W503" s="34" t="n"/>
      <c r="X503" s="33" t="n"/>
      <c r="Y503" s="35" t="n"/>
      <c r="Z503" s="157">
        <f>IF(OR(Y503="",X503=""),"",IFERROR(Y503*INDEX(FXRates[USD per unit],MATCH(X503,FXRates[Currency],0)),"No rate"))</f>
        <v/>
      </c>
      <c r="AA503" s="32" t="n"/>
      <c r="AB503" s="32" t="n"/>
      <c r="AC503" s="36">
        <f>IF(A503="","",IF(COUNTIF($A$6:$A$504,A503)&gt;1,"⚠ Duplicate",""))</f>
        <v/>
      </c>
      <c r="AD503" s="43" t="n"/>
      <c r="AE503" s="43" t="n"/>
      <c r="AF503" s="43" t="n"/>
      <c r="AG503" s="43" t="n"/>
      <c r="AH503" s="43" t="n"/>
      <c r="AI503" s="43" t="n"/>
      <c r="AJ503" s="43" t="n"/>
      <c r="AK503" s="43" t="n"/>
      <c r="AL503" s="43" t="n"/>
      <c r="AM503" s="43" t="n"/>
      <c r="AN503" s="43" t="n"/>
      <c r="AO503" s="43" t="n"/>
      <c r="AP503" s="43" t="n"/>
      <c r="AQ503" s="43" t="n"/>
    </row>
    <row r="504" ht="18" customHeight="1" s="74">
      <c r="A504" s="38" t="n"/>
      <c r="B504" s="38" t="n"/>
      <c r="C504" s="38" t="n"/>
      <c r="D504" s="38" t="n"/>
      <c r="E504" s="39" t="n"/>
      <c r="F504" s="39" t="n"/>
      <c r="G504" s="39" t="n"/>
      <c r="H504" s="39" t="n"/>
      <c r="I504" s="39" t="n"/>
      <c r="J504" s="39" t="n"/>
      <c r="K504" s="39" t="n"/>
      <c r="L504" s="39" t="n"/>
      <c r="M504" s="39" t="n"/>
      <c r="N504" s="39" t="n"/>
      <c r="O504" s="39" t="n"/>
      <c r="P504" s="39" t="n"/>
      <c r="Q504" s="39" t="n"/>
      <c r="R504" s="39" t="n"/>
      <c r="S504" s="39" t="n"/>
      <c r="T504" s="39" t="n"/>
      <c r="U504" s="39" t="n"/>
      <c r="V504" s="39" t="n"/>
      <c r="W504" s="34" t="n"/>
      <c r="X504" s="39" t="n"/>
      <c r="Y504" s="40" t="n"/>
      <c r="Z504" s="158">
        <f>IF(OR(Y504="",X504=""),"",IFERROR(Y504*INDEX(FXRates[USD per unit],MATCH(X504,FXRates[Currency],0)),"No rate"))</f>
        <v/>
      </c>
      <c r="AA504" s="38" t="n"/>
      <c r="AB504" s="38" t="n"/>
      <c r="AC504" s="41">
        <f>IF(A504="","",IF(COUNTIF($A$6:$A$504,A504)&gt;1,"⚠ Duplicate",""))</f>
        <v/>
      </c>
      <c r="AD504" s="42" t="n"/>
      <c r="AE504" s="42" t="n"/>
      <c r="AF504" s="42" t="n"/>
      <c r="AG504" s="42" t="n"/>
      <c r="AH504" s="42" t="n"/>
      <c r="AI504" s="42" t="n"/>
      <c r="AJ504" s="42" t="n"/>
      <c r="AK504" s="42" t="n"/>
      <c r="AL504" s="42" t="n"/>
      <c r="AM504" s="42" t="n"/>
      <c r="AN504" s="42" t="n"/>
      <c r="AO504" s="42" t="n"/>
      <c r="AP504" s="42" t="n"/>
      <c r="AQ504" s="42" t="n"/>
    </row>
  </sheetData>
  <mergeCells count="14">
    <mergeCell ref="O3:P3"/>
    <mergeCell ref="AB2:AC2"/>
    <mergeCell ref="X3:Z3"/>
    <mergeCell ref="M3:N3"/>
    <mergeCell ref="A3:F3"/>
    <mergeCell ref="Q3:V3"/>
    <mergeCell ref="AD1:AQ3"/>
    <mergeCell ref="Q4:T4"/>
    <mergeCell ref="I3:J3"/>
    <mergeCell ref="A2:AA2"/>
    <mergeCell ref="AA3:AC3"/>
    <mergeCell ref="G3:H3"/>
    <mergeCell ref="K3:L3"/>
    <mergeCell ref="U4:V4"/>
  </mergeCells>
  <conditionalFormatting sqref="A6:AQ504">
    <cfRule type="expression" priority="8" dxfId="2">
      <formula>$F6="Yes"</formula>
    </cfRule>
  </conditionalFormatting>
  <conditionalFormatting sqref="A6:A504">
    <cfRule type="expression" priority="9" dxfId="1">
      <formula>AND(A6&lt;&gt;"",COUNTIF($A$6:$A$504,A6)&gt;1)</formula>
    </cfRule>
  </conditionalFormatting>
  <conditionalFormatting sqref="AD36:AQ3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5:AQ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7:AQ3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8:AQ3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0:AQ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8">
    <dataValidation sqref="X6:X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E6:E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G6:W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F6:F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Y6:Y504" showDropDown="0" showInputMessage="0" showErrorMessage="1" allowBlank="1" errorTitle="Invalid project value" error="Enter a number only, in millions. Type 22.9 — not 22.9M." promptTitle="Project value (M)" prompt="Numeric value in millions. Do not type the M suffix." type="decimal" operator="greaterThanOrEqual">
      <formula1>0</formula1>
      <formula2>0</formula2>
    </dataValidation>
    <dataValidation sqref="AD6:AQ504" showDropDown="0" showInputMessage="0" showErrorMessage="1" allowBlank="1" errorTitle="Invalid manhour %" error="Enter a percentage between 0% and 100%. Type 5% (or 0.05), not 5." promptTitle="Manhour cost" prompt="Share of project value for this cost category." type="decimal">
      <formula1>0</formula1>
      <formula2>1</formula2>
    </dataValidation>
    <dataValidation sqref="D6:D504" showDropDown="0" showInputMessage="0" showErrorMessage="1" allowBlank="1" errorTitle="Invalid entry" error="Please select a solution type from the list: Autostore, DMS GTP, Pallet Hotel, 4WS, AMCAP, Others/complex." promptTitle="Solution type" prompt="Select the primary solution type for this project." type="list">
      <formula1>"Autostore,DMS GTP,Pallet Hotel,4WS,AMCAP,Others/complex"</formula1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61"/>
  <sheetViews>
    <sheetView showGridLines="0" zoomScale="70" zoomScaleNormal="70" workbookViewId="0">
      <selection activeCell="Y14" sqref="Y14"/>
    </sheetView>
  </sheetViews>
  <sheetFormatPr baseColWidth="8" defaultColWidth="8.6640625" defaultRowHeight="14.4"/>
  <cols>
    <col width="5" customWidth="1" style="74" min="1" max="1"/>
    <col width="13" customWidth="1" style="74" min="2" max="2"/>
    <col width="19.88671875" customWidth="1" style="74" min="3" max="3"/>
    <col width="15.33203125" customWidth="1" style="74" min="4" max="4"/>
    <col width="9.44140625" customWidth="1" style="74" min="5" max="5"/>
    <col width="17.33203125" customWidth="1" style="74" min="6" max="6"/>
    <col width="9.44140625" customWidth="1" style="74" min="7" max="7"/>
    <col width="7.44140625" customWidth="1" style="74" min="8" max="8"/>
    <col width="8" customWidth="1" style="74" min="9" max="9"/>
    <col width="6.6640625" customWidth="1" style="74" min="10" max="10"/>
    <col width="9.44140625" customWidth="1" style="74" min="11" max="11"/>
    <col width="7.88671875" customWidth="1" style="74" min="12" max="13"/>
    <col width="5.6640625" customWidth="1" style="74" min="14" max="14"/>
    <col width="5.44140625" customWidth="1" style="74" min="15" max="18"/>
    <col width="5.6640625" customWidth="1" style="74" min="19" max="19"/>
    <col width="6.109375" customWidth="1" style="74" min="20" max="20"/>
    <col width="5.44140625" customWidth="1" style="74" min="21" max="21"/>
    <col width="1.6640625" customWidth="1" style="74" min="23" max="23"/>
  </cols>
  <sheetData>
    <row r="1" ht="36" customHeight="1" s="74">
      <c r="A1" s="159" t="inlineStr">
        <is>
          <t>DEMATIC  | Project Search &amp; Schedule Estimator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4" customHeight="1" s="74">
      <c r="A3" s="113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80" t="n"/>
      <c r="C3" s="80" t="n"/>
      <c r="D3" s="80" t="n"/>
      <c r="E3" s="80" t="n"/>
      <c r="F3" s="80" t="n"/>
      <c r="G3" s="80" t="n"/>
    </row>
    <row r="4" ht="24" customHeight="1" s="74">
      <c r="A4" s="44" t="n"/>
      <c r="B4" s="28" t="inlineStr">
        <is>
          <t>System</t>
        </is>
      </c>
      <c r="C4" s="28" t="inlineStr">
        <is>
          <t>Include?</t>
        </is>
      </c>
      <c r="D4" s="28" t="inlineStr">
        <is>
          <t>Parameter 1</t>
        </is>
      </c>
      <c r="E4" s="28" t="inlineStr">
        <is>
          <t>Your Value</t>
        </is>
      </c>
      <c r="F4" s="28" t="inlineStr">
        <is>
          <t>Parameter 2</t>
        </is>
      </c>
      <c r="G4" s="28" t="inlineStr">
        <is>
          <t>Your Value</t>
        </is>
      </c>
      <c r="I4" s="118" t="inlineStr">
        <is>
          <t>OPTIONAL FILTERS</t>
        </is>
      </c>
    </row>
    <row r="5" ht="25.5" customHeight="1" s="74">
      <c r="A5" s="15" t="n"/>
      <c r="B5" s="45" t="inlineStr">
        <is>
          <t>Multishuttle</t>
        </is>
      </c>
      <c r="C5" s="46" t="inlineStr">
        <is>
          <t>NO</t>
        </is>
      </c>
      <c r="D5" s="47" t="inlineStr">
        <is>
          <t>No. of Shuttles</t>
        </is>
      </c>
      <c r="E5" s="48" t="n"/>
      <c r="F5" s="47" t="inlineStr">
        <is>
          <t>No. of Tote Locations</t>
        </is>
      </c>
      <c r="G5" s="49" t="n"/>
      <c r="H5" s="2" t="n"/>
      <c r="I5" s="119" t="inlineStr">
        <is>
          <t>Solution Type</t>
        </is>
      </c>
      <c r="L5" s="160" t="inlineStr">
        <is>
          <t>All</t>
        </is>
      </c>
      <c r="M5" s="161" t="n"/>
      <c r="N5" s="161" t="n"/>
      <c r="O5" s="161" t="n"/>
      <c r="P5" s="161" t="n"/>
      <c r="Q5" s="162" t="n"/>
    </row>
    <row r="6" ht="25.5" customHeight="1" s="74">
      <c r="A6" s="16" t="n"/>
      <c r="B6" s="50" t="inlineStr">
        <is>
          <t>AutoStore</t>
        </is>
      </c>
      <c r="C6" s="46" t="inlineStr">
        <is>
          <t>YES</t>
        </is>
      </c>
      <c r="D6" s="47" t="inlineStr">
        <is>
          <t>No. of Robots</t>
        </is>
      </c>
      <c r="E6" s="48" t="n">
        <v>20</v>
      </c>
      <c r="F6" s="47" t="inlineStr">
        <is>
          <t>No. of Tote Locations</t>
        </is>
      </c>
      <c r="G6" s="49" t="n">
        <v>10000</v>
      </c>
      <c r="H6" s="2" t="n"/>
      <c r="I6" s="119" t="inlineStr">
        <is>
          <t>Region contains</t>
        </is>
      </c>
      <c r="L6" s="160" t="n"/>
      <c r="M6" s="161" t="n"/>
      <c r="N6" s="161" t="n"/>
      <c r="O6" s="161" t="n"/>
      <c r="P6" s="161" t="n"/>
      <c r="Q6" s="162" t="n"/>
    </row>
    <row r="7" ht="25.5" customHeight="1" s="74">
      <c r="A7" s="17" t="n"/>
      <c r="B7" s="51" t="inlineStr">
        <is>
          <t>Pallet Shuttle</t>
        </is>
      </c>
      <c r="C7" s="46" t="inlineStr">
        <is>
          <t>NO</t>
        </is>
      </c>
      <c r="D7" s="47" t="inlineStr">
        <is>
          <t>No. of Shuttles</t>
        </is>
      </c>
      <c r="E7" s="48" t="n"/>
      <c r="F7" s="47" t="inlineStr">
        <is>
          <t>No. of Pallet Locations</t>
        </is>
      </c>
      <c r="G7" s="49" t="n"/>
      <c r="H7" s="2" t="n"/>
      <c r="I7" s="119" t="inlineStr">
        <is>
          <t>Year (exact)</t>
        </is>
      </c>
      <c r="L7" s="163" t="n"/>
      <c r="M7" s="161" t="n"/>
      <c r="N7" s="161" t="n"/>
      <c r="O7" s="161" t="n"/>
      <c r="P7" s="161" t="n"/>
      <c r="Q7" s="162" t="n"/>
    </row>
    <row r="8" ht="25.5" customHeight="1" s="74">
      <c r="A8" s="18" t="n"/>
      <c r="B8" s="52" t="inlineStr">
        <is>
          <t>SRM Crane</t>
        </is>
      </c>
      <c r="C8" s="46" t="inlineStr">
        <is>
          <t>NO</t>
        </is>
      </c>
      <c r="D8" s="47" t="inlineStr">
        <is>
          <t>No. of Cranes</t>
        </is>
      </c>
      <c r="E8" s="48" t="n"/>
      <c r="F8" s="47" t="inlineStr">
        <is>
          <t>No. of Pallet Locations</t>
        </is>
      </c>
      <c r="G8" s="49" t="n"/>
      <c r="H8" s="2" t="n"/>
      <c r="I8" s="119" t="inlineStr">
        <is>
          <t>Won status</t>
        </is>
      </c>
      <c r="L8" s="160" t="inlineStr">
        <is>
          <t>All</t>
        </is>
      </c>
      <c r="M8" s="161" t="n"/>
      <c r="N8" s="161" t="n"/>
      <c r="O8" s="161" t="n"/>
      <c r="P8" s="161" t="n"/>
      <c r="Q8" s="162" t="n"/>
    </row>
    <row r="9" ht="25.5" customHeight="1" s="74">
      <c r="A9" s="19" t="n"/>
      <c r="B9" s="53" t="inlineStr">
        <is>
          <t>Conveyors</t>
        </is>
      </c>
      <c r="C9" s="46" t="inlineStr">
        <is>
          <t>NO</t>
        </is>
      </c>
      <c r="D9" s="47" t="inlineStr">
        <is>
          <t>Case Conveyor (metres)</t>
        </is>
      </c>
      <c r="E9" s="54" t="n"/>
      <c r="F9" s="55" t="inlineStr">
        <is>
          <t>Pallet Conveyor (metres)</t>
        </is>
      </c>
      <c r="G9" s="54" t="n"/>
      <c r="H9" s="2" t="n"/>
      <c r="I9" s="100" t="inlineStr">
        <is>
          <t>Blank or All = no filter. Filters combine.</t>
        </is>
      </c>
    </row>
    <row r="10" ht="25.5" customHeight="1" s="74">
      <c r="A10" s="56" t="n"/>
      <c r="B10" s="57" t="inlineStr">
        <is>
          <t>Keywords</t>
        </is>
      </c>
      <c r="C10" s="46" t="inlineStr">
        <is>
          <t>NO</t>
        </is>
      </c>
      <c r="D10" s="58" t="inlineStr">
        <is>
          <t>Search keywords (space-separated)</t>
        </is>
      </c>
      <c r="E10" s="120" t="n"/>
      <c r="F10" s="121" t="n"/>
      <c r="G10" s="122" t="n"/>
      <c r="H10" s="2" t="n"/>
      <c r="I10" s="100" t="inlineStr">
        <is>
          <t>Region searches Client / Region text (e.g. ME).
Solution Type must be filled in the database.</t>
        </is>
      </c>
    </row>
    <row r="11" ht="23.25" customHeight="1" s="74">
      <c r="A11" s="164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</row>
    <row r="12" ht="20.25" customHeight="1" s="74">
      <c r="A12" s="165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  <c r="I12" s="129">
        <f>IF(H13=0,"Select a system or keywords to rank projects",IF(COUNT(_Helper!BH2:BH501)=0,"No matches. Broaden or clear the filters.",COUNT(_Helper!BH2:BH501)&amp;" matching projects"))</f>
        <v/>
      </c>
    </row>
    <row r="13" hidden="1" ht="21" customHeight="1" s="74">
      <c r="B13" s="59">
        <f>IF(C5="YES",1,0)</f>
        <v/>
      </c>
      <c r="C13" s="59">
        <f>IF(C6="YES",1,0)</f>
        <v/>
      </c>
      <c r="D13" s="59">
        <f>IF(C7="YES",1,0)</f>
        <v/>
      </c>
      <c r="E13" s="59">
        <f>IF(C8="YES",1,0)</f>
        <v/>
      </c>
      <c r="F13" s="59">
        <f>IF(C9="YES",1,0)</f>
        <v/>
      </c>
      <c r="G13" s="59">
        <f>IF(C10="YES",1,0)</f>
        <v/>
      </c>
      <c r="H13" s="59">
        <f>SUM(B13:F13)*2+G13</f>
        <v/>
      </c>
      <c r="I13" s="59">
        <f>IFERROR(TRIM(MID(SUBSTITUTE(TRIM('Smart Search'!E10)," ",REPT(" ",100)),1,100)),"")</f>
        <v/>
      </c>
      <c r="J13" s="59">
        <f>IFERROR(TRIM(MID(SUBSTITUTE(TRIM('Smart Search'!E10)," ",REPT(" ",100)),101,100)),"")</f>
        <v/>
      </c>
      <c r="K13" s="59">
        <f>IFERROR(TRIM(MID(SUBSTITUTE(TRIM('Smart Search'!E10)," ",REPT(" ",100)),201,100)),"")</f>
        <v/>
      </c>
      <c r="L13" s="59">
        <f>IFERROR(TRIM(MID(SUBSTITUTE(TRIM('Smart Search'!E10)," ",REPT(" ",100)),301,100)),"")</f>
        <v/>
      </c>
      <c r="M13" s="59">
        <f>IFERROR(TRIM(MID(SUBSTITUTE(TRIM('Smart Search'!E10)," ",REPT(" ",100)),401,100)),"")</f>
        <v/>
      </c>
      <c r="N13" s="59">
        <f>IFERROR(TRIM(MID(SUBSTITUTE(TRIM('Smart Search'!E10)," ",REPT(" ",100)),501,100)),"")</f>
        <v/>
      </c>
      <c r="O13" s="59">
        <f>IFERROR(TRIM(MID(SUBSTITUTE(TRIM('Smart Search'!E10)," ",REPT(" ",100)),601,100)),"")</f>
        <v/>
      </c>
      <c r="P13" s="59">
        <f>IFERROR(TRIM(MID(SUBSTITUTE(TRIM('Smart Search'!E10)," ",REPT(" ",100)),701,100)),"")</f>
        <v/>
      </c>
      <c r="Q13" s="59">
        <f>IFERROR(TRIM(MID(SUBSTITUTE(TRIM('Smart Search'!E10)," ",REPT(" ",100)),801,100)),"")</f>
        <v/>
      </c>
      <c r="R13" s="59">
        <f>IFERROR(TRIM(MID(SUBSTITUTE(TRIM('Smart Search'!E10)," ",REPT(" ",100)),901,100)),"")</f>
        <v/>
      </c>
      <c r="S13" s="59">
        <f>IFERROR(TRIM(MID(SUBSTITUTE(TRIM('Smart Search'!E10)," ",REPT(" ",100)),1001,100)),"")</f>
        <v/>
      </c>
      <c r="T13" s="59">
        <f>IFERROR(TRIM(MID(SUBSTITUTE(TRIM('Smart Search'!E10)," ",REPT(" ",100)),1101,100)),"")</f>
        <v/>
      </c>
      <c r="U13" s="59">
        <f>IFERROR(TRIM(MID(SUBSTITUTE(TRIM('Smart Search'!E10)," ",REPT(" ",100)),1201,100)),"")</f>
        <v/>
      </c>
      <c r="V13" s="59">
        <f>IFERROR(TRIM(MID(SUBSTITUTE(TRIM('Smart Search'!E10)," ",REPT(" ",100)),1301,100)),"")</f>
        <v/>
      </c>
      <c r="W13" s="59">
        <f>IF(TRIM('Smart Search'!E10)="",0,LEN(TRIM('Smart Search'!E10))-LEN(SUBSTITUTE(TRIM('Smart Search'!E10)," ",""))+1)</f>
        <v/>
      </c>
    </row>
    <row r="14" ht="30" customHeight="1" s="74">
      <c r="A14" s="166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 s="74" thickBot="1">
      <c r="A15" s="167" t="inlineStr">
        <is>
          <t xml:space="preserve">  📊  TOP 5 CLOSEST MATCHES</t>
        </is>
      </c>
    </row>
    <row r="16" ht="36" customHeight="1" s="74">
      <c r="A16" s="28" t="inlineStr">
        <is>
          <t>Rank</t>
        </is>
      </c>
      <c r="B16" s="28" t="inlineStr">
        <is>
          <t>Project ID</t>
        </is>
      </c>
      <c r="C16" s="28" t="inlineStr">
        <is>
          <t>Project Name</t>
        </is>
      </c>
      <c r="D16" s="28" t="inlineStr">
        <is>
          <t>MS
Shuttles</t>
        </is>
      </c>
      <c r="E16" s="28" t="inlineStr">
        <is>
          <t>MS Tote
Locs</t>
        </is>
      </c>
      <c r="F16" s="28" t="inlineStr">
        <is>
          <t>AS
Robots</t>
        </is>
      </c>
      <c r="G16" s="28" t="inlineStr">
        <is>
          <t>AS Tote
Locs</t>
        </is>
      </c>
      <c r="H16" s="28" t="inlineStr">
        <is>
          <t>PS
Shuttles</t>
        </is>
      </c>
      <c r="I16" s="28" t="inlineStr">
        <is>
          <t>PS Pallet
Locs</t>
        </is>
      </c>
      <c r="J16" s="28" t="inlineStr">
        <is>
          <t>SRM
Cranes</t>
        </is>
      </c>
      <c r="K16" s="28" t="inlineStr">
        <is>
          <t>SRM Pallet
Locs</t>
        </is>
      </c>
      <c r="L16" s="28" t="inlineStr">
        <is>
          <t>Case
Conv (m)</t>
        </is>
      </c>
      <c r="M16" s="28" t="inlineStr">
        <is>
          <t>Pallet
Conv (m)</t>
        </is>
      </c>
      <c r="N16" s="28" t="inlineStr">
        <is>
          <t>Match
Score</t>
        </is>
      </c>
      <c r="O16" s="28" t="inlineStr">
        <is>
          <t>Mech
(wks)</t>
        </is>
      </c>
      <c r="P16" s="28" t="inlineStr">
        <is>
          <t>Ctrl
(wks)</t>
        </is>
      </c>
      <c r="Q16" s="28" t="inlineStr">
        <is>
          <t>Sys
(wks)</t>
        </is>
      </c>
      <c r="R16" s="28" t="inlineStr">
        <is>
          <t>SW
(wks)</t>
        </is>
      </c>
      <c r="S16" s="28" t="inlineStr">
        <is>
          <t>Install
(wks)</t>
        </is>
      </c>
      <c r="T16" s="28" t="inlineStr">
        <is>
          <t>Comm
(wks)</t>
        </is>
      </c>
      <c r="U16" s="28" t="inlineStr">
        <is>
          <t>Total
(wks)</t>
        </is>
      </c>
    </row>
    <row r="17" ht="18.75" customHeight="1" s="74">
      <c r="A17" s="60" t="n">
        <v>1</v>
      </c>
      <c r="B17" s="34">
        <f>IFERROR(INDEX(_Helper!A2:A501,MATCH(LARGE(_Helper!BH2:BH501,1),_Helper!BH2:BH501,0)),"-")</f>
        <v/>
      </c>
      <c r="C17" s="61">
        <f>IFERROR(INDEX(_Helper!B2:B501,MATCH(LARGE(_Helper!BH2:BH501,1),_Helper!BH2:BH501,0)),"-")</f>
        <v/>
      </c>
      <c r="D17" s="34">
        <f>IFERROR(INDEX(_Helper!C2:C501,MATCH(LARGE(_Helper!BH2:BH501,1),_Helper!BH2:BH501,0)),"-")</f>
        <v/>
      </c>
      <c r="E17" s="34">
        <f>IFERROR(INDEX(_Helper!D2:D501,MATCH(LARGE(_Helper!BH2:BH501,1),_Helper!BH2:BH501,0)),"-")</f>
        <v/>
      </c>
      <c r="F17" s="34">
        <f>IFERROR(INDEX(_Helper!E2:E501,MATCH(LARGE(_Helper!BH2:BH501,1),_Helper!BH2:BH501,0)),"-")</f>
        <v/>
      </c>
      <c r="G17" s="34">
        <f>IFERROR(INDEX(_Helper!F2:F501,MATCH(LARGE(_Helper!BH2:BH501,1),_Helper!BH2:BH501,0)),"-")</f>
        <v/>
      </c>
      <c r="H17" s="34">
        <f>IFERROR(INDEX(_Helper!G2:G501,MATCH(LARGE(_Helper!BH2:BH501,1),_Helper!BH2:BH501,0)),"-")</f>
        <v/>
      </c>
      <c r="I17" s="34">
        <f>IFERROR(INDEX(_Helper!H2:H501,MATCH(LARGE(_Helper!BH2:BH501,1),_Helper!BH2:BH501,0)),"-")</f>
        <v/>
      </c>
      <c r="J17" s="34">
        <f>IFERROR(INDEX(_Helper!I2:I501,MATCH(LARGE(_Helper!BH2:BH501,1),_Helper!BH2:BH501,0)),"-")</f>
        <v/>
      </c>
      <c r="K17" s="34">
        <f>IFERROR(INDEX(_Helper!J2:J501,MATCH(LARGE(_Helper!BH2:BH501,1),_Helper!BH2:BH501,0)),"-")</f>
        <v/>
      </c>
      <c r="L17" s="34">
        <f>IFERROR(INDEX(_Helper!K2:K501,MATCH(LARGE(_Helper!BH2:BH501,1),_Helper!BH2:BH501,0)),"-")</f>
        <v/>
      </c>
      <c r="M17" s="34">
        <f>IFERROR(INDEX(_Helper!L2:L501,MATCH(LARGE(_Helper!BH2:BH501,1),_Helper!BH2:BH501,0)),"-")</f>
        <v/>
      </c>
      <c r="N17" s="62">
        <f>IFERROR(INDEX(_Helper!BH2:BH501,MATCH(LARGE(_Helper!BH2:BH501,1),_Helper!BH2:BH501,0)),"-")</f>
        <v/>
      </c>
      <c r="O17" s="34">
        <f>IFERROR(INDEX(_Helper!M2:M501,MATCH(LARGE(_Helper!BH2:BH501,1),_Helper!BH2:BH501,0)),"-")</f>
        <v/>
      </c>
      <c r="P17" s="34">
        <f>IFERROR(INDEX(_Helper!N2:N501,MATCH(LARGE(_Helper!BH2:BH501,1),_Helper!BH2:BH501,0)),"-")</f>
        <v/>
      </c>
      <c r="Q17" s="34">
        <f>IFERROR(INDEX(_Helper!O2:O501,MATCH(LARGE(_Helper!BH2:BH501,1),_Helper!BH2:BH501,0)),"-")</f>
        <v/>
      </c>
      <c r="R17" s="34">
        <f>IFERROR(INDEX(_Helper!P2:P501,MATCH(LARGE(_Helper!BH2:BH501,1),_Helper!BH2:BH501,0)),"-")</f>
        <v/>
      </c>
      <c r="S17" s="34">
        <f>IFERROR(INDEX(_Helper!Q2:Q501,MATCH(LARGE(_Helper!BH2:BH501,1),_Helper!BH2:BH501,0)),"-")</f>
        <v/>
      </c>
      <c r="T17" s="34">
        <f>IFERROR(INDEX(_Helper!R2:R501,MATCH(LARGE(_Helper!BH2:BH501,1),_Helper!BH2:BH501,0)),"-")</f>
        <v/>
      </c>
      <c r="U17" s="34">
        <f>IFERROR(INDEX(_Helper!S2:S501,MATCH(LARGE(_Helper!BH2:BH501,1),_Helper!BH2:BH501,0)),"-")</f>
        <v/>
      </c>
    </row>
    <row r="18" ht="19.5" customHeight="1" s="74">
      <c r="A18" s="63" t="n">
        <v>2</v>
      </c>
      <c r="B18" s="33">
        <f>IFERROR(INDEX(_Helper!A2:A501,MATCH(LARGE(_Helper!BH2:BH501,2),_Helper!BH2:BH501,0)),"-")</f>
        <v/>
      </c>
      <c r="C18" s="32">
        <f>IFERROR(INDEX(_Helper!B2:B501,MATCH(LARGE(_Helper!BH2:BH501,2),_Helper!BH2:BH501,0)),"-")</f>
        <v/>
      </c>
      <c r="D18" s="33">
        <f>IFERROR(INDEX(_Helper!C2:C501,MATCH(LARGE(_Helper!BH2:BH501,2),_Helper!BH2:BH501,0)),"-")</f>
        <v/>
      </c>
      <c r="E18" s="33">
        <f>IFERROR(INDEX(_Helper!D2:D501,MATCH(LARGE(_Helper!BH2:BH501,2),_Helper!BH2:BH501,0)),"-")</f>
        <v/>
      </c>
      <c r="F18" s="33">
        <f>IFERROR(INDEX(_Helper!E2:E501,MATCH(LARGE(_Helper!BH2:BH501,2),_Helper!BH2:BH501,0)),"-")</f>
        <v/>
      </c>
      <c r="G18" s="33">
        <f>IFERROR(INDEX(_Helper!F2:F501,MATCH(LARGE(_Helper!BH2:BH501,2),_Helper!BH2:BH501,0)),"-")</f>
        <v/>
      </c>
      <c r="H18" s="33">
        <f>IFERROR(INDEX(_Helper!G2:G501,MATCH(LARGE(_Helper!BH2:BH501,2),_Helper!BH2:BH501,0)),"-")</f>
        <v/>
      </c>
      <c r="I18" s="33">
        <f>IFERROR(INDEX(_Helper!H2:H501,MATCH(LARGE(_Helper!BH2:BH501,2),_Helper!BH2:BH501,0)),"-")</f>
        <v/>
      </c>
      <c r="J18" s="33">
        <f>IFERROR(INDEX(_Helper!I2:I501,MATCH(LARGE(_Helper!BH2:BH501,2),_Helper!BH2:BH501,0)),"-")</f>
        <v/>
      </c>
      <c r="K18" s="33">
        <f>IFERROR(INDEX(_Helper!J2:J501,MATCH(LARGE(_Helper!BH2:BH501,2),_Helper!BH2:BH501,0)),"-")</f>
        <v/>
      </c>
      <c r="L18" s="33">
        <f>IFERROR(INDEX(_Helper!K2:K501,MATCH(LARGE(_Helper!BH2:BH501,2),_Helper!BH2:BH501,0)),"-")</f>
        <v/>
      </c>
      <c r="M18" s="33">
        <f>IFERROR(INDEX(_Helper!L2:L501,MATCH(LARGE(_Helper!BH2:BH501,2),_Helper!BH2:BH501,0)),"-")</f>
        <v/>
      </c>
      <c r="N18" s="64">
        <f>IFERROR(INDEX(_Helper!BH2:BH501,MATCH(LARGE(_Helper!BH2:BH501,2),_Helper!BH2:BH501,0)),"-")</f>
        <v/>
      </c>
      <c r="O18" s="33">
        <f>IFERROR(INDEX(_Helper!M2:M501,MATCH(LARGE(_Helper!BH2:BH501,2),_Helper!BH2:BH501,0)),"-")</f>
        <v/>
      </c>
      <c r="P18" s="33">
        <f>IFERROR(INDEX(_Helper!N2:N501,MATCH(LARGE(_Helper!BH2:BH501,2),_Helper!BH2:BH501,0)),"-")</f>
        <v/>
      </c>
      <c r="Q18" s="33">
        <f>IFERROR(INDEX(_Helper!O2:O501,MATCH(LARGE(_Helper!BH2:BH501,2),_Helper!BH2:BH501,0)),"-")</f>
        <v/>
      </c>
      <c r="R18" s="33">
        <f>IFERROR(INDEX(_Helper!P2:P501,MATCH(LARGE(_Helper!BH2:BH501,2),_Helper!BH2:BH501,0)),"-")</f>
        <v/>
      </c>
      <c r="S18" s="33">
        <f>IFERROR(INDEX(_Helper!Q2:Q501,MATCH(LARGE(_Helper!BH2:BH501,2),_Helper!BH2:BH501,0)),"-")</f>
        <v/>
      </c>
      <c r="T18" s="33">
        <f>IFERROR(INDEX(_Helper!R2:R501,MATCH(LARGE(_Helper!BH2:BH501,2),_Helper!BH2:BH501,0)),"-")</f>
        <v/>
      </c>
      <c r="U18" s="33">
        <f>IFERROR(INDEX(_Helper!S2:S501,MATCH(LARGE(_Helper!BH2:BH501,2),_Helper!BH2:BH501,0)),"-")</f>
        <v/>
      </c>
    </row>
    <row r="19" ht="19.5" customHeight="1" s="74">
      <c r="A19" s="63" t="n">
        <v>3</v>
      </c>
      <c r="B19" s="39">
        <f>IFERROR(INDEX(_Helper!A2:A501,MATCH(LARGE(_Helper!BH2:BH501,3),_Helper!BH2:BH501,0)),"-")</f>
        <v/>
      </c>
      <c r="C19" s="38">
        <f>IFERROR(INDEX(_Helper!B2:B501,MATCH(LARGE(_Helper!BH2:BH501,3),_Helper!BH2:BH501,0)),"-")</f>
        <v/>
      </c>
      <c r="D19" s="39">
        <f>IFERROR(INDEX(_Helper!C2:C501,MATCH(LARGE(_Helper!BH2:BH501,3),_Helper!BH2:BH501,0)),"-")</f>
        <v/>
      </c>
      <c r="E19" s="39">
        <f>IFERROR(INDEX(_Helper!D2:D501,MATCH(LARGE(_Helper!BH2:BH501,3),_Helper!BH2:BH501,0)),"-")</f>
        <v/>
      </c>
      <c r="F19" s="39">
        <f>IFERROR(INDEX(_Helper!E2:E501,MATCH(LARGE(_Helper!BH2:BH501,3),_Helper!BH2:BH501,0)),"-")</f>
        <v/>
      </c>
      <c r="G19" s="39">
        <f>IFERROR(INDEX(_Helper!F2:F501,MATCH(LARGE(_Helper!BH2:BH501,3),_Helper!BH2:BH501,0)),"-")</f>
        <v/>
      </c>
      <c r="H19" s="39">
        <f>IFERROR(INDEX(_Helper!G2:G501,MATCH(LARGE(_Helper!BH2:BH501,3),_Helper!BH2:BH501,0)),"-")</f>
        <v/>
      </c>
      <c r="I19" s="39">
        <f>IFERROR(INDEX(_Helper!H2:H501,MATCH(LARGE(_Helper!BH2:BH501,3),_Helper!BH2:BH501,0)),"-")</f>
        <v/>
      </c>
      <c r="J19" s="39">
        <f>IFERROR(INDEX(_Helper!I2:I501,MATCH(LARGE(_Helper!BH2:BH501,3),_Helper!BH2:BH501,0)),"-")</f>
        <v/>
      </c>
      <c r="K19" s="39">
        <f>IFERROR(INDEX(_Helper!J2:J501,MATCH(LARGE(_Helper!BH2:BH501,3),_Helper!BH2:BH501,0)),"-")</f>
        <v/>
      </c>
      <c r="L19" s="39">
        <f>IFERROR(INDEX(_Helper!K2:K501,MATCH(LARGE(_Helper!BH2:BH501,3),_Helper!BH2:BH501,0)),"-")</f>
        <v/>
      </c>
      <c r="M19" s="39">
        <f>IFERROR(INDEX(_Helper!L2:L501,MATCH(LARGE(_Helper!BH2:BH501,3),_Helper!BH2:BH501,0)),"-")</f>
        <v/>
      </c>
      <c r="N19" s="65">
        <f>IFERROR(INDEX(_Helper!BH2:BH501,MATCH(LARGE(_Helper!BH2:BH501,3),_Helper!BH2:BH501,0)),"-")</f>
        <v/>
      </c>
      <c r="O19" s="39">
        <f>IFERROR(INDEX(_Helper!M2:M501,MATCH(LARGE(_Helper!BH2:BH501,3),_Helper!BH2:BH501,0)),"-")</f>
        <v/>
      </c>
      <c r="P19" s="39">
        <f>IFERROR(INDEX(_Helper!N2:N501,MATCH(LARGE(_Helper!BH2:BH501,3),_Helper!BH2:BH501,0)),"-")</f>
        <v/>
      </c>
      <c r="Q19" s="39">
        <f>IFERROR(INDEX(_Helper!O2:O501,MATCH(LARGE(_Helper!BH2:BH501,3),_Helper!BH2:BH501,0)),"-")</f>
        <v/>
      </c>
      <c r="R19" s="39">
        <f>IFERROR(INDEX(_Helper!P2:P501,MATCH(LARGE(_Helper!BH2:BH501,3),_Helper!BH2:BH501,0)),"-")</f>
        <v/>
      </c>
      <c r="S19" s="39">
        <f>IFERROR(INDEX(_Helper!Q2:Q501,MATCH(LARGE(_Helper!BH2:BH501,3),_Helper!BH2:BH501,0)),"-")</f>
        <v/>
      </c>
      <c r="T19" s="39">
        <f>IFERROR(INDEX(_Helper!R2:R501,MATCH(LARGE(_Helper!BH2:BH501,3),_Helper!BH2:BH501,0)),"-")</f>
        <v/>
      </c>
      <c r="U19" s="39">
        <f>IFERROR(INDEX(_Helper!S2:S501,MATCH(LARGE(_Helper!BH2:BH501,3),_Helper!BH2:BH501,0)),"-")</f>
        <v/>
      </c>
    </row>
    <row r="20" ht="19.5" customHeight="1" s="74">
      <c r="A20" s="63" t="n">
        <v>4</v>
      </c>
      <c r="B20" s="33">
        <f>IFERROR(INDEX(_Helper!A2:A501,MATCH(LARGE(_Helper!BH2:BH501,4),_Helper!BH2:BH501,0)),"-")</f>
        <v/>
      </c>
      <c r="C20" s="32">
        <f>IFERROR(INDEX(_Helper!B2:B501,MATCH(LARGE(_Helper!BH2:BH501,4),_Helper!BH2:BH501,0)),"-")</f>
        <v/>
      </c>
      <c r="D20" s="33">
        <f>IFERROR(INDEX(_Helper!C2:C501,MATCH(LARGE(_Helper!BH2:BH501,4),_Helper!BH2:BH501,0)),"-")</f>
        <v/>
      </c>
      <c r="E20" s="33">
        <f>IFERROR(INDEX(_Helper!D2:D501,MATCH(LARGE(_Helper!BH2:BH501,4),_Helper!BH2:BH501,0)),"-")</f>
        <v/>
      </c>
      <c r="F20" s="33">
        <f>IFERROR(INDEX(_Helper!E2:E501,MATCH(LARGE(_Helper!BH2:BH501,4),_Helper!BH2:BH501,0)),"-")</f>
        <v/>
      </c>
      <c r="G20" s="33">
        <f>IFERROR(INDEX(_Helper!F2:F501,MATCH(LARGE(_Helper!BH2:BH501,4),_Helper!BH2:BH501,0)),"-")</f>
        <v/>
      </c>
      <c r="H20" s="33">
        <f>IFERROR(INDEX(_Helper!G2:G501,MATCH(LARGE(_Helper!BH2:BH501,4),_Helper!BH2:BH501,0)),"-")</f>
        <v/>
      </c>
      <c r="I20" s="33">
        <f>IFERROR(INDEX(_Helper!H2:H501,MATCH(LARGE(_Helper!BH2:BH501,4),_Helper!BH2:BH501,0)),"-")</f>
        <v/>
      </c>
      <c r="J20" s="33">
        <f>IFERROR(INDEX(_Helper!I2:I501,MATCH(LARGE(_Helper!BH2:BH501,4),_Helper!BH2:BH501,0)),"-")</f>
        <v/>
      </c>
      <c r="K20" s="33">
        <f>IFERROR(INDEX(_Helper!J2:J501,MATCH(LARGE(_Helper!BH2:BH501,4),_Helper!BH2:BH501,0)),"-")</f>
        <v/>
      </c>
      <c r="L20" s="33">
        <f>IFERROR(INDEX(_Helper!K2:K501,MATCH(LARGE(_Helper!BH2:BH501,4),_Helper!BH2:BH501,0)),"-")</f>
        <v/>
      </c>
      <c r="M20" s="33">
        <f>IFERROR(INDEX(_Helper!L2:L501,MATCH(LARGE(_Helper!BH2:BH501,4),_Helper!BH2:BH501,0)),"-")</f>
        <v/>
      </c>
      <c r="N20" s="64">
        <f>IFERROR(INDEX(_Helper!BH2:BH501,MATCH(LARGE(_Helper!BH2:BH501,4),_Helper!BH2:BH501,0)),"-")</f>
        <v/>
      </c>
      <c r="O20" s="33">
        <f>IFERROR(INDEX(_Helper!M2:M501,MATCH(LARGE(_Helper!BH2:BH501,4),_Helper!BH2:BH501,0)),"-")</f>
        <v/>
      </c>
      <c r="P20" s="33">
        <f>IFERROR(INDEX(_Helper!N2:N501,MATCH(LARGE(_Helper!BH2:BH501,4),_Helper!BH2:BH501,0)),"-")</f>
        <v/>
      </c>
      <c r="Q20" s="33">
        <f>IFERROR(INDEX(_Helper!O2:O501,MATCH(LARGE(_Helper!BH2:BH501,4),_Helper!BH2:BH501,0)),"-")</f>
        <v/>
      </c>
      <c r="R20" s="33">
        <f>IFERROR(INDEX(_Helper!P2:P501,MATCH(LARGE(_Helper!BH2:BH501,4),_Helper!BH2:BH501,0)),"-")</f>
        <v/>
      </c>
      <c r="S20" s="33">
        <f>IFERROR(INDEX(_Helper!Q2:Q501,MATCH(LARGE(_Helper!BH2:BH501,4),_Helper!BH2:BH501,0)),"-")</f>
        <v/>
      </c>
      <c r="T20" s="33">
        <f>IFERROR(INDEX(_Helper!R2:R501,MATCH(LARGE(_Helper!BH2:BH501,4),_Helper!BH2:BH501,0)),"-")</f>
        <v/>
      </c>
      <c r="U20" s="33">
        <f>IFERROR(INDEX(_Helper!S2:S501,MATCH(LARGE(_Helper!BH2:BH501,4),_Helper!BH2:BH501,0)),"-")</f>
        <v/>
      </c>
    </row>
    <row r="21" ht="24" customHeight="1" s="74">
      <c r="A21" s="63" t="n">
        <v>5</v>
      </c>
      <c r="B21" s="39">
        <f>IFERROR(INDEX(_Helper!A2:A501,MATCH(LARGE(_Helper!BH2:BH501,5),_Helper!BH2:BH501,0)),"-")</f>
        <v/>
      </c>
      <c r="C21" s="38">
        <f>IFERROR(INDEX(_Helper!B2:B501,MATCH(LARGE(_Helper!BH2:BH501,5),_Helper!BH2:BH501,0)),"-")</f>
        <v/>
      </c>
      <c r="D21" s="39">
        <f>IFERROR(INDEX(_Helper!C2:C501,MATCH(LARGE(_Helper!BH2:BH501,5),_Helper!BH2:BH501,0)),"-")</f>
        <v/>
      </c>
      <c r="E21" s="39">
        <f>IFERROR(INDEX(_Helper!D2:D501,MATCH(LARGE(_Helper!BH2:BH501,5),_Helper!BH2:BH501,0)),"-")</f>
        <v/>
      </c>
      <c r="F21" s="39">
        <f>IFERROR(INDEX(_Helper!E2:E501,MATCH(LARGE(_Helper!BH2:BH501,5),_Helper!BH2:BH501,0)),"-")</f>
        <v/>
      </c>
      <c r="G21" s="39">
        <f>IFERROR(INDEX(_Helper!F2:F501,MATCH(LARGE(_Helper!BH2:BH501,5),_Helper!BH2:BH501,0)),"-")</f>
        <v/>
      </c>
      <c r="H21" s="39">
        <f>IFERROR(INDEX(_Helper!G2:G501,MATCH(LARGE(_Helper!BH2:BH501,5),_Helper!BH2:BH501,0)),"-")</f>
        <v/>
      </c>
      <c r="I21" s="39">
        <f>IFERROR(INDEX(_Helper!H2:H501,MATCH(LARGE(_Helper!BH2:BH501,5),_Helper!BH2:BH501,0)),"-")</f>
        <v/>
      </c>
      <c r="J21" s="39">
        <f>IFERROR(INDEX(_Helper!I2:I501,MATCH(LARGE(_Helper!BH2:BH501,5),_Helper!BH2:BH501,0)),"-")</f>
        <v/>
      </c>
      <c r="K21" s="39">
        <f>IFERROR(INDEX(_Helper!J2:J501,MATCH(LARGE(_Helper!BH2:BH501,5),_Helper!BH2:BH501,0)),"-")</f>
        <v/>
      </c>
      <c r="L21" s="39">
        <f>IFERROR(INDEX(_Helper!K2:K501,MATCH(LARGE(_Helper!BH2:BH501,5),_Helper!BH2:BH501,0)),"-")</f>
        <v/>
      </c>
      <c r="M21" s="39">
        <f>IFERROR(INDEX(_Helper!L2:L501,MATCH(LARGE(_Helper!BH2:BH501,5),_Helper!BH2:BH501,0)),"-")</f>
        <v/>
      </c>
      <c r="N21" s="65">
        <f>IFERROR(INDEX(_Helper!BH2:BH501,MATCH(LARGE(_Helper!BH2:BH501,5),_Helper!BH2:BH501,0)),"-")</f>
        <v/>
      </c>
      <c r="O21" s="39">
        <f>IFERROR(INDEX(_Helper!M2:M501,MATCH(LARGE(_Helper!BH2:BH501,5),_Helper!BH2:BH501,0)),"-")</f>
        <v/>
      </c>
      <c r="P21" s="39">
        <f>IFERROR(INDEX(_Helper!N2:N501,MATCH(LARGE(_Helper!BH2:BH501,5),_Helper!BH2:BH501,0)),"-")</f>
        <v/>
      </c>
      <c r="Q21" s="39">
        <f>IFERROR(INDEX(_Helper!O2:O501,MATCH(LARGE(_Helper!BH2:BH501,5),_Helper!BH2:BH501,0)),"-")</f>
        <v/>
      </c>
      <c r="R21" s="39">
        <f>IFERROR(INDEX(_Helper!P2:P501,MATCH(LARGE(_Helper!BH2:BH501,5),_Helper!BH2:BH501,0)),"-")</f>
        <v/>
      </c>
      <c r="S21" s="39">
        <f>IFERROR(INDEX(_Helper!Q2:Q501,MATCH(LARGE(_Helper!BH2:BH501,5),_Helper!BH2:BH501,0)),"-")</f>
        <v/>
      </c>
      <c r="T21" s="39">
        <f>IFERROR(INDEX(_Helper!R2:R501,MATCH(LARGE(_Helper!BH2:BH501,5),_Helper!BH2:BH501,0)),"-")</f>
        <v/>
      </c>
      <c r="U21" s="39">
        <f>IFERROR(INDEX(_Helper!S2:S501,MATCH(LARGE(_Helper!BH2:BH501,5),_Helper!BH2:BH501,0)),"-")</f>
        <v/>
      </c>
    </row>
    <row r="22" ht="14.25" customHeight="1" s="74">
      <c r="A22" s="3" t="n"/>
    </row>
    <row r="23" ht="24" customHeight="1" s="74">
      <c r="A23" s="167" t="inlineStr">
        <is>
          <t xml:space="preserve">  📅  ESTIMATED SCHEDULE &amp; MANHOUR COST  —  from closest match</t>
        </is>
      </c>
      <c r="R23" s="3" t="n"/>
      <c r="S23" s="3" t="n"/>
      <c r="T23" s="3" t="n"/>
      <c r="U23" s="3" t="n"/>
    </row>
    <row r="24" ht="19.5" customHeight="1" s="74">
      <c r="A24" s="108" t="inlineStr">
        <is>
          <t xml:space="preserve">  CLOSEST MATCH REFERENCE PROJECT</t>
        </is>
      </c>
      <c r="B24" s="70" t="n"/>
      <c r="C24" s="70" t="n"/>
      <c r="D24" s="70" t="n"/>
      <c r="E24" s="70" t="n"/>
      <c r="F24" s="70" t="n"/>
      <c r="G24" s="70" t="n"/>
      <c r="H24" s="70" t="n"/>
      <c r="I24" s="70" t="n"/>
      <c r="J24" s="70" t="n"/>
      <c r="K24" s="70" t="n"/>
      <c r="L24" s="70" t="n"/>
      <c r="M24" s="70" t="n"/>
      <c r="N24" s="70" t="n"/>
      <c r="O24" s="70" t="n"/>
      <c r="P24" s="70" t="n"/>
      <c r="Q24" s="70" t="n"/>
      <c r="R24" s="3" t="n"/>
      <c r="S24" s="3" t="n"/>
      <c r="T24" s="3" t="n"/>
      <c r="U24" s="3" t="n"/>
    </row>
    <row r="25" ht="18" customHeight="1" s="74">
      <c r="A25" s="107" t="inlineStr">
        <is>
          <t>Project ID</t>
        </is>
      </c>
      <c r="B25" s="88" t="n"/>
      <c r="C25" s="88" t="n"/>
      <c r="D25" s="88" t="n"/>
      <c r="E25" s="107" t="inlineStr">
        <is>
          <t>Project Name</t>
        </is>
      </c>
      <c r="F25" s="88" t="n"/>
      <c r="G25" s="88" t="n"/>
      <c r="H25" s="88" t="n"/>
      <c r="I25" s="88" t="n"/>
      <c r="J25" s="88" t="n"/>
      <c r="K25" s="107" t="inlineStr">
        <is>
          <t>Client / Region</t>
        </is>
      </c>
      <c r="L25" s="88" t="n"/>
      <c r="M25" s="88" t="n"/>
      <c r="N25" s="88" t="n"/>
      <c r="O25" s="107" t="inlineStr">
        <is>
          <t>Match Score</t>
        </is>
      </c>
      <c r="P25" s="88" t="n"/>
      <c r="Q25" s="88" t="n"/>
      <c r="R25" s="3" t="n"/>
      <c r="S25" s="3" t="n"/>
      <c r="T25" s="3" t="n"/>
      <c r="U25" s="3" t="n"/>
    </row>
    <row r="26" ht="25.5" customHeight="1" s="74">
      <c r="A26" s="114">
        <f>IFERROR(INDEX(_Helper!A2:A501,MATCH(LARGE(_Helper!BH2:BH501,1),_Helper!BH2:BH501,0)),"-")</f>
        <v/>
      </c>
      <c r="B26" s="94" t="n"/>
      <c r="C26" s="94" t="n"/>
      <c r="D26" s="94" t="n"/>
      <c r="E26" s="130">
        <f>IFERROR(INDEX(_Helper!B2:B501,MATCH(LARGE(_Helper!BH2:BH501,1),_Helper!BH2:BH501,0)),"-")</f>
        <v/>
      </c>
      <c r="F26" s="94" t="n"/>
      <c r="G26" s="94" t="n"/>
      <c r="H26" s="94" t="n"/>
      <c r="I26" s="94" t="n"/>
      <c r="J26" s="94" t="n"/>
      <c r="K26" s="106">
        <f>IFERROR(INDEX(_Helper!CA2:CA501,MATCH(LARGE(_Helper!BH2:BH501,1),_Helper!BH2:BH501,0)),"-")</f>
        <v/>
      </c>
      <c r="L26" s="91" t="n"/>
      <c r="M26" s="91" t="n"/>
      <c r="N26" s="91" t="n"/>
      <c r="O26" s="102">
        <f>IFERROR(LARGE(_Helper!BH2:BH501,1),"-")</f>
        <v/>
      </c>
      <c r="P26" s="94" t="n"/>
      <c r="Q26" s="94" t="n"/>
      <c r="R26" s="3" t="n"/>
      <c r="S26" s="3" t="n"/>
      <c r="T26" s="3" t="n"/>
      <c r="U26" s="3" t="n"/>
    </row>
    <row r="27" ht="21.75" customHeight="1" s="74">
      <c r="A27" s="92" t="inlineStr">
        <is>
          <t>Mechanical Engineering</t>
        </is>
      </c>
      <c r="B27" s="91" t="n"/>
      <c r="C27" s="91" t="n"/>
      <c r="D27" s="91" t="n"/>
      <c r="E27" s="91" t="n"/>
      <c r="F27" s="91" t="n"/>
      <c r="G27" s="91" t="n"/>
      <c r="H27" s="91" t="n"/>
      <c r="I27" s="91" t="n"/>
      <c r="J27" s="91" t="n"/>
      <c r="K27" s="111">
        <f>IFERROR(INDEX(_Helper!M2:M501,MATCH(LARGE(_Helper!BH2:BH501,1),_Helper!BH2:BH501,0)),"-")</f>
        <v/>
      </c>
      <c r="L27" s="94" t="n"/>
      <c r="M27" s="94" t="n"/>
      <c r="N27" s="94" t="n"/>
      <c r="O27" s="3" t="n"/>
      <c r="P27" s="3" t="n"/>
      <c r="Q27" s="3" t="n"/>
      <c r="R27" s="3" t="n"/>
      <c r="S27" s="3" t="n"/>
      <c r="T27" s="3" t="n"/>
      <c r="U27" s="3" t="n"/>
    </row>
    <row r="28" ht="21.75" customHeight="1" s="74">
      <c r="A28" s="92" t="inlineStr">
        <is>
          <t>Controls Engineering</t>
        </is>
      </c>
      <c r="B28" s="91" t="n"/>
      <c r="C28" s="91" t="n"/>
      <c r="D28" s="91" t="n"/>
      <c r="E28" s="91" t="n"/>
      <c r="F28" s="91" t="n"/>
      <c r="G28" s="91" t="n"/>
      <c r="H28" s="91" t="n"/>
      <c r="I28" s="91" t="n"/>
      <c r="J28" s="91" t="n"/>
      <c r="K28" s="111">
        <f>IFERROR(INDEX(_Helper!N2:N501,MATCH(LARGE(_Helper!BH2:BH501,1),_Helper!BH2:BH501,0)),"-")</f>
        <v/>
      </c>
      <c r="L28" s="94" t="n"/>
      <c r="M28" s="94" t="n"/>
      <c r="N28" s="94" t="n"/>
      <c r="O28" s="3" t="n"/>
      <c r="P28" s="3" t="n"/>
      <c r="Q28" s="3" t="n"/>
      <c r="R28" s="3" t="n"/>
      <c r="S28" s="3" t="n"/>
      <c r="T28" s="3" t="n"/>
      <c r="U28" s="3" t="n"/>
    </row>
    <row r="29" ht="21.75" customHeight="1" s="74">
      <c r="A29" s="92" t="inlineStr">
        <is>
          <t>Systems Engineering</t>
        </is>
      </c>
      <c r="B29" s="91" t="n"/>
      <c r="C29" s="91" t="n"/>
      <c r="D29" s="91" t="n"/>
      <c r="E29" s="91" t="n"/>
      <c r="F29" s="91" t="n"/>
      <c r="G29" s="91" t="n"/>
      <c r="H29" s="91" t="n"/>
      <c r="I29" s="91" t="n"/>
      <c r="J29" s="91" t="n"/>
      <c r="K29" s="111">
        <f>IFERROR(INDEX(_Helper!O2:O501,MATCH(LARGE(_Helper!BH2:BH501,1),_Helper!BH2:BH501,0)),"-")</f>
        <v/>
      </c>
      <c r="L29" s="94" t="n"/>
      <c r="M29" s="94" t="n"/>
      <c r="N29" s="94" t="n"/>
      <c r="O29" s="3" t="n"/>
      <c r="P29" s="3" t="n"/>
      <c r="Q29" s="3" t="n"/>
      <c r="R29" s="3" t="n"/>
      <c r="S29" s="3" t="n"/>
      <c r="T29" s="3" t="n"/>
      <c r="U29" s="3" t="n"/>
    </row>
    <row r="30" ht="21.75" customHeight="1" s="74">
      <c r="A30" s="92" t="inlineStr">
        <is>
          <t>Software Engineering</t>
        </is>
      </c>
      <c r="B30" s="91" t="n"/>
      <c r="C30" s="91" t="n"/>
      <c r="D30" s="91" t="n"/>
      <c r="E30" s="91" t="n"/>
      <c r="F30" s="91" t="n"/>
      <c r="G30" s="91" t="n"/>
      <c r="H30" s="91" t="n"/>
      <c r="I30" s="91" t="n"/>
      <c r="J30" s="91" t="n"/>
      <c r="K30" s="111">
        <f>IFERROR(INDEX(_Helper!P2:P501,MATCH(LARGE(_Helper!BH2:BH501,1),_Helper!BH2:BH501,0)),"-")</f>
        <v/>
      </c>
      <c r="L30" s="94" t="n"/>
      <c r="M30" s="94" t="n"/>
      <c r="N30" s="94" t="n"/>
      <c r="O30" s="3" t="n"/>
      <c r="P30" s="3" t="n"/>
      <c r="Q30" s="3" t="n"/>
      <c r="R30" s="3" t="n"/>
      <c r="S30" s="3" t="n"/>
      <c r="T30" s="3" t="n"/>
      <c r="U30" s="3" t="n"/>
    </row>
    <row r="31" ht="21.75" customHeight="1" s="74">
      <c r="A31" s="92" t="inlineStr">
        <is>
          <t>M&amp;E Installation</t>
        </is>
      </c>
      <c r="B31" s="91" t="n"/>
      <c r="C31" s="91" t="n"/>
      <c r="D31" s="91" t="n"/>
      <c r="E31" s="91" t="n"/>
      <c r="F31" s="91" t="n"/>
      <c r="G31" s="91" t="n"/>
      <c r="H31" s="91" t="n"/>
      <c r="I31" s="91" t="n"/>
      <c r="J31" s="91" t="n"/>
      <c r="K31" s="111">
        <f>IFERROR(INDEX(_Helper!Q2:Q501,MATCH(LARGE(_Helper!BH2:BH501,1),_Helper!BH2:BH501,0)),"-")</f>
        <v/>
      </c>
      <c r="L31" s="94" t="n"/>
      <c r="M31" s="94" t="n"/>
      <c r="N31" s="94" t="n"/>
      <c r="O31" s="3" t="n"/>
      <c r="P31" s="3" t="n"/>
      <c r="Q31" s="3" t="n"/>
      <c r="R31" s="3" t="n"/>
      <c r="S31" s="3" t="n"/>
      <c r="T31" s="3" t="n"/>
      <c r="U31" s="3" t="n"/>
    </row>
    <row r="32" ht="21.75" customHeight="1" s="74">
      <c r="A32" s="92" t="inlineStr">
        <is>
          <t>Commissioning</t>
        </is>
      </c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111">
        <f>IFERROR(INDEX(_Helper!R2:R501,MATCH(LARGE(_Helper!BH2:BH501,1),_Helper!BH2:BH501,0)),"-")</f>
        <v/>
      </c>
      <c r="L32" s="94" t="n"/>
      <c r="M32" s="94" t="n"/>
      <c r="N32" s="94" t="n"/>
      <c r="O32" s="3" t="n"/>
      <c r="P32" s="3" t="n"/>
      <c r="Q32" s="3" t="n"/>
      <c r="R32" s="3" t="n"/>
      <c r="S32" s="3" t="n"/>
      <c r="T32" s="3" t="n"/>
      <c r="U32" s="3" t="n"/>
    </row>
    <row r="33" ht="21.75" customHeight="1" s="74">
      <c r="A33" s="116" t="inlineStr">
        <is>
          <t>TOTAL PROJECT TIMELINE</t>
        </is>
      </c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103">
        <f>IFERROR(INDEX(_Helper!S2:S501,MATCH(LARGE(_Helper!BH2:BH501,1),_Helper!BH2:BH501,0)),"-")</f>
        <v/>
      </c>
      <c r="L33" s="94" t="n"/>
      <c r="M33" s="94" t="n"/>
      <c r="N33" s="94" t="n"/>
      <c r="O33" s="3" t="n"/>
      <c r="P33" s="3" t="n"/>
      <c r="Q33" s="3" t="n"/>
      <c r="R33" s="3" t="n"/>
      <c r="S33" s="3" t="n"/>
      <c r="T33" s="3" t="n"/>
      <c r="U33" s="3" t="n"/>
    </row>
    <row r="34" ht="21.75" customHeight="1" s="74" thickBot="1">
      <c r="A34" s="92" t="inlineStr">
        <is>
          <t>Project Value (closest match)</t>
        </is>
      </c>
      <c r="B34" s="91" t="n"/>
      <c r="C34" s="91" t="n"/>
      <c r="D34" s="91" t="n"/>
      <c r="E34" s="91" t="n"/>
      <c r="F34" s="91" t="n"/>
      <c r="G34" s="91" t="n"/>
      <c r="H34" s="91" t="n"/>
      <c r="I34" s="91" t="n"/>
      <c r="J34" s="91" t="n"/>
      <c r="K34" s="128">
        <f>IFERROR(INDEX(_Helper!T2:T501,MATCH(LARGE(_Helper!BH2:BH501,1),_Helper!BH2:BH501,0))&amp;" "&amp;TEXT(INDEX(_Helper!BY2:BY501,MATCH(LARGE(_Helper!BH2:BH501,1),_Helper!BH2:BH501,0)),"#,##0.00")&amp;" M","-")</f>
        <v/>
      </c>
      <c r="L34" s="94" t="n"/>
      <c r="M34" s="94" t="n"/>
      <c r="N34" s="94" t="n"/>
      <c r="O34" s="168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P34" s="94" t="n"/>
      <c r="Q34" s="94" t="n"/>
      <c r="R34" s="3" t="n"/>
      <c r="S34" s="3" t="n"/>
      <c r="T34" s="3" t="n"/>
      <c r="U34" s="3" t="n"/>
    </row>
    <row r="35" ht="18" customHeight="1" s="74" thickBot="1">
      <c r="A35" s="107" t="inlineStr">
        <is>
          <t>MANHOUR COST PROFILE  —  closest match</t>
        </is>
      </c>
      <c r="B35" s="88" t="n"/>
      <c r="C35" s="88" t="n"/>
      <c r="D35" s="88" t="n"/>
      <c r="E35" s="88" t="n"/>
      <c r="F35" s="88" t="n"/>
      <c r="G35" s="88" t="n"/>
      <c r="H35" s="88" t="n"/>
      <c r="I35" s="88" t="n"/>
      <c r="J35" s="88" t="n"/>
      <c r="K35" s="107" t="inlineStr">
        <is>
          <t>% of Project Cost</t>
        </is>
      </c>
      <c r="L35" s="88" t="n"/>
      <c r="M35" s="88" t="n"/>
      <c r="N35" s="88" t="n"/>
    </row>
    <row r="36" ht="21.75" customHeight="1" s="74" thickBot="1">
      <c r="A36" s="92" t="inlineStr">
        <is>
          <t>Mechanical Installation</t>
        </is>
      </c>
      <c r="B36" s="91" t="n"/>
      <c r="C36" s="91" t="n"/>
      <c r="D36" s="91" t="n"/>
      <c r="E36" s="91" t="n"/>
      <c r="F36" s="91" t="n"/>
      <c r="G36" s="91" t="n"/>
      <c r="H36" s="91" t="n"/>
      <c r="I36" s="91" t="n"/>
      <c r="J36" s="91" t="n"/>
      <c r="K36" s="93">
        <f>IFERROR(IF(INDEX(_Helper!A2:A501,MATCH(LARGE(_Helper!BH2:BH501,1),_Helper!BH2:BH501,0))="","-",INDEX(_Helper!BJ2:BJ501,MATCH(LARGE(_Helper!BH2:BH501,1),_Helper!BH2:BH501,0))),"-")</f>
        <v/>
      </c>
      <c r="L36" s="94" t="n"/>
      <c r="M36" s="94" t="n"/>
      <c r="N36" s="94" t="n"/>
    </row>
    <row r="37" ht="21.75" customHeight="1" s="74" thickBot="1">
      <c r="A37" s="92" t="inlineStr">
        <is>
          <t>Electrical Installation</t>
        </is>
      </c>
      <c r="B37" s="91" t="n"/>
      <c r="C37" s="91" t="n"/>
      <c r="D37" s="91" t="n"/>
      <c r="E37" s="91" t="n"/>
      <c r="F37" s="91" t="n"/>
      <c r="G37" s="91" t="n"/>
      <c r="H37" s="91" t="n"/>
      <c r="I37" s="91" t="n"/>
      <c r="J37" s="91" t="n"/>
      <c r="K37" s="93">
        <f>IFERROR(IF(INDEX(_Helper!A2:A501,MATCH(LARGE(_Helper!BH2:BH501,1),_Helper!BH2:BH501,0))="","-",INDEX(_Helper!BK2:BK501,MATCH(LARGE(_Helper!BH2:BH501,1),_Helper!BH2:BH501,0))),"-")</f>
        <v/>
      </c>
      <c r="L37" s="94" t="n"/>
      <c r="M37" s="94" t="n"/>
      <c r="N37" s="94" t="n"/>
    </row>
    <row r="38" ht="21.75" customHeight="1" s="74" thickBot="1">
      <c r="A38" s="92" t="inlineStr">
        <is>
          <t>Project Management</t>
        </is>
      </c>
      <c r="B38" s="91" t="n"/>
      <c r="C38" s="91" t="n"/>
      <c r="D38" s="91" t="n"/>
      <c r="E38" s="91" t="n"/>
      <c r="F38" s="91" t="n"/>
      <c r="G38" s="91" t="n"/>
      <c r="H38" s="91" t="n"/>
      <c r="I38" s="91" t="n"/>
      <c r="J38" s="91" t="n"/>
      <c r="K38" s="93">
        <f>IFERROR(IF(INDEX(_Helper!A2:A501,MATCH(LARGE(_Helper!BH2:BH501,1),_Helper!BH2:BH501,0))="","-",INDEX(_Helper!BL2:BL501,MATCH(LARGE(_Helper!BH2:BH501,1),_Helper!BH2:BH501,0))),"-")</f>
        <v/>
      </c>
      <c r="L38" s="94" t="n"/>
      <c r="M38" s="94" t="n"/>
      <c r="N38" s="94" t="n"/>
    </row>
    <row r="39" ht="21.75" customHeight="1" s="74" thickBot="1">
      <c r="A39" s="92" t="inlineStr">
        <is>
          <t>Systems Engineering</t>
        </is>
      </c>
      <c r="B39" s="91" t="n"/>
      <c r="C39" s="91" t="n"/>
      <c r="D39" s="91" t="n"/>
      <c r="E39" s="91" t="n"/>
      <c r="F39" s="91" t="n"/>
      <c r="G39" s="91" t="n"/>
      <c r="H39" s="91" t="n"/>
      <c r="I39" s="91" t="n"/>
      <c r="J39" s="91" t="n"/>
      <c r="K39" s="93">
        <f>IFERROR(IF(INDEX(_Helper!A2:A501,MATCH(LARGE(_Helper!BH2:BH501,1),_Helper!BH2:BH501,0))="","-",INDEX(_Helper!BM2:BM501,MATCH(LARGE(_Helper!BH2:BH501,1),_Helper!BH2:BH501,0))),"-")</f>
        <v/>
      </c>
      <c r="L39" s="94" t="n"/>
      <c r="M39" s="94" t="n"/>
      <c r="N39" s="94" t="n"/>
    </row>
    <row r="40" ht="21.75" customHeight="1" s="74" thickBot="1">
      <c r="A40" s="92" t="inlineStr">
        <is>
          <t>Mechanical Engineering</t>
        </is>
      </c>
      <c r="B40" s="91" t="n"/>
      <c r="C40" s="91" t="n"/>
      <c r="D40" s="91" t="n"/>
      <c r="E40" s="91" t="n"/>
      <c r="F40" s="91" t="n"/>
      <c r="G40" s="91" t="n"/>
      <c r="H40" s="91" t="n"/>
      <c r="I40" s="91" t="n"/>
      <c r="J40" s="91" t="n"/>
      <c r="K40" s="93">
        <f>IFERROR(IF(INDEX(_Helper!A2:A501,MATCH(LARGE(_Helper!BH2:BH501,1),_Helper!BH2:BH501,0))="","-",INDEX(_Helper!BN2:BN501,MATCH(LARGE(_Helper!BH2:BH501,1),_Helper!BH2:BH501,0))),"-")</f>
        <v/>
      </c>
      <c r="L40" s="94" t="n"/>
      <c r="M40" s="94" t="n"/>
      <c r="N40" s="94" t="n"/>
    </row>
    <row r="41" ht="21.75" customHeight="1" s="74" thickBot="1">
      <c r="A41" s="92" t="inlineStr">
        <is>
          <t>Structural Engineering</t>
        </is>
      </c>
      <c r="B41" s="91" t="n"/>
      <c r="C41" s="91" t="n"/>
      <c r="D41" s="91" t="n"/>
      <c r="E41" s="91" t="n"/>
      <c r="F41" s="91" t="n"/>
      <c r="G41" s="91" t="n"/>
      <c r="H41" s="91" t="n"/>
      <c r="I41" s="91" t="n"/>
      <c r="J41" s="91" t="n"/>
      <c r="K41" s="93">
        <f>IFERROR(IF(INDEX(_Helper!A2:A501,MATCH(LARGE(_Helper!BH2:BH501,1),_Helper!BH2:BH501,0))="","-",INDEX(_Helper!BO2:BO501,MATCH(LARGE(_Helper!BH2:BH501,1),_Helper!BH2:BH501,0))),"-")</f>
        <v/>
      </c>
      <c r="L41" s="94" t="n"/>
      <c r="M41" s="94" t="n"/>
      <c r="N41" s="94" t="n"/>
    </row>
    <row r="42" ht="21.75" customHeight="1" s="74" thickBot="1">
      <c r="A42" s="92" t="inlineStr">
        <is>
          <t>Site Supervision</t>
        </is>
      </c>
      <c r="B42" s="91" t="n"/>
      <c r="C42" s="91" t="n"/>
      <c r="D42" s="91" t="n"/>
      <c r="E42" s="91" t="n"/>
      <c r="F42" s="91" t="n"/>
      <c r="G42" s="91" t="n"/>
      <c r="H42" s="91" t="n"/>
      <c r="I42" s="91" t="n"/>
      <c r="J42" s="91" t="n"/>
      <c r="K42" s="93">
        <f>IFERROR(IF(INDEX(_Helper!A2:A501,MATCH(LARGE(_Helper!BH2:BH501,1),_Helper!BH2:BH501,0))="","-",INDEX(_Helper!BP2:BP501,MATCH(LARGE(_Helper!BH2:BH501,1),_Helper!BH2:BH501,0))),"-")</f>
        <v/>
      </c>
      <c r="L42" s="94" t="n"/>
      <c r="M42" s="94" t="n"/>
      <c r="N42" s="94" t="n"/>
    </row>
    <row r="43" ht="21.75" customHeight="1" s="74" thickBot="1">
      <c r="A43" s="92" t="inlineStr">
        <is>
          <t>Controls Commissioning</t>
        </is>
      </c>
      <c r="B43" s="91" t="n"/>
      <c r="C43" s="91" t="n"/>
      <c r="D43" s="91" t="n"/>
      <c r="E43" s="91" t="n"/>
      <c r="F43" s="91" t="n"/>
      <c r="G43" s="91" t="n"/>
      <c r="H43" s="91" t="n"/>
      <c r="I43" s="91" t="n"/>
      <c r="J43" s="91" t="n"/>
      <c r="K43" s="93">
        <f>IFERROR(IF(INDEX(_Helper!A2:A501,MATCH(LARGE(_Helper!BH2:BH501,1),_Helper!BH2:BH501,0))="","-",INDEX(_Helper!BQ2:BQ501,MATCH(LARGE(_Helper!BH2:BH501,1),_Helper!BH2:BH501,0))),"-")</f>
        <v/>
      </c>
      <c r="L43" s="94" t="n"/>
      <c r="M43" s="94" t="n"/>
      <c r="N43" s="94" t="n"/>
    </row>
    <row r="44" ht="21.75" customHeight="1" s="74" thickBot="1">
      <c r="A44" s="92" t="inlineStr">
        <is>
          <t>Systems Commissioning</t>
        </is>
      </c>
      <c r="B44" s="91" t="n"/>
      <c r="C44" s="91" t="n"/>
      <c r="D44" s="91" t="n"/>
      <c r="E44" s="91" t="n"/>
      <c r="F44" s="91" t="n"/>
      <c r="G44" s="91" t="n"/>
      <c r="H44" s="91" t="n"/>
      <c r="I44" s="91" t="n"/>
      <c r="J44" s="91" t="n"/>
      <c r="K44" s="93">
        <f>IFERROR(IF(INDEX(_Helper!A2:A501,MATCH(LARGE(_Helper!BH2:BH501,1),_Helper!BH2:BH501,0))="","-",INDEX(_Helper!BR2:BR501,MATCH(LARGE(_Helper!BH2:BH501,1),_Helper!BH2:BH501,0))),"-")</f>
        <v/>
      </c>
      <c r="L44" s="94" t="n"/>
      <c r="M44" s="94" t="n"/>
      <c r="N44" s="94" t="n"/>
    </row>
    <row r="45" ht="21.75" customHeight="1" s="74" thickBot="1">
      <c r="A45" s="92" t="inlineStr">
        <is>
          <t>Service Commissioning</t>
        </is>
      </c>
      <c r="B45" s="91" t="n"/>
      <c r="C45" s="91" t="n"/>
      <c r="D45" s="91" t="n"/>
      <c r="E45" s="91" t="n"/>
      <c r="F45" s="91" t="n"/>
      <c r="G45" s="91" t="n"/>
      <c r="H45" s="91" t="n"/>
      <c r="I45" s="91" t="n"/>
      <c r="J45" s="91" t="n"/>
      <c r="K45" s="93">
        <f>IFERROR(IF(INDEX(_Helper!A2:A501,MATCH(LARGE(_Helper!BH2:BH501,1),_Helper!BH2:BH501,0))="","-",INDEX(_Helper!BS2:BS501,MATCH(LARGE(_Helper!BH2:BH501,1),_Helper!BH2:BH501,0))),"-")</f>
        <v/>
      </c>
      <c r="L45" s="94" t="n"/>
      <c r="M45" s="94" t="n"/>
      <c r="N45" s="94" t="n"/>
    </row>
    <row r="46" ht="21.75" customHeight="1" s="74" thickBot="1">
      <c r="A46" s="92" t="inlineStr">
        <is>
          <t>Controls Engineering</t>
        </is>
      </c>
      <c r="B46" s="91" t="n"/>
      <c r="C46" s="91" t="n"/>
      <c r="D46" s="91" t="n"/>
      <c r="E46" s="91" t="n"/>
      <c r="F46" s="91" t="n"/>
      <c r="G46" s="91" t="n"/>
      <c r="H46" s="91" t="n"/>
      <c r="I46" s="91" t="n"/>
      <c r="J46" s="91" t="n"/>
      <c r="K46" s="93">
        <f>IFERROR(IF(INDEX(_Helper!A2:A501,MATCH(LARGE(_Helper!BH2:BH501,1),_Helper!BH2:BH501,0))="","-",INDEX(_Helper!BT2:BT501,MATCH(LARGE(_Helper!BH2:BH501,1),_Helper!BH2:BH501,0))),"-")</f>
        <v/>
      </c>
      <c r="L46" s="94" t="n"/>
      <c r="M46" s="94" t="n"/>
      <c r="N46" s="94" t="n"/>
    </row>
    <row r="47" ht="21.75" customHeight="1" s="74" thickBot="1">
      <c r="A47" s="92" t="inlineStr">
        <is>
          <t>Controls Purchase</t>
        </is>
      </c>
      <c r="B47" s="91" t="n"/>
      <c r="C47" s="91" t="n"/>
      <c r="D47" s="91" t="n"/>
      <c r="E47" s="91" t="n"/>
      <c r="F47" s="91" t="n"/>
      <c r="G47" s="91" t="n"/>
      <c r="H47" s="91" t="n"/>
      <c r="I47" s="91" t="n"/>
      <c r="J47" s="91" t="n"/>
      <c r="K47" s="93">
        <f>IFERROR(IF(INDEX(_Helper!A2:A501,MATCH(LARGE(_Helper!BH2:BH501,1),_Helper!BH2:BH501,0))="","-",INDEX(_Helper!BU2:BU501,MATCH(LARGE(_Helper!BH2:BH501,1),_Helper!BH2:BH501,0))),"-")</f>
        <v/>
      </c>
      <c r="L47" s="94" t="n"/>
      <c r="M47" s="94" t="n"/>
      <c r="N47" s="94" t="n"/>
    </row>
    <row r="48" ht="21.75" customHeight="1" s="74" thickBot="1">
      <c r="A48" s="92" t="inlineStr">
        <is>
          <t>Software Engineering</t>
        </is>
      </c>
      <c r="B48" s="91" t="n"/>
      <c r="C48" s="91" t="n"/>
      <c r="D48" s="91" t="n"/>
      <c r="E48" s="91" t="n"/>
      <c r="F48" s="91" t="n"/>
      <c r="G48" s="91" t="n"/>
      <c r="H48" s="91" t="n"/>
      <c r="I48" s="91" t="n"/>
      <c r="J48" s="91" t="n"/>
      <c r="K48" s="93">
        <f>IFERROR(IF(INDEX(_Helper!A2:A501,MATCH(LARGE(_Helper!BH2:BH501,1),_Helper!BH2:BH501,0))="","-",INDEX(_Helper!BV2:BV501,MATCH(LARGE(_Helper!BH2:BH501,1),_Helper!BH2:BH501,0))),"-")</f>
        <v/>
      </c>
      <c r="L48" s="94" t="n"/>
      <c r="M48" s="94" t="n"/>
      <c r="N48" s="94" t="n"/>
    </row>
    <row r="49" ht="21.75" customHeight="1" s="74" thickBot="1">
      <c r="A49" s="92" t="inlineStr">
        <is>
          <t>Miscellaneous</t>
        </is>
      </c>
      <c r="B49" s="91" t="n"/>
      <c r="C49" s="91" t="n"/>
      <c r="D49" s="91" t="n"/>
      <c r="E49" s="91" t="n"/>
      <c r="F49" s="91" t="n"/>
      <c r="G49" s="91" t="n"/>
      <c r="H49" s="91" t="n"/>
      <c r="I49" s="91" t="n"/>
      <c r="J49" s="91" t="n"/>
      <c r="K49" s="93">
        <f>IFERROR(IF(INDEX(_Helper!A2:A501,MATCH(LARGE(_Helper!BH2:BH501,1),_Helper!BH2:BH501,0))="","-",INDEX(_Helper!BW2:BW501,MATCH(LARGE(_Helper!BH2:BH501,1),_Helper!BH2:BH501,0))),"-")</f>
        <v/>
      </c>
      <c r="L49" s="94" t="n"/>
      <c r="M49" s="94" t="n"/>
      <c r="N49" s="94" t="n"/>
    </row>
    <row r="50" ht="21.75" customHeight="1" s="74" thickBot="1">
      <c r="A50" s="116" t="inlineStr">
        <is>
          <t>TOTAL MANHOUR COST</t>
        </is>
      </c>
      <c r="B50" s="91" t="n"/>
      <c r="C50" s="91" t="n"/>
      <c r="D50" s="91" t="n"/>
      <c r="E50" s="91" t="n"/>
      <c r="F50" s="91" t="n"/>
      <c r="G50" s="91" t="n"/>
      <c r="H50" s="91" t="n"/>
      <c r="I50" s="91" t="n"/>
      <c r="J50" s="91" t="n"/>
      <c r="K50" s="112">
        <f>IFERROR(IF(INDEX(_Helper!A2:A501,MATCH(LARGE(_Helper!BH2:BH501,1),_Helper!BH2:BH501,0))="","-",INDEX(_Helper!BX2:BX501,MATCH(LARGE(_Helper!BH2:BH501,1),_Helper!BH2:BH501,0))),"-")</f>
        <v/>
      </c>
      <c r="L50" s="94" t="n"/>
      <c r="M50" s="94" t="n"/>
      <c r="N50" s="94" t="n"/>
    </row>
    <row r="51" ht="15.75" customHeight="1" s="74">
      <c r="R51" s="3" t="n"/>
      <c r="S51" s="3" t="n"/>
      <c r="T51" s="3" t="n"/>
      <c r="U51" s="3" t="n"/>
    </row>
    <row r="52" ht="15" customHeight="1" s="74">
      <c r="A52" s="3" t="n"/>
      <c r="B52" s="3" t="n"/>
      <c r="C52" s="3" t="n"/>
      <c r="D52" s="3" t="n"/>
      <c r="E52" s="3" t="n"/>
      <c r="F52" s="3" t="n"/>
      <c r="G52" s="3" t="n"/>
      <c r="H52" s="3" t="n"/>
      <c r="I52" s="3" t="n"/>
      <c r="J52" s="3" t="n"/>
      <c r="K52" s="3" t="n"/>
      <c r="L52" s="3" t="n"/>
      <c r="M52" s="3" t="n"/>
      <c r="N52" s="3" t="n"/>
      <c r="O52" s="3" t="n"/>
      <c r="P52" s="3" t="n"/>
      <c r="Q52" s="3" t="n"/>
      <c r="R52" s="3" t="n"/>
      <c r="S52" s="3" t="n"/>
      <c r="T52" s="3" t="n"/>
      <c r="U52" s="3" t="n"/>
    </row>
    <row r="53" ht="21.75" customHeight="1" s="74">
      <c r="A53" s="167" t="inlineStr">
        <is>
          <t xml:space="preserve">  SYSTEM MATCH SCORECARD  —  closest match breakdown</t>
        </is>
      </c>
      <c r="R53" s="3" t="n"/>
      <c r="S53" s="3" t="n"/>
      <c r="T53" s="3" t="n"/>
      <c r="U53" s="3" t="n"/>
    </row>
    <row r="54" ht="19.5" customHeight="1" s="74">
      <c r="A54" s="127" t="inlineStr">
        <is>
          <t>System</t>
        </is>
      </c>
      <c r="B54" s="88" t="n"/>
      <c r="C54" s="88" t="n"/>
      <c r="D54" s="88" t="n"/>
      <c r="E54" s="88" t="n"/>
      <c r="F54" s="87" t="inlineStr">
        <is>
          <t>Score</t>
        </is>
      </c>
      <c r="G54" s="88" t="n"/>
      <c r="H54" s="88" t="n"/>
      <c r="I54" s="87" t="inlineStr">
        <is>
          <t>Status</t>
        </is>
      </c>
      <c r="J54" s="88" t="n"/>
      <c r="K54" s="88" t="n"/>
      <c r="L54" s="87" t="inlineStr">
        <is>
          <t>Match Strength  ◀──────────────▶</t>
        </is>
      </c>
      <c r="M54" s="88" t="n"/>
      <c r="N54" s="88" t="n"/>
      <c r="O54" s="88" t="n"/>
      <c r="P54" s="88" t="n"/>
      <c r="Q54" s="88" t="n"/>
      <c r="R54" s="3" t="n"/>
      <c r="S54" s="3" t="n"/>
      <c r="T54" s="3" t="n"/>
      <c r="U54" s="3" t="n"/>
    </row>
    <row r="55" ht="24" customHeight="1" s="74">
      <c r="A55" s="95" t="inlineStr">
        <is>
          <t>Multishuttle</t>
        </is>
      </c>
      <c r="B55" s="72" t="n"/>
      <c r="C55" s="72" t="n"/>
      <c r="D55" s="72" t="n"/>
      <c r="E55" s="72" t="n"/>
      <c r="F55" s="126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5" s="94" t="n"/>
      <c r="H55" s="94" t="n"/>
      <c r="I55" s="125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5" s="91" t="n"/>
      <c r="K55" s="91" t="n"/>
      <c r="L55" s="109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5" s="91" t="n"/>
      <c r="N55" s="91" t="n"/>
      <c r="O55" s="91" t="n"/>
      <c r="P55" s="91" t="n"/>
      <c r="Q55" s="91" t="n"/>
      <c r="R55" s="3" t="n"/>
      <c r="S55" s="3" t="n"/>
      <c r="T55" s="3" t="n"/>
      <c r="U55" s="3" t="n"/>
    </row>
    <row r="56" ht="24" customHeight="1" s="74">
      <c r="A56" s="131" t="inlineStr">
        <is>
          <t>AutoStore</t>
        </is>
      </c>
      <c r="B56" s="72" t="n"/>
      <c r="C56" s="72" t="n"/>
      <c r="D56" s="72" t="n"/>
      <c r="E56" s="72" t="n"/>
      <c r="F56" s="126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56" s="94" t="n"/>
      <c r="H56" s="94" t="n"/>
      <c r="I56" s="90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56" s="91" t="n"/>
      <c r="K56" s="91" t="n"/>
      <c r="L56" s="96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56" s="91" t="n"/>
      <c r="N56" s="91" t="n"/>
      <c r="O56" s="91" t="n"/>
      <c r="P56" s="91" t="n"/>
      <c r="Q56" s="91" t="n"/>
      <c r="R56" s="3" t="n"/>
      <c r="S56" s="3" t="n"/>
      <c r="T56" s="3" t="n"/>
      <c r="U56" s="3" t="n"/>
    </row>
    <row r="57" ht="24" customHeight="1" s="74">
      <c r="A57" s="105" t="inlineStr">
        <is>
          <t>Pallet Shuttle</t>
        </is>
      </c>
      <c r="B57" s="72" t="n"/>
      <c r="C57" s="72" t="n"/>
      <c r="D57" s="72" t="n"/>
      <c r="E57" s="72" t="n"/>
      <c r="F57" s="126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57" s="94" t="n"/>
      <c r="H57" s="94" t="n"/>
      <c r="I57" s="125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57" s="91" t="n"/>
      <c r="K57" s="91" t="n"/>
      <c r="L57" s="109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57" s="91" t="n"/>
      <c r="N57" s="91" t="n"/>
      <c r="O57" s="91" t="n"/>
      <c r="P57" s="91" t="n"/>
      <c r="Q57" s="91" t="n"/>
      <c r="R57" s="3" t="n"/>
      <c r="S57" s="3" t="n"/>
      <c r="T57" s="3" t="n"/>
      <c r="U57" s="3" t="n"/>
    </row>
    <row r="58" ht="24" customHeight="1" s="74">
      <c r="A58" s="133" t="inlineStr">
        <is>
          <t>SRM Crane</t>
        </is>
      </c>
      <c r="B58" s="72" t="n"/>
      <c r="C58" s="72" t="n"/>
      <c r="D58" s="72" t="n"/>
      <c r="E58" s="72" t="n"/>
      <c r="F58" s="126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58" s="94" t="n"/>
      <c r="H58" s="94" t="n"/>
      <c r="I58" s="90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58" s="91" t="n"/>
      <c r="K58" s="91" t="n"/>
      <c r="L58" s="96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58" s="91" t="n"/>
      <c r="N58" s="91" t="n"/>
      <c r="O58" s="91" t="n"/>
      <c r="P58" s="91" t="n"/>
      <c r="Q58" s="91" t="n"/>
      <c r="R58" s="3" t="n"/>
      <c r="S58" s="3" t="n"/>
      <c r="T58" s="3" t="n"/>
      <c r="U58" s="3" t="n"/>
    </row>
    <row r="59" ht="24" customHeight="1" s="74">
      <c r="A59" s="89" t="inlineStr">
        <is>
          <t>Conveyors</t>
        </is>
      </c>
      <c r="B59" s="72" t="n"/>
      <c r="C59" s="72" t="n"/>
      <c r="D59" s="72" t="n"/>
      <c r="E59" s="72" t="n"/>
      <c r="F59" s="126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59" s="94" t="n"/>
      <c r="H59" s="94" t="n"/>
      <c r="I59" s="125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59" s="91" t="n"/>
      <c r="K59" s="91" t="n"/>
      <c r="L59" s="109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59" s="91" t="n"/>
      <c r="N59" s="91" t="n"/>
      <c r="O59" s="91" t="n"/>
      <c r="P59" s="91" t="n"/>
      <c r="Q59" s="91" t="n"/>
      <c r="R59" s="3" t="n"/>
      <c r="S59" s="3" t="n"/>
      <c r="T59" s="3" t="n"/>
      <c r="U59" s="3" t="n"/>
    </row>
    <row r="60" ht="24" customHeight="1" s="74">
      <c r="A60" s="132" t="inlineStr">
        <is>
          <t>Keywords</t>
        </is>
      </c>
      <c r="B60" s="72" t="n"/>
      <c r="C60" s="72" t="n"/>
      <c r="D60" s="72" t="n"/>
      <c r="E60" s="72" t="n"/>
      <c r="F60" s="126">
        <f>IF('Smart Search'!G13=0,"—",TEXT(IFERROR(INDEX(_Helper!BD2:BD501,MATCH(LARGE(_Helper!BH2:BH501,1),_Helper!BH2:BH501,0))/IFERROR(1/'Smart Search'!H13,0),0),"0%"))</f>
        <v/>
      </c>
      <c r="G60" s="94" t="n"/>
      <c r="H60" s="94" t="n"/>
      <c r="I60" s="90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60" s="91" t="n"/>
      <c r="K60" s="91" t="n"/>
      <c r="L60" s="96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60" s="91" t="n"/>
      <c r="N60" s="91" t="n"/>
      <c r="O60" s="91" t="n"/>
      <c r="P60" s="91" t="n"/>
      <c r="Q60" s="91" t="n"/>
      <c r="R60" s="3" t="n"/>
      <c r="S60" s="3" t="n"/>
      <c r="T60" s="3" t="n"/>
      <c r="U60" s="3" t="n"/>
    </row>
    <row r="61" ht="15.75" customHeight="1" s="74">
      <c r="A61" s="169" t="inlineStr">
        <is>
          <t xml:space="preserve">  ✅ Strong ≥ 70%     🟡 Partial 30–69%     ❌ Weak &lt; 30%     — System not included in search</t>
        </is>
      </c>
      <c r="R61" s="3" t="n"/>
      <c r="S61" s="3" t="n"/>
      <c r="T61" s="3" t="n"/>
      <c r="U61" s="3" t="n"/>
    </row>
  </sheetData>
  <mergeCells count="109">
    <mergeCell ref="I54:K54"/>
    <mergeCell ref="K48:N48"/>
    <mergeCell ref="I10:Q11"/>
    <mergeCell ref="I56:K56"/>
    <mergeCell ref="L8:Q8"/>
    <mergeCell ref="A43:J43"/>
    <mergeCell ref="K38:N38"/>
    <mergeCell ref="L54:Q54"/>
    <mergeCell ref="K49:N49"/>
    <mergeCell ref="I8:K8"/>
    <mergeCell ref="A34:J34"/>
    <mergeCell ref="L56:Q56"/>
    <mergeCell ref="K33:N33"/>
    <mergeCell ref="A11:G11"/>
    <mergeCell ref="A49:J49"/>
    <mergeCell ref="A36:J36"/>
    <mergeCell ref="A57:E57"/>
    <mergeCell ref="K26:N26"/>
    <mergeCell ref="I59:K59"/>
    <mergeCell ref="K35:N35"/>
    <mergeCell ref="A32:J32"/>
    <mergeCell ref="L5:Q5"/>
    <mergeCell ref="K39:N39"/>
    <mergeCell ref="A24:Q24"/>
    <mergeCell ref="A29:J29"/>
    <mergeCell ref="A38:J38"/>
    <mergeCell ref="L55:Q55"/>
    <mergeCell ref="K37:N37"/>
    <mergeCell ref="A44:J44"/>
    <mergeCell ref="A31:J31"/>
    <mergeCell ref="A40:J40"/>
    <mergeCell ref="A14:U14"/>
    <mergeCell ref="A55:E55"/>
    <mergeCell ref="A1:G1"/>
    <mergeCell ref="I9:Q9"/>
    <mergeCell ref="K32:N32"/>
    <mergeCell ref="K41:N41"/>
    <mergeCell ref="K50:N50"/>
    <mergeCell ref="A3:G3"/>
    <mergeCell ref="L57:Q57"/>
    <mergeCell ref="A26:D26"/>
    <mergeCell ref="A12:G12"/>
    <mergeCell ref="K43:N43"/>
    <mergeCell ref="A50:J50"/>
    <mergeCell ref="A58:E58"/>
    <mergeCell ref="F59:H59"/>
    <mergeCell ref="A42:J42"/>
    <mergeCell ref="F55:H55"/>
    <mergeCell ref="K27:N27"/>
    <mergeCell ref="A47:J47"/>
    <mergeCell ref="E10:G10"/>
    <mergeCell ref="K42:N42"/>
    <mergeCell ref="A60:E60"/>
    <mergeCell ref="O25:Q25"/>
    <mergeCell ref="A28:J28"/>
    <mergeCell ref="K28:N28"/>
    <mergeCell ref="A61:Q61"/>
    <mergeCell ref="I55:K55"/>
    <mergeCell ref="I5:K5"/>
    <mergeCell ref="A30:J30"/>
    <mergeCell ref="K25:N25"/>
    <mergeCell ref="F58:H58"/>
    <mergeCell ref="K30:N30"/>
    <mergeCell ref="L6:Q6"/>
    <mergeCell ref="E25:J25"/>
    <mergeCell ref="K45:N45"/>
    <mergeCell ref="F60:H60"/>
    <mergeCell ref="K29:N29"/>
    <mergeCell ref="F57:H57"/>
    <mergeCell ref="K47:N47"/>
    <mergeCell ref="A41:J41"/>
    <mergeCell ref="K31:N31"/>
    <mergeCell ref="K46:N46"/>
    <mergeCell ref="L7:Q7"/>
    <mergeCell ref="K40:N40"/>
    <mergeCell ref="A15:U15"/>
    <mergeCell ref="A53:Q53"/>
    <mergeCell ref="A27:J27"/>
    <mergeCell ref="A2:G2"/>
    <mergeCell ref="I57:K57"/>
    <mergeCell ref="I7:K7"/>
    <mergeCell ref="A33:J33"/>
    <mergeCell ref="A59:E59"/>
    <mergeCell ref="O26:Q26"/>
    <mergeCell ref="A35:J35"/>
    <mergeCell ref="I58:K58"/>
    <mergeCell ref="I12:Q12"/>
    <mergeCell ref="L58:Q58"/>
    <mergeCell ref="A54:E54"/>
    <mergeCell ref="K34:N34"/>
    <mergeCell ref="A39:J39"/>
    <mergeCell ref="L60:Q60"/>
    <mergeCell ref="F56:H56"/>
    <mergeCell ref="A48:J48"/>
    <mergeCell ref="E26:J26"/>
    <mergeCell ref="A56:E56"/>
    <mergeCell ref="I4:Q4"/>
    <mergeCell ref="A45:J45"/>
    <mergeCell ref="L59:Q59"/>
    <mergeCell ref="K36:N36"/>
    <mergeCell ref="I60:K60"/>
    <mergeCell ref="A25:D25"/>
    <mergeCell ref="O34:Q34"/>
    <mergeCell ref="A23:Q23"/>
    <mergeCell ref="I6:K6"/>
    <mergeCell ref="K44:N44"/>
    <mergeCell ref="F54:H54"/>
    <mergeCell ref="A46:J46"/>
    <mergeCell ref="A37:J37"/>
  </mergeCells>
  <conditionalFormatting sqref="A14:U14">
    <cfRule type="expression" priority="2" dxfId="0">
      <formula>AND(A14&lt;&gt;"",LEN(A14)&gt;0)</formula>
    </cfRule>
  </conditionalFormatting>
  <dataValidations count="6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  <dataValidation sqref="L5" showDropDown="0" showInputMessage="0" showErrorMessage="1" allowBlank="1" errorTitle="Invalid filter" error="Select a listed value, enter a year from 2000 to 2099, or clear the cell." type="list">
      <formula1>"All,Autostore,DMS GTP,Pallet Hotel,4WS,AMCAP,Others/complex"</formula1>
    </dataValidation>
    <dataValidation sqref="L8" showDropDown="0" showInputMessage="0" showErrorMessage="1" allowBlank="1" errorTitle="Invalid filter" error="Select a listed value, enter a year from 2000 to 2099, or clear the cell." type="list">
      <formula1>"All,Yes,No"</formula1>
    </dataValidation>
    <dataValidation sqref="L7" showDropDown="0" showInputMessage="0" showErrorMessage="1" allowBlank="1" errorTitle="Invalid filter" error="Select a listed value, enter a year from 2000 to 2099, or clear the cell." type="whole">
      <formula1>2000</formula1>
      <formula2>2099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K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 s="74">
      <c r="A1" s="4" t="inlineStr">
        <is>
          <t>Project ID</t>
        </is>
      </c>
      <c r="B1" s="4" t="inlineStr">
        <is>
          <t>Project Name</t>
        </is>
      </c>
      <c r="C1" s="4" t="inlineStr">
        <is>
          <t>MS Shuttles</t>
        </is>
      </c>
      <c r="D1" s="4" t="inlineStr">
        <is>
          <t>MS Tote Locs</t>
        </is>
      </c>
      <c r="E1" s="4" t="inlineStr">
        <is>
          <t>AS Robots</t>
        </is>
      </c>
      <c r="F1" s="4" t="inlineStr">
        <is>
          <t>AS Tote Locs</t>
        </is>
      </c>
      <c r="G1" s="4" t="inlineStr">
        <is>
          <t>PS Shuttles</t>
        </is>
      </c>
      <c r="H1" s="4" t="inlineStr">
        <is>
          <t>PS Pallet Locs</t>
        </is>
      </c>
      <c r="I1" s="4" t="inlineStr">
        <is>
          <t>SRM Cranes</t>
        </is>
      </c>
      <c r="J1" s="4" t="inlineStr">
        <is>
          <t>SRM Pallet Locs</t>
        </is>
      </c>
      <c r="K1" s="4" t="inlineStr">
        <is>
          <t>Case Conv (m)</t>
        </is>
      </c>
      <c r="L1" s="4" t="inlineStr">
        <is>
          <t>Pallet Conv (m)</t>
        </is>
      </c>
      <c r="M1" s="4" t="inlineStr">
        <is>
          <t>Mech wks</t>
        </is>
      </c>
      <c r="N1" s="4" t="inlineStr">
        <is>
          <t>Ctrl wks</t>
        </is>
      </c>
      <c r="O1" s="4" t="inlineStr">
        <is>
          <t>Sys wks</t>
        </is>
      </c>
      <c r="P1" s="4" t="inlineStr">
        <is>
          <t>SW wks</t>
        </is>
      </c>
      <c r="Q1" s="4" t="inlineStr">
        <is>
          <t>Install wks</t>
        </is>
      </c>
      <c r="R1" s="4" t="inlineStr">
        <is>
          <t>Commission wks</t>
        </is>
      </c>
      <c r="S1" s="4" t="inlineStr">
        <is>
          <t>Total wks</t>
        </is>
      </c>
      <c r="T1" s="4" t="inlineStr">
        <is>
          <t>Currency</t>
        </is>
      </c>
      <c r="U1" s="4" t="inlineStr">
        <is>
          <t>Value (M)</t>
        </is>
      </c>
      <c r="V1" s="4" t="inlineStr">
        <is>
          <t>Wt MS_Shut</t>
        </is>
      </c>
      <c r="W1" s="4" t="inlineStr">
        <is>
          <t>Wt MS_Tote</t>
        </is>
      </c>
      <c r="X1" s="4" t="inlineStr">
        <is>
          <t>Wt AS_Rob</t>
        </is>
      </c>
      <c r="Y1" s="4" t="inlineStr">
        <is>
          <t>Wt AS_Tote</t>
        </is>
      </c>
      <c r="Z1" s="4" t="inlineStr">
        <is>
          <t>Wt PS_Shut</t>
        </is>
      </c>
      <c r="AA1" s="4" t="inlineStr">
        <is>
          <t>Wt PS_Pal</t>
        </is>
      </c>
      <c r="AB1" s="4" t="inlineStr">
        <is>
          <t>Wt SRM_Cr</t>
        </is>
      </c>
      <c r="AC1" s="4" t="inlineStr">
        <is>
          <t>Wt SRM_Pal</t>
        </is>
      </c>
      <c r="AD1" s="4" t="inlineStr">
        <is>
          <t>Wt Conv_C</t>
        </is>
      </c>
      <c r="AE1" s="4" t="inlineStr">
        <is>
          <t>Wt Conv_P</t>
        </is>
      </c>
      <c r="AF1" s="4" t="inlineStr">
        <is>
          <t>Sim MS_Shut</t>
        </is>
      </c>
      <c r="AG1" s="4" t="inlineStr">
        <is>
          <t>Sim MS_Tote</t>
        </is>
      </c>
      <c r="AH1" s="4" t="inlineStr">
        <is>
          <t>Sim AS_Rob</t>
        </is>
      </c>
      <c r="AI1" s="4" t="inlineStr">
        <is>
          <t>Sim AS_Tote</t>
        </is>
      </c>
      <c r="AJ1" s="4" t="inlineStr">
        <is>
          <t>Sim PS_Shut</t>
        </is>
      </c>
      <c r="AK1" s="4" t="inlineStr">
        <is>
          <t>Sim PS_Pal</t>
        </is>
      </c>
      <c r="AL1" s="4" t="inlineStr">
        <is>
          <t>Sim SRM_Cr</t>
        </is>
      </c>
      <c r="AM1" s="4" t="inlineStr">
        <is>
          <t>Sim SRM_Pal</t>
        </is>
      </c>
      <c r="AN1" s="4" t="inlineStr">
        <is>
          <t>Sim Conv_C</t>
        </is>
      </c>
      <c r="AO1" s="4" t="inlineStr">
        <is>
          <t>Sim Conv_P</t>
        </is>
      </c>
      <c r="AP1" s="4" t="inlineStr">
        <is>
          <t>WtdScr MS_Shut</t>
        </is>
      </c>
      <c r="AQ1" s="4" t="inlineStr">
        <is>
          <t>WtdScr MS_Tote</t>
        </is>
      </c>
      <c r="AR1" s="4" t="inlineStr">
        <is>
          <t>WtdScr AS_Rob</t>
        </is>
      </c>
      <c r="AS1" s="4" t="inlineStr">
        <is>
          <t>WtdScr AS_Tote</t>
        </is>
      </c>
      <c r="AT1" s="4" t="inlineStr">
        <is>
          <t>WtdScr PS_Shut</t>
        </is>
      </c>
      <c r="AU1" s="4" t="inlineStr">
        <is>
          <t>WtdScr PS_Pal</t>
        </is>
      </c>
      <c r="AV1" s="4" t="inlineStr">
        <is>
          <t>WtdScr SRM_Cr</t>
        </is>
      </c>
      <c r="AW1" s="4" t="inlineStr">
        <is>
          <t>WtdScr SRM_Pal</t>
        </is>
      </c>
      <c r="AX1" s="4" t="inlineStr">
        <is>
          <t>WtdScr Conv_C</t>
        </is>
      </c>
      <c r="AY1" s="4" t="inlineStr">
        <is>
          <t>WtdScr Conv_P</t>
        </is>
      </c>
      <c r="AZ1" s="4" t="inlineStr">
        <is>
          <t>Auto Equipment</t>
        </is>
      </c>
      <c r="BA1" s="4" t="inlineStr">
        <is>
          <t>FINAL SCORE</t>
        </is>
      </c>
      <c r="BB1" s="4" t="inlineStr">
        <is>
          <t>Keyword Match</t>
        </is>
      </c>
      <c r="BC1" s="4" t="inlineStr">
        <is>
          <t>Keyword Wt</t>
        </is>
      </c>
      <c r="BD1" s="4" t="inlineStr">
        <is>
          <t>Keyword WtdScr</t>
        </is>
      </c>
      <c r="BE1" s="4" t="inlineStr">
        <is>
          <t>Raw Wtd Sum</t>
        </is>
      </c>
      <c r="BF1" s="4" t="inlineStr">
        <is>
          <t>Coverage Ratio</t>
        </is>
      </c>
      <c r="BG1" s="4" t="inlineStr">
        <is>
          <t>Penalty (core 25%, conv 25%)</t>
        </is>
      </c>
      <c r="BH1" s="4" t="inlineStr">
        <is>
          <t>Rank Score (tiebroken)</t>
        </is>
      </c>
      <c r="BI1" s="4" t="inlineStr">
        <is>
          <t>Unwanted Core Systems</t>
        </is>
      </c>
      <c r="BJ1" s="4" t="inlineStr">
        <is>
          <t>MH% Mech Inst</t>
        </is>
      </c>
      <c r="BK1" s="4" t="inlineStr">
        <is>
          <t>MH% Elec Inst</t>
        </is>
      </c>
      <c r="BL1" s="4" t="inlineStr">
        <is>
          <t>MH% Project Management</t>
        </is>
      </c>
      <c r="BM1" s="4" t="inlineStr">
        <is>
          <t>MH% Systems Eng</t>
        </is>
      </c>
      <c r="BN1" s="4" t="inlineStr">
        <is>
          <t>MH% Mechanical Eng</t>
        </is>
      </c>
      <c r="BO1" s="4" t="inlineStr">
        <is>
          <t>MH% Structural Engineering</t>
        </is>
      </c>
      <c r="BP1" s="4" t="inlineStr">
        <is>
          <t>MH% Site Sup</t>
        </is>
      </c>
      <c r="BQ1" s="4" t="inlineStr">
        <is>
          <t>MH% Controls Commissioning</t>
        </is>
      </c>
      <c r="BR1" s="4" t="inlineStr">
        <is>
          <t>MH% Systems Commissioning</t>
        </is>
      </c>
      <c r="BS1" s="4" t="inlineStr">
        <is>
          <t>MH% Service Commissioning</t>
        </is>
      </c>
      <c r="BT1" s="4" t="inlineStr">
        <is>
          <t>MH% Controls Eng</t>
        </is>
      </c>
      <c r="BU1" s="4" t="inlineStr">
        <is>
          <t>MH% Controls Purchase</t>
        </is>
      </c>
      <c r="BV1" s="4" t="inlineStr">
        <is>
          <t>MH% Software Eng</t>
        </is>
      </c>
      <c r="BW1" s="4" t="inlineStr">
        <is>
          <t>MH% Misc</t>
        </is>
      </c>
      <c r="BX1" s="4" t="inlineStr">
        <is>
          <t>MH% TOTAL</t>
        </is>
      </c>
      <c r="BY1" s="4" t="inlineStr">
        <is>
          <t>Value numeric</t>
        </is>
      </c>
      <c r="BZ1" s="4" t="inlineStr">
        <is>
          <t>Solution Type</t>
        </is>
      </c>
      <c r="CA1" s="4" t="inlineStr">
        <is>
          <t>Client / Region</t>
        </is>
      </c>
      <c r="CB1" s="4" t="inlineStr">
        <is>
          <t>Year</t>
        </is>
      </c>
      <c r="CC1" s="4" t="inlineStr">
        <is>
          <t>Won?</t>
        </is>
      </c>
      <c r="CD1" s="4" t="inlineStr">
        <is>
          <t>Value (USD M)</t>
        </is>
      </c>
    </row>
    <row r="2" ht="15" customHeight="1" s="74">
      <c r="A2" s="66">
        <f>INDEX(Projects[Project ID *],1)&amp;""</f>
        <v/>
      </c>
      <c r="B2" s="66">
        <f>INDEX(Projects[Project Name *],1)&amp;""</f>
        <v/>
      </c>
      <c r="C2" s="66">
        <f>INDEX(Projects[MS Shuttles],1)</f>
        <v/>
      </c>
      <c r="D2" s="66">
        <f>INDEX(Projects[MS Tote Locations],1)</f>
        <v/>
      </c>
      <c r="E2" s="66">
        <f>INDEX(Projects[AS Robots],1)</f>
        <v/>
      </c>
      <c r="F2" s="66">
        <f>INDEX(Projects[AS Tote Locations],1)</f>
        <v/>
      </c>
      <c r="G2" s="66">
        <f>INDEX(Projects[PS Shuttles],1)</f>
        <v/>
      </c>
      <c r="H2" s="66">
        <f>INDEX(Projects[PS Pallet Locations],1)</f>
        <v/>
      </c>
      <c r="I2" s="66">
        <f>INDEX(Projects[SRM Cranes],1)</f>
        <v/>
      </c>
      <c r="J2" s="66">
        <f>INDEX(Projects[SRM Pallet Locations],1)</f>
        <v/>
      </c>
      <c r="K2" s="66">
        <f>INDEX(Projects[Case Conv (m)],1)</f>
        <v/>
      </c>
      <c r="L2" s="66">
        <f>INDEX(Projects[Pallet Conv (m)],1)</f>
        <v/>
      </c>
      <c r="M2" s="66">
        <f>INDEX(Projects[Mech Eng (wks)],1)</f>
        <v/>
      </c>
      <c r="N2" s="66">
        <f>INDEX(Projects[Controls Eng (wks)],1)</f>
        <v/>
      </c>
      <c r="O2" s="66">
        <f>INDEX(Projects[Systems Eng (wks)],1)</f>
        <v/>
      </c>
      <c r="P2" s="66">
        <f>INDEX(Projects[Software Eng (wks)],1)</f>
        <v/>
      </c>
      <c r="Q2" s="66">
        <f>INDEX(Projects[M&amp;E Installation (wks)],1)</f>
        <v/>
      </c>
      <c r="R2" s="66">
        <f>INDEX(Projects[Commissioning (wks)],1)</f>
        <v/>
      </c>
      <c r="S2" s="66">
        <f>INDEX(Projects[Total Timeline (wks)],1)</f>
        <v/>
      </c>
      <c r="T2" s="66">
        <f>INDEX(Projects[Currency],1)&amp;""</f>
        <v/>
      </c>
      <c r="U2" s="67">
        <f>INDEX(Projects[Value (M)],1)</f>
        <v/>
      </c>
      <c r="V2" s="66">
        <f>IF('Smart Search'!B13=1,IFERROR(1/'Smart Search'!H13,0),0)</f>
        <v/>
      </c>
      <c r="W2" s="66">
        <f>IF('Smart Search'!B13=1,IFERROR(1/'Smart Search'!H13,0),0)</f>
        <v/>
      </c>
      <c r="X2" s="66">
        <f>IF('Smart Search'!C13=1,IFERROR(1/'Smart Search'!H13,0),0)</f>
        <v/>
      </c>
      <c r="Y2" s="66">
        <f>IF('Smart Search'!C13=1,IFERROR(1/'Smart Search'!H13,0),0)</f>
        <v/>
      </c>
      <c r="Z2" s="66">
        <f>IF('Smart Search'!D13=1,IFERROR(1/'Smart Search'!H13,0),0)</f>
        <v/>
      </c>
      <c r="AA2" s="66">
        <f>IF('Smart Search'!D13=1,IFERROR(1/'Smart Search'!H13,0),0)</f>
        <v/>
      </c>
      <c r="AB2" s="66">
        <f>IF('Smart Search'!E13=1,IFERROR(1/'Smart Search'!H13,0),0)</f>
        <v/>
      </c>
      <c r="AC2" s="66">
        <f>IF('Smart Search'!E13=1,IFERROR(1/'Smart Search'!H13,0),0)</f>
        <v/>
      </c>
      <c r="AD2" s="66">
        <f>IF('Smart Search'!F13=1,IFERROR(1/'Smart Search'!H13,0),0)</f>
        <v/>
      </c>
      <c r="AE2" s="66">
        <f>IF('Smart Search'!F13=1,IFERROR(1/'Smart Search'!H13,0),0)</f>
        <v/>
      </c>
      <c r="AF2" s="66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66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66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66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66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66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66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66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66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66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66">
        <f>AF2*V2</f>
        <v/>
      </c>
      <c r="AQ2" s="66">
        <f>AG2*W2</f>
        <v/>
      </c>
      <c r="AR2" s="66">
        <f>AH2*X2</f>
        <v/>
      </c>
      <c r="AS2" s="66">
        <f>AI2*Y2</f>
        <v/>
      </c>
      <c r="AT2" s="66">
        <f>AJ2*Z2</f>
        <v/>
      </c>
      <c r="AU2" s="66">
        <f>AK2*AA2</f>
        <v/>
      </c>
      <c r="AV2" s="66">
        <f>AL2*AB2</f>
        <v/>
      </c>
      <c r="AW2" s="66">
        <f>AM2*AC2</f>
        <v/>
      </c>
      <c r="AX2" s="66">
        <f>AN2*AD2</f>
        <v/>
      </c>
      <c r="AY2" s="66">
        <f>AO2*AE2</f>
        <v/>
      </c>
      <c r="AZ2" s="66">
        <f>INDEX(Projects[Automation Equipment],1)&amp;""</f>
        <v/>
      </c>
      <c r="BA2" s="66">
        <f>IF(OR(A2="",'Smart Search'!H13=0),"",MAX(0,BE2*BF2*MAX(0,1-BG2)))</f>
        <v/>
      </c>
      <c r="BB2" s="66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66">
        <f>IF('Smart Search'!G13=1,IFERROR(1/'Smart Search'!H13,0),0)</f>
        <v/>
      </c>
      <c r="BD2" s="66">
        <f>BB2*BC2</f>
        <v/>
      </c>
      <c r="BE2" s="66">
        <f>AP2+AQ2+AR2+AS2+AT2+AU2+AV2+AW2+AX2+AY2+BD2</f>
        <v/>
      </c>
      <c r="BF2" s="5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5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5">
        <f>IF(AND(A2&lt;&gt;"",OR('Smart Search'!$L$5="",'Smart Search'!$L$5="All",TRIM(BZ2)=TRIM('Smart Search'!$L$5)),OR(TRIM('Smart Search'!$L$6)="",TRIM('Smart Search'!$L$6)="All",ISNUMBER(SEARCH(SUBSTITUTE(SUBSTITUTE(SUBSTITUTE(TRIM('Smart Search'!$L$6),"~","~~"),"*","~*"),"?","~?"),CA2))),OR('Smart Search'!$L$7="",AND(CB2&lt;&gt;0,CB2='Smart Search'!$L$7)),OR('Smart Search'!$L$8="",'Smart Search'!$L$8="All",TRIM(CC2)=TRIM('Smart Search'!$L$8))),IF(BA2="","",BA2+ROW()*0.0000000001),"")</f>
        <v/>
      </c>
      <c r="BI2" s="5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5">
        <f>IF(A2="","",N(INDEX(Projects[Mech Inst],1)))</f>
        <v/>
      </c>
      <c r="BK2" s="5">
        <f>IF(A2="","",N(INDEX(Projects[Elec Inst],1)))</f>
        <v/>
      </c>
      <c r="BL2" s="5">
        <f>IF(A2="","",N(INDEX(Projects[Project Management],1)))</f>
        <v/>
      </c>
      <c r="BM2" s="5">
        <f>IF(A2="","",N(INDEX(Projects[Systems Eng],1)))</f>
        <v/>
      </c>
      <c r="BN2" s="5">
        <f>IF(A2="","",N(INDEX(Projects[Mechanical Eng],1)))</f>
        <v/>
      </c>
      <c r="BO2" s="5">
        <f>IF(A2="","",N(INDEX(Projects[Structural Engineering],1)))</f>
        <v/>
      </c>
      <c r="BP2" s="5">
        <f>IF(A2="","",N(INDEX(Projects[Site Sup],1)))</f>
        <v/>
      </c>
      <c r="BQ2" s="5">
        <f>IF(A2="","",N(INDEX(Projects[Controls Commissioning],1)))</f>
        <v/>
      </c>
      <c r="BR2" s="5">
        <f>IF(A2="","",N(INDEX(Projects[Systems Commissioning],1)))</f>
        <v/>
      </c>
      <c r="BS2" s="5">
        <f>IF(A2="","",N(INDEX(Projects[Service Commissioning],1)))</f>
        <v/>
      </c>
      <c r="BT2" s="5">
        <f>IF(A2="","",N(INDEX(Projects[Controls Eng],1)))</f>
        <v/>
      </c>
      <c r="BU2" s="5">
        <f>IF(A2="","",N(INDEX(Projects[Controls Purchase],1)))</f>
        <v/>
      </c>
      <c r="BV2" s="5">
        <f>IF(A2="","",N(INDEX(Projects[Software Eng],1)))</f>
        <v/>
      </c>
      <c r="BW2" s="5">
        <f>IF(A2="","",N(INDEX(Projects[Misc],1)))</f>
        <v/>
      </c>
      <c r="BX2" s="5">
        <f>IF(A2="","",SUM(BJ2:BW2))</f>
        <v/>
      </c>
      <c r="BY2" s="5">
        <f>IF(A2="","",IFERROR(IF(ISNUMBER(U2),U2,VALUE(SUBSTITUTE(SUBSTITUTE(SUBSTITUTE(UPPER(TRIM(U2)),"M",""),",","")," ",""))),0))</f>
        <v/>
      </c>
      <c r="BZ2" s="5">
        <f>INDEX(Projects[Solution Type],1)&amp;""</f>
        <v/>
      </c>
      <c r="CA2" s="5">
        <f>INDEX(Projects[Client / Region],1)&amp;""</f>
        <v/>
      </c>
      <c r="CB2" s="5">
        <f>INDEX(Projects[Year],1)</f>
        <v/>
      </c>
      <c r="CC2" s="5">
        <f>INDEX(Projects[Won?],1)&amp;""</f>
        <v/>
      </c>
      <c r="CD2" s="5">
        <f>INDEX(Projects[Value (USD M)],1)</f>
        <v/>
      </c>
    </row>
    <row r="3" ht="15" customHeight="1" s="74">
      <c r="A3" s="66">
        <f>INDEX(Projects[Project ID *],2)&amp;""</f>
        <v/>
      </c>
      <c r="B3" s="66">
        <f>INDEX(Projects[Project Name *],2)&amp;""</f>
        <v/>
      </c>
      <c r="C3" s="66">
        <f>INDEX(Projects[MS Shuttles],2)</f>
        <v/>
      </c>
      <c r="D3" s="66">
        <f>INDEX(Projects[MS Tote Locations],2)</f>
        <v/>
      </c>
      <c r="E3" s="66">
        <f>INDEX(Projects[AS Robots],2)</f>
        <v/>
      </c>
      <c r="F3" s="66">
        <f>INDEX(Projects[AS Tote Locations],2)</f>
        <v/>
      </c>
      <c r="G3" s="66">
        <f>INDEX(Projects[PS Shuttles],2)</f>
        <v/>
      </c>
      <c r="H3" s="66">
        <f>INDEX(Projects[PS Pallet Locations],2)</f>
        <v/>
      </c>
      <c r="I3" s="66">
        <f>INDEX(Projects[SRM Cranes],2)</f>
        <v/>
      </c>
      <c r="J3" s="66">
        <f>INDEX(Projects[SRM Pallet Locations],2)</f>
        <v/>
      </c>
      <c r="K3" s="66">
        <f>INDEX(Projects[Case Conv (m)],2)</f>
        <v/>
      </c>
      <c r="L3" s="66">
        <f>INDEX(Projects[Pallet Conv (m)],2)</f>
        <v/>
      </c>
      <c r="M3" s="66">
        <f>INDEX(Projects[Mech Eng (wks)],2)</f>
        <v/>
      </c>
      <c r="N3" s="66">
        <f>INDEX(Projects[Controls Eng (wks)],2)</f>
        <v/>
      </c>
      <c r="O3" s="66">
        <f>INDEX(Projects[Systems Eng (wks)],2)</f>
        <v/>
      </c>
      <c r="P3" s="66">
        <f>INDEX(Projects[Software Eng (wks)],2)</f>
        <v/>
      </c>
      <c r="Q3" s="66">
        <f>INDEX(Projects[M&amp;E Installation (wks)],2)</f>
        <v/>
      </c>
      <c r="R3" s="66">
        <f>INDEX(Projects[Commissioning (wks)],2)</f>
        <v/>
      </c>
      <c r="S3" s="66">
        <f>INDEX(Projects[Total Timeline (wks)],2)</f>
        <v/>
      </c>
      <c r="T3" s="66">
        <f>INDEX(Projects[Currency],2)&amp;""</f>
        <v/>
      </c>
      <c r="U3" s="67">
        <f>INDEX(Projects[Value (M)],2)</f>
        <v/>
      </c>
      <c r="V3" s="66">
        <f>IF('Smart Search'!B13=1,IFERROR(1/'Smart Search'!H13,0),0)</f>
        <v/>
      </c>
      <c r="W3" s="66">
        <f>IF('Smart Search'!B13=1,IFERROR(1/'Smart Search'!H13,0),0)</f>
        <v/>
      </c>
      <c r="X3" s="66">
        <f>IF('Smart Search'!C13=1,IFERROR(1/'Smart Search'!H13,0),0)</f>
        <v/>
      </c>
      <c r="Y3" s="66">
        <f>IF('Smart Search'!C13=1,IFERROR(1/'Smart Search'!H13,0),0)</f>
        <v/>
      </c>
      <c r="Z3" s="66">
        <f>IF('Smart Search'!D13=1,IFERROR(1/'Smart Search'!H13,0),0)</f>
        <v/>
      </c>
      <c r="AA3" s="66">
        <f>IF('Smart Search'!D13=1,IFERROR(1/'Smart Search'!H13,0),0)</f>
        <v/>
      </c>
      <c r="AB3" s="66">
        <f>IF('Smart Search'!E13=1,IFERROR(1/'Smart Search'!H13,0),0)</f>
        <v/>
      </c>
      <c r="AC3" s="66">
        <f>IF('Smart Search'!E13=1,IFERROR(1/'Smart Search'!H13,0),0)</f>
        <v/>
      </c>
      <c r="AD3" s="66">
        <f>IF('Smart Search'!F13=1,IFERROR(1/'Smart Search'!H13,0),0)</f>
        <v/>
      </c>
      <c r="AE3" s="66">
        <f>IF('Smart Search'!F13=1,IFERROR(1/'Smart Search'!H13,0),0)</f>
        <v/>
      </c>
      <c r="AF3" s="66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66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66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66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66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66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66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66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66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66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66">
        <f>AF3*V3</f>
        <v/>
      </c>
      <c r="AQ3" s="66">
        <f>AG3*W3</f>
        <v/>
      </c>
      <c r="AR3" s="66">
        <f>AH3*X3</f>
        <v/>
      </c>
      <c r="AS3" s="66">
        <f>AI3*Y3</f>
        <v/>
      </c>
      <c r="AT3" s="66">
        <f>AJ3*Z3</f>
        <v/>
      </c>
      <c r="AU3" s="66">
        <f>AK3*AA3</f>
        <v/>
      </c>
      <c r="AV3" s="66">
        <f>AL3*AB3</f>
        <v/>
      </c>
      <c r="AW3" s="66">
        <f>AM3*AC3</f>
        <v/>
      </c>
      <c r="AX3" s="66">
        <f>AN3*AD3</f>
        <v/>
      </c>
      <c r="AY3" s="66">
        <f>AO3*AE3</f>
        <v/>
      </c>
      <c r="AZ3" s="66">
        <f>INDEX(Projects[Automation Equipment],2)&amp;""</f>
        <v/>
      </c>
      <c r="BA3" s="66">
        <f>IF(OR(A3="",'Smart Search'!H13=0),"",MAX(0,BE3*BF3*MAX(0,1-BG3)))</f>
        <v/>
      </c>
      <c r="BB3" s="66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66">
        <f>IF('Smart Search'!G13=1,IFERROR(1/'Smart Search'!H13,0),0)</f>
        <v/>
      </c>
      <c r="BD3" s="66">
        <f>BB3*BC3</f>
        <v/>
      </c>
      <c r="BE3" s="66">
        <f>AP3+AQ3+AR3+AS3+AT3+AU3+AV3+AW3+AX3+AY3+BD3</f>
        <v/>
      </c>
      <c r="BF3" s="5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5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5">
        <f>IF(AND(A3&lt;&gt;"",OR('Smart Search'!$L$5="",'Smart Search'!$L$5="All",TRIM(BZ3)=TRIM('Smart Search'!$L$5)),OR(TRIM('Smart Search'!$L$6)="",TRIM('Smart Search'!$L$6)="All",ISNUMBER(SEARCH(SUBSTITUTE(SUBSTITUTE(SUBSTITUTE(TRIM('Smart Search'!$L$6),"~","~~"),"*","~*"),"?","~?"),CA3))),OR('Smart Search'!$L$7="",AND(CB3&lt;&gt;0,CB3='Smart Search'!$L$7)),OR('Smart Search'!$L$8="",'Smart Search'!$L$8="All",TRIM(CC3)=TRIM('Smart Search'!$L$8))),IF(BA3="","",BA3+ROW()*0.0000000001),"")</f>
        <v/>
      </c>
      <c r="BI3" s="5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5">
        <f>IF(A3="","",N(INDEX(Projects[Mech Inst],2)))</f>
        <v/>
      </c>
      <c r="BK3" s="5">
        <f>IF(A3="","",N(INDEX(Projects[Elec Inst],2)))</f>
        <v/>
      </c>
      <c r="BL3" s="5">
        <f>IF(A3="","",N(INDEX(Projects[Project Management],2)))</f>
        <v/>
      </c>
      <c r="BM3" s="5">
        <f>IF(A3="","",N(INDEX(Projects[Systems Eng],2)))</f>
        <v/>
      </c>
      <c r="BN3" s="5">
        <f>IF(A3="","",N(INDEX(Projects[Mechanical Eng],2)))</f>
        <v/>
      </c>
      <c r="BO3" s="5">
        <f>IF(A3="","",N(INDEX(Projects[Structural Engineering],2)))</f>
        <v/>
      </c>
      <c r="BP3" s="5">
        <f>IF(A3="","",N(INDEX(Projects[Site Sup],2)))</f>
        <v/>
      </c>
      <c r="BQ3" s="5">
        <f>IF(A3="","",N(INDEX(Projects[Controls Commissioning],2)))</f>
        <v/>
      </c>
      <c r="BR3" s="5">
        <f>IF(A3="","",N(INDEX(Projects[Systems Commissioning],2)))</f>
        <v/>
      </c>
      <c r="BS3" s="5">
        <f>IF(A3="","",N(INDEX(Projects[Service Commissioning],2)))</f>
        <v/>
      </c>
      <c r="BT3" s="5">
        <f>IF(A3="","",N(INDEX(Projects[Controls Eng],2)))</f>
        <v/>
      </c>
      <c r="BU3" s="5">
        <f>IF(A3="","",N(INDEX(Projects[Controls Purchase],2)))</f>
        <v/>
      </c>
      <c r="BV3" s="5">
        <f>IF(A3="","",N(INDEX(Projects[Software Eng],2)))</f>
        <v/>
      </c>
      <c r="BW3" s="5">
        <f>IF(A3="","",N(INDEX(Projects[Misc],2)))</f>
        <v/>
      </c>
      <c r="BX3" s="5">
        <f>IF(A3="","",SUM(BJ3:BW3))</f>
        <v/>
      </c>
      <c r="BY3" s="5">
        <f>IF(A3="","",IFERROR(IF(ISNUMBER(U3),U3,VALUE(SUBSTITUTE(SUBSTITUTE(SUBSTITUTE(UPPER(TRIM(U3)),"M",""),",","")," ",""))),0))</f>
        <v/>
      </c>
      <c r="BZ3" s="5">
        <f>INDEX(Projects[Solution Type],2)&amp;""</f>
        <v/>
      </c>
      <c r="CA3" s="5">
        <f>INDEX(Projects[Client / Region],2)&amp;""</f>
        <v/>
      </c>
      <c r="CB3" s="5">
        <f>INDEX(Projects[Year],2)</f>
        <v/>
      </c>
      <c r="CC3" s="5">
        <f>INDEX(Projects[Won?],2)&amp;""</f>
        <v/>
      </c>
      <c r="CD3" s="5">
        <f>INDEX(Projects[Value (USD M)],2)</f>
        <v/>
      </c>
    </row>
    <row r="4" ht="15" customHeight="1" s="74">
      <c r="A4" s="66">
        <f>INDEX(Projects[Project ID *],3)&amp;""</f>
        <v/>
      </c>
      <c r="B4" s="66">
        <f>INDEX(Projects[Project Name *],3)&amp;""</f>
        <v/>
      </c>
      <c r="C4" s="66">
        <f>INDEX(Projects[MS Shuttles],3)</f>
        <v/>
      </c>
      <c r="D4" s="66">
        <f>INDEX(Projects[MS Tote Locations],3)</f>
        <v/>
      </c>
      <c r="E4" s="66">
        <f>INDEX(Projects[AS Robots],3)</f>
        <v/>
      </c>
      <c r="F4" s="66">
        <f>INDEX(Projects[AS Tote Locations],3)</f>
        <v/>
      </c>
      <c r="G4" s="66">
        <f>INDEX(Projects[PS Shuttles],3)</f>
        <v/>
      </c>
      <c r="H4" s="66">
        <f>INDEX(Projects[PS Pallet Locations],3)</f>
        <v/>
      </c>
      <c r="I4" s="66">
        <f>INDEX(Projects[SRM Cranes],3)</f>
        <v/>
      </c>
      <c r="J4" s="66">
        <f>INDEX(Projects[SRM Pallet Locations],3)</f>
        <v/>
      </c>
      <c r="K4" s="66">
        <f>INDEX(Projects[Case Conv (m)],3)</f>
        <v/>
      </c>
      <c r="L4" s="66">
        <f>INDEX(Projects[Pallet Conv (m)],3)</f>
        <v/>
      </c>
      <c r="M4" s="66">
        <f>INDEX(Projects[Mech Eng (wks)],3)</f>
        <v/>
      </c>
      <c r="N4" s="66">
        <f>INDEX(Projects[Controls Eng (wks)],3)</f>
        <v/>
      </c>
      <c r="O4" s="66">
        <f>INDEX(Projects[Systems Eng (wks)],3)</f>
        <v/>
      </c>
      <c r="P4" s="66">
        <f>INDEX(Projects[Software Eng (wks)],3)</f>
        <v/>
      </c>
      <c r="Q4" s="66">
        <f>INDEX(Projects[M&amp;E Installation (wks)],3)</f>
        <v/>
      </c>
      <c r="R4" s="66">
        <f>INDEX(Projects[Commissioning (wks)],3)</f>
        <v/>
      </c>
      <c r="S4" s="66">
        <f>INDEX(Projects[Total Timeline (wks)],3)</f>
        <v/>
      </c>
      <c r="T4" s="66">
        <f>INDEX(Projects[Currency],3)&amp;""</f>
        <v/>
      </c>
      <c r="U4" s="67">
        <f>INDEX(Projects[Value (M)],3)</f>
        <v/>
      </c>
      <c r="V4" s="66">
        <f>IF('Smart Search'!B13=1,IFERROR(1/'Smart Search'!H13,0),0)</f>
        <v/>
      </c>
      <c r="W4" s="66">
        <f>IF('Smart Search'!B13=1,IFERROR(1/'Smart Search'!H13,0),0)</f>
        <v/>
      </c>
      <c r="X4" s="66">
        <f>IF('Smart Search'!C13=1,IFERROR(1/'Smart Search'!H13,0),0)</f>
        <v/>
      </c>
      <c r="Y4" s="66">
        <f>IF('Smart Search'!C13=1,IFERROR(1/'Smart Search'!H13,0),0)</f>
        <v/>
      </c>
      <c r="Z4" s="66">
        <f>IF('Smart Search'!D13=1,IFERROR(1/'Smart Search'!H13,0),0)</f>
        <v/>
      </c>
      <c r="AA4" s="66">
        <f>IF('Smart Search'!D13=1,IFERROR(1/'Smart Search'!H13,0),0)</f>
        <v/>
      </c>
      <c r="AB4" s="66">
        <f>IF('Smart Search'!E13=1,IFERROR(1/'Smart Search'!H13,0),0)</f>
        <v/>
      </c>
      <c r="AC4" s="66">
        <f>IF('Smart Search'!E13=1,IFERROR(1/'Smart Search'!H13,0),0)</f>
        <v/>
      </c>
      <c r="AD4" s="66">
        <f>IF('Smart Search'!F13=1,IFERROR(1/'Smart Search'!H13,0),0)</f>
        <v/>
      </c>
      <c r="AE4" s="66">
        <f>IF('Smart Search'!F13=1,IFERROR(1/'Smart Search'!H13,0),0)</f>
        <v/>
      </c>
      <c r="AF4" s="66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66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66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66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66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66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66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66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66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66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66">
        <f>AF4*V4</f>
        <v/>
      </c>
      <c r="AQ4" s="66">
        <f>AG4*W4</f>
        <v/>
      </c>
      <c r="AR4" s="66">
        <f>AH4*X4</f>
        <v/>
      </c>
      <c r="AS4" s="66">
        <f>AI4*Y4</f>
        <v/>
      </c>
      <c r="AT4" s="66">
        <f>AJ4*Z4</f>
        <v/>
      </c>
      <c r="AU4" s="66">
        <f>AK4*AA4</f>
        <v/>
      </c>
      <c r="AV4" s="66">
        <f>AL4*AB4</f>
        <v/>
      </c>
      <c r="AW4" s="66">
        <f>AM4*AC4</f>
        <v/>
      </c>
      <c r="AX4" s="66">
        <f>AN4*AD4</f>
        <v/>
      </c>
      <c r="AY4" s="66">
        <f>AO4*AE4</f>
        <v/>
      </c>
      <c r="AZ4" s="66">
        <f>INDEX(Projects[Automation Equipment],3)&amp;""</f>
        <v/>
      </c>
      <c r="BA4" s="66">
        <f>IF(OR(A4="",'Smart Search'!H13=0),"",MAX(0,BE4*BF4*MAX(0,1-BG4)))</f>
        <v/>
      </c>
      <c r="BB4" s="66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66">
        <f>IF('Smart Search'!G13=1,IFERROR(1/'Smart Search'!H13,0),0)</f>
        <v/>
      </c>
      <c r="BD4" s="66">
        <f>BB4*BC4</f>
        <v/>
      </c>
      <c r="BE4" s="66">
        <f>AP4+AQ4+AR4+AS4+AT4+AU4+AV4+AW4+AX4+AY4+BD4</f>
        <v/>
      </c>
      <c r="BF4" s="5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5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5">
        <f>IF(AND(A4&lt;&gt;"",OR('Smart Search'!$L$5="",'Smart Search'!$L$5="All",TRIM(BZ4)=TRIM('Smart Search'!$L$5)),OR(TRIM('Smart Search'!$L$6)="",TRIM('Smart Search'!$L$6)="All",ISNUMBER(SEARCH(SUBSTITUTE(SUBSTITUTE(SUBSTITUTE(TRIM('Smart Search'!$L$6),"~","~~"),"*","~*"),"?","~?"),CA4))),OR('Smart Search'!$L$7="",AND(CB4&lt;&gt;0,CB4='Smart Search'!$L$7)),OR('Smart Search'!$L$8="",'Smart Search'!$L$8="All",TRIM(CC4)=TRIM('Smart Search'!$L$8))),IF(BA4="","",BA4+ROW()*0.0000000001),"")</f>
        <v/>
      </c>
      <c r="BI4" s="5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5">
        <f>IF(A4="","",N(INDEX(Projects[Mech Inst],3)))</f>
        <v/>
      </c>
      <c r="BK4" s="5">
        <f>IF(A4="","",N(INDEX(Projects[Elec Inst],3)))</f>
        <v/>
      </c>
      <c r="BL4" s="5">
        <f>IF(A4="","",N(INDEX(Projects[Project Management],3)))</f>
        <v/>
      </c>
      <c r="BM4" s="5">
        <f>IF(A4="","",N(INDEX(Projects[Systems Eng],3)))</f>
        <v/>
      </c>
      <c r="BN4" s="5">
        <f>IF(A4="","",N(INDEX(Projects[Mechanical Eng],3)))</f>
        <v/>
      </c>
      <c r="BO4" s="5">
        <f>IF(A4="","",N(INDEX(Projects[Structural Engineering],3)))</f>
        <v/>
      </c>
      <c r="BP4" s="5">
        <f>IF(A4="","",N(INDEX(Projects[Site Sup],3)))</f>
        <v/>
      </c>
      <c r="BQ4" s="5">
        <f>IF(A4="","",N(INDEX(Projects[Controls Commissioning],3)))</f>
        <v/>
      </c>
      <c r="BR4" s="5">
        <f>IF(A4="","",N(INDEX(Projects[Systems Commissioning],3)))</f>
        <v/>
      </c>
      <c r="BS4" s="5">
        <f>IF(A4="","",N(INDEX(Projects[Service Commissioning],3)))</f>
        <v/>
      </c>
      <c r="BT4" s="5">
        <f>IF(A4="","",N(INDEX(Projects[Controls Eng],3)))</f>
        <v/>
      </c>
      <c r="BU4" s="5">
        <f>IF(A4="","",N(INDEX(Projects[Controls Purchase],3)))</f>
        <v/>
      </c>
      <c r="BV4" s="5">
        <f>IF(A4="","",N(INDEX(Projects[Software Eng],3)))</f>
        <v/>
      </c>
      <c r="BW4" s="5">
        <f>IF(A4="","",N(INDEX(Projects[Misc],3)))</f>
        <v/>
      </c>
      <c r="BX4" s="5">
        <f>IF(A4="","",SUM(BJ4:BW4))</f>
        <v/>
      </c>
      <c r="BY4" s="5">
        <f>IF(A4="","",IFERROR(IF(ISNUMBER(U4),U4,VALUE(SUBSTITUTE(SUBSTITUTE(SUBSTITUTE(UPPER(TRIM(U4)),"M",""),",","")," ",""))),0))</f>
        <v/>
      </c>
      <c r="BZ4" s="5">
        <f>INDEX(Projects[Solution Type],3)&amp;""</f>
        <v/>
      </c>
      <c r="CA4" s="5">
        <f>INDEX(Projects[Client / Region],3)&amp;""</f>
        <v/>
      </c>
      <c r="CB4" s="5">
        <f>INDEX(Projects[Year],3)</f>
        <v/>
      </c>
      <c r="CC4" s="5">
        <f>INDEX(Projects[Won?],3)&amp;""</f>
        <v/>
      </c>
      <c r="CD4" s="5">
        <f>INDEX(Projects[Value (USD M)],3)</f>
        <v/>
      </c>
    </row>
    <row r="5" ht="15" customHeight="1" s="74">
      <c r="A5" s="66">
        <f>INDEX(Projects[Project ID *],4)&amp;""</f>
        <v/>
      </c>
      <c r="B5" s="66">
        <f>INDEX(Projects[Project Name *],4)&amp;""</f>
        <v/>
      </c>
      <c r="C5" s="66">
        <f>INDEX(Projects[MS Shuttles],4)</f>
        <v/>
      </c>
      <c r="D5" s="66">
        <f>INDEX(Projects[MS Tote Locations],4)</f>
        <v/>
      </c>
      <c r="E5" s="66">
        <f>INDEX(Projects[AS Robots],4)</f>
        <v/>
      </c>
      <c r="F5" s="66">
        <f>INDEX(Projects[AS Tote Locations],4)</f>
        <v/>
      </c>
      <c r="G5" s="66">
        <f>INDEX(Projects[PS Shuttles],4)</f>
        <v/>
      </c>
      <c r="H5" s="66">
        <f>INDEX(Projects[PS Pallet Locations],4)</f>
        <v/>
      </c>
      <c r="I5" s="66">
        <f>INDEX(Projects[SRM Cranes],4)</f>
        <v/>
      </c>
      <c r="J5" s="66">
        <f>INDEX(Projects[SRM Pallet Locations],4)</f>
        <v/>
      </c>
      <c r="K5" s="66">
        <f>INDEX(Projects[Case Conv (m)],4)</f>
        <v/>
      </c>
      <c r="L5" s="66">
        <f>INDEX(Projects[Pallet Conv (m)],4)</f>
        <v/>
      </c>
      <c r="M5" s="66">
        <f>INDEX(Projects[Mech Eng (wks)],4)</f>
        <v/>
      </c>
      <c r="N5" s="66">
        <f>INDEX(Projects[Controls Eng (wks)],4)</f>
        <v/>
      </c>
      <c r="O5" s="66">
        <f>INDEX(Projects[Systems Eng (wks)],4)</f>
        <v/>
      </c>
      <c r="P5" s="66">
        <f>INDEX(Projects[Software Eng (wks)],4)</f>
        <v/>
      </c>
      <c r="Q5" s="66">
        <f>INDEX(Projects[M&amp;E Installation (wks)],4)</f>
        <v/>
      </c>
      <c r="R5" s="66">
        <f>INDEX(Projects[Commissioning (wks)],4)</f>
        <v/>
      </c>
      <c r="S5" s="66">
        <f>INDEX(Projects[Total Timeline (wks)],4)</f>
        <v/>
      </c>
      <c r="T5" s="66">
        <f>INDEX(Projects[Currency],4)&amp;""</f>
        <v/>
      </c>
      <c r="U5" s="67">
        <f>INDEX(Projects[Value (M)],4)</f>
        <v/>
      </c>
      <c r="V5" s="66">
        <f>IF('Smart Search'!B13=1,IFERROR(1/'Smart Search'!H13,0),0)</f>
        <v/>
      </c>
      <c r="W5" s="66">
        <f>IF('Smart Search'!B13=1,IFERROR(1/'Smart Search'!H13,0),0)</f>
        <v/>
      </c>
      <c r="X5" s="66">
        <f>IF('Smart Search'!C13=1,IFERROR(1/'Smart Search'!H13,0),0)</f>
        <v/>
      </c>
      <c r="Y5" s="66">
        <f>IF('Smart Search'!C13=1,IFERROR(1/'Smart Search'!H13,0),0)</f>
        <v/>
      </c>
      <c r="Z5" s="66">
        <f>IF('Smart Search'!D13=1,IFERROR(1/'Smart Search'!H13,0),0)</f>
        <v/>
      </c>
      <c r="AA5" s="66">
        <f>IF('Smart Search'!D13=1,IFERROR(1/'Smart Search'!H13,0),0)</f>
        <v/>
      </c>
      <c r="AB5" s="66">
        <f>IF('Smart Search'!E13=1,IFERROR(1/'Smart Search'!H13,0),0)</f>
        <v/>
      </c>
      <c r="AC5" s="66">
        <f>IF('Smart Search'!E13=1,IFERROR(1/'Smart Search'!H13,0),0)</f>
        <v/>
      </c>
      <c r="AD5" s="66">
        <f>IF('Smart Search'!F13=1,IFERROR(1/'Smart Search'!H13,0),0)</f>
        <v/>
      </c>
      <c r="AE5" s="66">
        <f>IF('Smart Search'!F13=1,IFERROR(1/'Smart Search'!H13,0),0)</f>
        <v/>
      </c>
      <c r="AF5" s="66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66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66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66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66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66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66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66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66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66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66">
        <f>AF5*V5</f>
        <v/>
      </c>
      <c r="AQ5" s="66">
        <f>AG5*W5</f>
        <v/>
      </c>
      <c r="AR5" s="66">
        <f>AH5*X5</f>
        <v/>
      </c>
      <c r="AS5" s="66">
        <f>AI5*Y5</f>
        <v/>
      </c>
      <c r="AT5" s="66">
        <f>AJ5*Z5</f>
        <v/>
      </c>
      <c r="AU5" s="66">
        <f>AK5*AA5</f>
        <v/>
      </c>
      <c r="AV5" s="66">
        <f>AL5*AB5</f>
        <v/>
      </c>
      <c r="AW5" s="66">
        <f>AM5*AC5</f>
        <v/>
      </c>
      <c r="AX5" s="66">
        <f>AN5*AD5</f>
        <v/>
      </c>
      <c r="AY5" s="66">
        <f>AO5*AE5</f>
        <v/>
      </c>
      <c r="AZ5" s="66">
        <f>INDEX(Projects[Automation Equipment],4)&amp;""</f>
        <v/>
      </c>
      <c r="BA5" s="66">
        <f>IF(OR(A5="",'Smart Search'!H13=0),"",MAX(0,BE5*BF5*MAX(0,1-BG5)))</f>
        <v/>
      </c>
      <c r="BB5" s="66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66">
        <f>IF('Smart Search'!G13=1,IFERROR(1/'Smart Search'!H13,0),0)</f>
        <v/>
      </c>
      <c r="BD5" s="66">
        <f>BB5*BC5</f>
        <v/>
      </c>
      <c r="BE5" s="66">
        <f>AP5+AQ5+AR5+AS5+AT5+AU5+AV5+AW5+AX5+AY5+BD5</f>
        <v/>
      </c>
      <c r="BF5" s="5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5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5">
        <f>IF(AND(A5&lt;&gt;"",OR('Smart Search'!$L$5="",'Smart Search'!$L$5="All",TRIM(BZ5)=TRIM('Smart Search'!$L$5)),OR(TRIM('Smart Search'!$L$6)="",TRIM('Smart Search'!$L$6)="All",ISNUMBER(SEARCH(SUBSTITUTE(SUBSTITUTE(SUBSTITUTE(TRIM('Smart Search'!$L$6),"~","~~"),"*","~*"),"?","~?"),CA5))),OR('Smart Search'!$L$7="",AND(CB5&lt;&gt;0,CB5='Smart Search'!$L$7)),OR('Smart Search'!$L$8="",'Smart Search'!$L$8="All",TRIM(CC5)=TRIM('Smart Search'!$L$8))),IF(BA5="","",BA5+ROW()*0.0000000001),"")</f>
        <v/>
      </c>
      <c r="BI5" s="5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5">
        <f>IF(A5="","",N(INDEX(Projects[Mech Inst],4)))</f>
        <v/>
      </c>
      <c r="BK5" s="5">
        <f>IF(A5="","",N(INDEX(Projects[Elec Inst],4)))</f>
        <v/>
      </c>
      <c r="BL5" s="5">
        <f>IF(A5="","",N(INDEX(Projects[Project Management],4)))</f>
        <v/>
      </c>
      <c r="BM5" s="5">
        <f>IF(A5="","",N(INDEX(Projects[Systems Eng],4)))</f>
        <v/>
      </c>
      <c r="BN5" s="5">
        <f>IF(A5="","",N(INDEX(Projects[Mechanical Eng],4)))</f>
        <v/>
      </c>
      <c r="BO5" s="5">
        <f>IF(A5="","",N(INDEX(Projects[Structural Engineering],4)))</f>
        <v/>
      </c>
      <c r="BP5" s="5">
        <f>IF(A5="","",N(INDEX(Projects[Site Sup],4)))</f>
        <v/>
      </c>
      <c r="BQ5" s="5">
        <f>IF(A5="","",N(INDEX(Projects[Controls Commissioning],4)))</f>
        <v/>
      </c>
      <c r="BR5" s="5">
        <f>IF(A5="","",N(INDEX(Projects[Systems Commissioning],4)))</f>
        <v/>
      </c>
      <c r="BS5" s="5">
        <f>IF(A5="","",N(INDEX(Projects[Service Commissioning],4)))</f>
        <v/>
      </c>
      <c r="BT5" s="5">
        <f>IF(A5="","",N(INDEX(Projects[Controls Eng],4)))</f>
        <v/>
      </c>
      <c r="BU5" s="5">
        <f>IF(A5="","",N(INDEX(Projects[Controls Purchase],4)))</f>
        <v/>
      </c>
      <c r="BV5" s="5">
        <f>IF(A5="","",N(INDEX(Projects[Software Eng],4)))</f>
        <v/>
      </c>
      <c r="BW5" s="5">
        <f>IF(A5="","",N(INDEX(Projects[Misc],4)))</f>
        <v/>
      </c>
      <c r="BX5" s="5">
        <f>IF(A5="","",SUM(BJ5:BW5))</f>
        <v/>
      </c>
      <c r="BY5" s="5">
        <f>IF(A5="","",IFERROR(IF(ISNUMBER(U5),U5,VALUE(SUBSTITUTE(SUBSTITUTE(SUBSTITUTE(UPPER(TRIM(U5)),"M",""),",","")," ",""))),0))</f>
        <v/>
      </c>
      <c r="BZ5" s="5">
        <f>INDEX(Projects[Solution Type],4)&amp;""</f>
        <v/>
      </c>
      <c r="CA5" s="5">
        <f>INDEX(Projects[Client / Region],4)&amp;""</f>
        <v/>
      </c>
      <c r="CB5" s="5">
        <f>INDEX(Projects[Year],4)</f>
        <v/>
      </c>
      <c r="CC5" s="5">
        <f>INDEX(Projects[Won?],4)&amp;""</f>
        <v/>
      </c>
      <c r="CD5" s="5">
        <f>INDEX(Projects[Value (USD M)],4)</f>
        <v/>
      </c>
    </row>
    <row r="6" ht="15" customHeight="1" s="74">
      <c r="A6" s="66">
        <f>INDEX(Projects[Project ID *],5)&amp;""</f>
        <v/>
      </c>
      <c r="B6" s="66">
        <f>INDEX(Projects[Project Name *],5)&amp;""</f>
        <v/>
      </c>
      <c r="C6" s="66">
        <f>INDEX(Projects[MS Shuttles],5)</f>
        <v/>
      </c>
      <c r="D6" s="66">
        <f>INDEX(Projects[MS Tote Locations],5)</f>
        <v/>
      </c>
      <c r="E6" s="66">
        <f>INDEX(Projects[AS Robots],5)</f>
        <v/>
      </c>
      <c r="F6" s="66">
        <f>INDEX(Projects[AS Tote Locations],5)</f>
        <v/>
      </c>
      <c r="G6" s="66">
        <f>INDEX(Projects[PS Shuttles],5)</f>
        <v/>
      </c>
      <c r="H6" s="66">
        <f>INDEX(Projects[PS Pallet Locations],5)</f>
        <v/>
      </c>
      <c r="I6" s="66">
        <f>INDEX(Projects[SRM Cranes],5)</f>
        <v/>
      </c>
      <c r="J6" s="66">
        <f>INDEX(Projects[SRM Pallet Locations],5)</f>
        <v/>
      </c>
      <c r="K6" s="66">
        <f>INDEX(Projects[Case Conv (m)],5)</f>
        <v/>
      </c>
      <c r="L6" s="66">
        <f>INDEX(Projects[Pallet Conv (m)],5)</f>
        <v/>
      </c>
      <c r="M6" s="66">
        <f>INDEX(Projects[Mech Eng (wks)],5)</f>
        <v/>
      </c>
      <c r="N6" s="66">
        <f>INDEX(Projects[Controls Eng (wks)],5)</f>
        <v/>
      </c>
      <c r="O6" s="66">
        <f>INDEX(Projects[Systems Eng (wks)],5)</f>
        <v/>
      </c>
      <c r="P6" s="66">
        <f>INDEX(Projects[Software Eng (wks)],5)</f>
        <v/>
      </c>
      <c r="Q6" s="66">
        <f>INDEX(Projects[M&amp;E Installation (wks)],5)</f>
        <v/>
      </c>
      <c r="R6" s="66">
        <f>INDEX(Projects[Commissioning (wks)],5)</f>
        <v/>
      </c>
      <c r="S6" s="66">
        <f>INDEX(Projects[Total Timeline (wks)],5)</f>
        <v/>
      </c>
      <c r="T6" s="66">
        <f>INDEX(Projects[Currency],5)&amp;""</f>
        <v/>
      </c>
      <c r="U6" s="67">
        <f>INDEX(Projects[Value (M)],5)</f>
        <v/>
      </c>
      <c r="V6" s="66">
        <f>IF('Smart Search'!B13=1,IFERROR(1/'Smart Search'!H13,0),0)</f>
        <v/>
      </c>
      <c r="W6" s="66">
        <f>IF('Smart Search'!B13=1,IFERROR(1/'Smart Search'!H13,0),0)</f>
        <v/>
      </c>
      <c r="X6" s="66">
        <f>IF('Smart Search'!C13=1,IFERROR(1/'Smart Search'!H13,0),0)</f>
        <v/>
      </c>
      <c r="Y6" s="66">
        <f>IF('Smart Search'!C13=1,IFERROR(1/'Smart Search'!H13,0),0)</f>
        <v/>
      </c>
      <c r="Z6" s="66">
        <f>IF('Smart Search'!D13=1,IFERROR(1/'Smart Search'!H13,0),0)</f>
        <v/>
      </c>
      <c r="AA6" s="66">
        <f>IF('Smart Search'!D13=1,IFERROR(1/'Smart Search'!H13,0),0)</f>
        <v/>
      </c>
      <c r="AB6" s="66">
        <f>IF('Smart Search'!E13=1,IFERROR(1/'Smart Search'!H13,0),0)</f>
        <v/>
      </c>
      <c r="AC6" s="66">
        <f>IF('Smart Search'!E13=1,IFERROR(1/'Smart Search'!H13,0),0)</f>
        <v/>
      </c>
      <c r="AD6" s="66">
        <f>IF('Smart Search'!F13=1,IFERROR(1/'Smart Search'!H13,0),0)</f>
        <v/>
      </c>
      <c r="AE6" s="66">
        <f>IF('Smart Search'!F13=1,IFERROR(1/'Smart Search'!H13,0),0)</f>
        <v/>
      </c>
      <c r="AF6" s="66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66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66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66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66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66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66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66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66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66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66">
        <f>AF6*V6</f>
        <v/>
      </c>
      <c r="AQ6" s="66">
        <f>AG6*W6</f>
        <v/>
      </c>
      <c r="AR6" s="66">
        <f>AH6*X6</f>
        <v/>
      </c>
      <c r="AS6" s="66">
        <f>AI6*Y6</f>
        <v/>
      </c>
      <c r="AT6" s="66">
        <f>AJ6*Z6</f>
        <v/>
      </c>
      <c r="AU6" s="66">
        <f>AK6*AA6</f>
        <v/>
      </c>
      <c r="AV6" s="66">
        <f>AL6*AB6</f>
        <v/>
      </c>
      <c r="AW6" s="66">
        <f>AM6*AC6</f>
        <v/>
      </c>
      <c r="AX6" s="66">
        <f>AN6*AD6</f>
        <v/>
      </c>
      <c r="AY6" s="66">
        <f>AO6*AE6</f>
        <v/>
      </c>
      <c r="AZ6" s="66">
        <f>INDEX(Projects[Automation Equipment],5)&amp;""</f>
        <v/>
      </c>
      <c r="BA6" s="66">
        <f>IF(OR(A6="",'Smart Search'!H13=0),"",MAX(0,BE6*BF6*MAX(0,1-BG6)))</f>
        <v/>
      </c>
      <c r="BB6" s="66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66">
        <f>IF('Smart Search'!G13=1,IFERROR(1/'Smart Search'!H13,0),0)</f>
        <v/>
      </c>
      <c r="BD6" s="66">
        <f>BB6*BC6</f>
        <v/>
      </c>
      <c r="BE6" s="66">
        <f>AP6+AQ6+AR6+AS6+AT6+AU6+AV6+AW6+AX6+AY6+BD6</f>
        <v/>
      </c>
      <c r="BF6" s="5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5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5">
        <f>IF(AND(A6&lt;&gt;"",OR('Smart Search'!$L$5="",'Smart Search'!$L$5="All",TRIM(BZ6)=TRIM('Smart Search'!$L$5)),OR(TRIM('Smart Search'!$L$6)="",TRIM('Smart Search'!$L$6)="All",ISNUMBER(SEARCH(SUBSTITUTE(SUBSTITUTE(SUBSTITUTE(TRIM('Smart Search'!$L$6),"~","~~"),"*","~*"),"?","~?"),CA6))),OR('Smart Search'!$L$7="",AND(CB6&lt;&gt;0,CB6='Smart Search'!$L$7)),OR('Smart Search'!$L$8="",'Smart Search'!$L$8="All",TRIM(CC6)=TRIM('Smart Search'!$L$8))),IF(BA6="","",BA6+ROW()*0.0000000001),"")</f>
        <v/>
      </c>
      <c r="BI6" s="5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5">
        <f>IF(A6="","",N(INDEX(Projects[Mech Inst],5)))</f>
        <v/>
      </c>
      <c r="BK6" s="5">
        <f>IF(A6="","",N(INDEX(Projects[Elec Inst],5)))</f>
        <v/>
      </c>
      <c r="BL6" s="5">
        <f>IF(A6="","",N(INDEX(Projects[Project Management],5)))</f>
        <v/>
      </c>
      <c r="BM6" s="5">
        <f>IF(A6="","",N(INDEX(Projects[Systems Eng],5)))</f>
        <v/>
      </c>
      <c r="BN6" s="5">
        <f>IF(A6="","",N(INDEX(Projects[Mechanical Eng],5)))</f>
        <v/>
      </c>
      <c r="BO6" s="5">
        <f>IF(A6="","",N(INDEX(Projects[Structural Engineering],5)))</f>
        <v/>
      </c>
      <c r="BP6" s="5">
        <f>IF(A6="","",N(INDEX(Projects[Site Sup],5)))</f>
        <v/>
      </c>
      <c r="BQ6" s="5">
        <f>IF(A6="","",N(INDEX(Projects[Controls Commissioning],5)))</f>
        <v/>
      </c>
      <c r="BR6" s="5">
        <f>IF(A6="","",N(INDEX(Projects[Systems Commissioning],5)))</f>
        <v/>
      </c>
      <c r="BS6" s="5">
        <f>IF(A6="","",N(INDEX(Projects[Service Commissioning],5)))</f>
        <v/>
      </c>
      <c r="BT6" s="5">
        <f>IF(A6="","",N(INDEX(Projects[Controls Eng],5)))</f>
        <v/>
      </c>
      <c r="BU6" s="5">
        <f>IF(A6="","",N(INDEX(Projects[Controls Purchase],5)))</f>
        <v/>
      </c>
      <c r="BV6" s="5">
        <f>IF(A6="","",N(INDEX(Projects[Software Eng],5)))</f>
        <v/>
      </c>
      <c r="BW6" s="5">
        <f>IF(A6="","",N(INDEX(Projects[Misc],5)))</f>
        <v/>
      </c>
      <c r="BX6" s="5">
        <f>IF(A6="","",SUM(BJ6:BW6))</f>
        <v/>
      </c>
      <c r="BY6" s="5">
        <f>IF(A6="","",IFERROR(IF(ISNUMBER(U6),U6,VALUE(SUBSTITUTE(SUBSTITUTE(SUBSTITUTE(UPPER(TRIM(U6)),"M",""),",","")," ",""))),0))</f>
        <v/>
      </c>
      <c r="BZ6" s="5">
        <f>INDEX(Projects[Solution Type],5)&amp;""</f>
        <v/>
      </c>
      <c r="CA6" s="5">
        <f>INDEX(Projects[Client / Region],5)&amp;""</f>
        <v/>
      </c>
      <c r="CB6" s="5">
        <f>INDEX(Projects[Year],5)</f>
        <v/>
      </c>
      <c r="CC6" s="5">
        <f>INDEX(Projects[Won?],5)&amp;""</f>
        <v/>
      </c>
      <c r="CD6" s="5">
        <f>INDEX(Projects[Value (USD M)],5)</f>
        <v/>
      </c>
    </row>
    <row r="7" ht="15" customHeight="1" s="74">
      <c r="A7" s="66">
        <f>INDEX(Projects[Project ID *],6)&amp;""</f>
        <v/>
      </c>
      <c r="B7" s="66">
        <f>INDEX(Projects[Project Name *],6)&amp;""</f>
        <v/>
      </c>
      <c r="C7" s="66">
        <f>INDEX(Projects[MS Shuttles],6)</f>
        <v/>
      </c>
      <c r="D7" s="66">
        <f>INDEX(Projects[MS Tote Locations],6)</f>
        <v/>
      </c>
      <c r="E7" s="66">
        <f>INDEX(Projects[AS Robots],6)</f>
        <v/>
      </c>
      <c r="F7" s="66">
        <f>INDEX(Projects[AS Tote Locations],6)</f>
        <v/>
      </c>
      <c r="G7" s="66">
        <f>INDEX(Projects[PS Shuttles],6)</f>
        <v/>
      </c>
      <c r="H7" s="66">
        <f>INDEX(Projects[PS Pallet Locations],6)</f>
        <v/>
      </c>
      <c r="I7" s="66">
        <f>INDEX(Projects[SRM Cranes],6)</f>
        <v/>
      </c>
      <c r="J7" s="66">
        <f>INDEX(Projects[SRM Pallet Locations],6)</f>
        <v/>
      </c>
      <c r="K7" s="66">
        <f>INDEX(Projects[Case Conv (m)],6)</f>
        <v/>
      </c>
      <c r="L7" s="66">
        <f>INDEX(Projects[Pallet Conv (m)],6)</f>
        <v/>
      </c>
      <c r="M7" s="66">
        <f>INDEX(Projects[Mech Eng (wks)],6)</f>
        <v/>
      </c>
      <c r="N7" s="66">
        <f>INDEX(Projects[Controls Eng (wks)],6)</f>
        <v/>
      </c>
      <c r="O7" s="66">
        <f>INDEX(Projects[Systems Eng (wks)],6)</f>
        <v/>
      </c>
      <c r="P7" s="66">
        <f>INDEX(Projects[Software Eng (wks)],6)</f>
        <v/>
      </c>
      <c r="Q7" s="66">
        <f>INDEX(Projects[M&amp;E Installation (wks)],6)</f>
        <v/>
      </c>
      <c r="R7" s="66">
        <f>INDEX(Projects[Commissioning (wks)],6)</f>
        <v/>
      </c>
      <c r="S7" s="66">
        <f>INDEX(Projects[Total Timeline (wks)],6)</f>
        <v/>
      </c>
      <c r="T7" s="66">
        <f>INDEX(Projects[Currency],6)&amp;""</f>
        <v/>
      </c>
      <c r="U7" s="67">
        <f>INDEX(Projects[Value (M)],6)</f>
        <v/>
      </c>
      <c r="V7" s="66">
        <f>IF('Smart Search'!B13=1,IFERROR(1/'Smart Search'!H13,0),0)</f>
        <v/>
      </c>
      <c r="W7" s="66">
        <f>IF('Smart Search'!B13=1,IFERROR(1/'Smart Search'!H13,0),0)</f>
        <v/>
      </c>
      <c r="X7" s="66">
        <f>IF('Smart Search'!C13=1,IFERROR(1/'Smart Search'!H13,0),0)</f>
        <v/>
      </c>
      <c r="Y7" s="66">
        <f>IF('Smart Search'!C13=1,IFERROR(1/'Smart Search'!H13,0),0)</f>
        <v/>
      </c>
      <c r="Z7" s="66">
        <f>IF('Smart Search'!D13=1,IFERROR(1/'Smart Search'!H13,0),0)</f>
        <v/>
      </c>
      <c r="AA7" s="66">
        <f>IF('Smart Search'!D13=1,IFERROR(1/'Smart Search'!H13,0),0)</f>
        <v/>
      </c>
      <c r="AB7" s="66">
        <f>IF('Smart Search'!E13=1,IFERROR(1/'Smart Search'!H13,0),0)</f>
        <v/>
      </c>
      <c r="AC7" s="66">
        <f>IF('Smart Search'!E13=1,IFERROR(1/'Smart Search'!H13,0),0)</f>
        <v/>
      </c>
      <c r="AD7" s="66">
        <f>IF('Smart Search'!F13=1,IFERROR(1/'Smart Search'!H13,0),0)</f>
        <v/>
      </c>
      <c r="AE7" s="66">
        <f>IF('Smart Search'!F13=1,IFERROR(1/'Smart Search'!H13,0),0)</f>
        <v/>
      </c>
      <c r="AF7" s="66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66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66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66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66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66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66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66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66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66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66">
        <f>AF7*V7</f>
        <v/>
      </c>
      <c r="AQ7" s="66">
        <f>AG7*W7</f>
        <v/>
      </c>
      <c r="AR7" s="66">
        <f>AH7*X7</f>
        <v/>
      </c>
      <c r="AS7" s="66">
        <f>AI7*Y7</f>
        <v/>
      </c>
      <c r="AT7" s="66">
        <f>AJ7*Z7</f>
        <v/>
      </c>
      <c r="AU7" s="66">
        <f>AK7*AA7</f>
        <v/>
      </c>
      <c r="AV7" s="66">
        <f>AL7*AB7</f>
        <v/>
      </c>
      <c r="AW7" s="66">
        <f>AM7*AC7</f>
        <v/>
      </c>
      <c r="AX7" s="66">
        <f>AN7*AD7</f>
        <v/>
      </c>
      <c r="AY7" s="66">
        <f>AO7*AE7</f>
        <v/>
      </c>
      <c r="AZ7" s="66">
        <f>INDEX(Projects[Automation Equipment],6)&amp;""</f>
        <v/>
      </c>
      <c r="BA7" s="66">
        <f>IF(OR(A7="",'Smart Search'!H13=0),"",MAX(0,BE7*BF7*MAX(0,1-BG7)))</f>
        <v/>
      </c>
      <c r="BB7" s="66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66">
        <f>IF('Smart Search'!G13=1,IFERROR(1/'Smart Search'!H13,0),0)</f>
        <v/>
      </c>
      <c r="BD7" s="66">
        <f>BB7*BC7</f>
        <v/>
      </c>
      <c r="BE7" s="66">
        <f>AP7+AQ7+AR7+AS7+AT7+AU7+AV7+AW7+AX7+AY7+BD7</f>
        <v/>
      </c>
      <c r="BF7" s="5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5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5">
        <f>IF(AND(A7&lt;&gt;"",OR('Smart Search'!$L$5="",'Smart Search'!$L$5="All",TRIM(BZ7)=TRIM('Smart Search'!$L$5)),OR(TRIM('Smart Search'!$L$6)="",TRIM('Smart Search'!$L$6)="All",ISNUMBER(SEARCH(SUBSTITUTE(SUBSTITUTE(SUBSTITUTE(TRIM('Smart Search'!$L$6),"~","~~"),"*","~*"),"?","~?"),CA7))),OR('Smart Search'!$L$7="",AND(CB7&lt;&gt;0,CB7='Smart Search'!$L$7)),OR('Smart Search'!$L$8="",'Smart Search'!$L$8="All",TRIM(CC7)=TRIM('Smart Search'!$L$8))),IF(BA7="","",BA7+ROW()*0.0000000001),"")</f>
        <v/>
      </c>
      <c r="BI7" s="5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5">
        <f>IF(A7="","",N(INDEX(Projects[Mech Inst],6)))</f>
        <v/>
      </c>
      <c r="BK7" s="5">
        <f>IF(A7="","",N(INDEX(Projects[Elec Inst],6)))</f>
        <v/>
      </c>
      <c r="BL7" s="5">
        <f>IF(A7="","",N(INDEX(Projects[Project Management],6)))</f>
        <v/>
      </c>
      <c r="BM7" s="5">
        <f>IF(A7="","",N(INDEX(Projects[Systems Eng],6)))</f>
        <v/>
      </c>
      <c r="BN7" s="5">
        <f>IF(A7="","",N(INDEX(Projects[Mechanical Eng],6)))</f>
        <v/>
      </c>
      <c r="BO7" s="5">
        <f>IF(A7="","",N(INDEX(Projects[Structural Engineering],6)))</f>
        <v/>
      </c>
      <c r="BP7" s="5">
        <f>IF(A7="","",N(INDEX(Projects[Site Sup],6)))</f>
        <v/>
      </c>
      <c r="BQ7" s="5">
        <f>IF(A7="","",N(INDEX(Projects[Controls Commissioning],6)))</f>
        <v/>
      </c>
      <c r="BR7" s="5">
        <f>IF(A7="","",N(INDEX(Projects[Systems Commissioning],6)))</f>
        <v/>
      </c>
      <c r="BS7" s="5">
        <f>IF(A7="","",N(INDEX(Projects[Service Commissioning],6)))</f>
        <v/>
      </c>
      <c r="BT7" s="5">
        <f>IF(A7="","",N(INDEX(Projects[Controls Eng],6)))</f>
        <v/>
      </c>
      <c r="BU7" s="5">
        <f>IF(A7="","",N(INDEX(Projects[Controls Purchase],6)))</f>
        <v/>
      </c>
      <c r="BV7" s="5">
        <f>IF(A7="","",N(INDEX(Projects[Software Eng],6)))</f>
        <v/>
      </c>
      <c r="BW7" s="5">
        <f>IF(A7="","",N(INDEX(Projects[Misc],6)))</f>
        <v/>
      </c>
      <c r="BX7" s="5">
        <f>IF(A7="","",SUM(BJ7:BW7))</f>
        <v/>
      </c>
      <c r="BY7" s="5">
        <f>IF(A7="","",IFERROR(IF(ISNUMBER(U7),U7,VALUE(SUBSTITUTE(SUBSTITUTE(SUBSTITUTE(UPPER(TRIM(U7)),"M",""),",","")," ",""))),0))</f>
        <v/>
      </c>
      <c r="BZ7" s="5">
        <f>INDEX(Projects[Solution Type],6)&amp;""</f>
        <v/>
      </c>
      <c r="CA7" s="5">
        <f>INDEX(Projects[Client / Region],6)&amp;""</f>
        <v/>
      </c>
      <c r="CB7" s="5">
        <f>INDEX(Projects[Year],6)</f>
        <v/>
      </c>
      <c r="CC7" s="5">
        <f>INDEX(Projects[Won?],6)&amp;""</f>
        <v/>
      </c>
      <c r="CD7" s="5">
        <f>INDEX(Projects[Value (USD M)],6)</f>
        <v/>
      </c>
    </row>
    <row r="8" ht="15" customHeight="1" s="74">
      <c r="A8" s="66">
        <f>INDEX(Projects[Project ID *],7)&amp;""</f>
        <v/>
      </c>
      <c r="B8" s="66">
        <f>INDEX(Projects[Project Name *],7)&amp;""</f>
        <v/>
      </c>
      <c r="C8" s="66">
        <f>INDEX(Projects[MS Shuttles],7)</f>
        <v/>
      </c>
      <c r="D8" s="66">
        <f>INDEX(Projects[MS Tote Locations],7)</f>
        <v/>
      </c>
      <c r="E8" s="66">
        <f>INDEX(Projects[AS Robots],7)</f>
        <v/>
      </c>
      <c r="F8" s="66">
        <f>INDEX(Projects[AS Tote Locations],7)</f>
        <v/>
      </c>
      <c r="G8" s="66">
        <f>INDEX(Projects[PS Shuttles],7)</f>
        <v/>
      </c>
      <c r="H8" s="66">
        <f>INDEX(Projects[PS Pallet Locations],7)</f>
        <v/>
      </c>
      <c r="I8" s="66">
        <f>INDEX(Projects[SRM Cranes],7)</f>
        <v/>
      </c>
      <c r="J8" s="66">
        <f>INDEX(Projects[SRM Pallet Locations],7)</f>
        <v/>
      </c>
      <c r="K8" s="66">
        <f>INDEX(Projects[Case Conv (m)],7)</f>
        <v/>
      </c>
      <c r="L8" s="66">
        <f>INDEX(Projects[Pallet Conv (m)],7)</f>
        <v/>
      </c>
      <c r="M8" s="66">
        <f>INDEX(Projects[Mech Eng (wks)],7)</f>
        <v/>
      </c>
      <c r="N8" s="66">
        <f>INDEX(Projects[Controls Eng (wks)],7)</f>
        <v/>
      </c>
      <c r="O8" s="66">
        <f>INDEX(Projects[Systems Eng (wks)],7)</f>
        <v/>
      </c>
      <c r="P8" s="66">
        <f>INDEX(Projects[Software Eng (wks)],7)</f>
        <v/>
      </c>
      <c r="Q8" s="66">
        <f>INDEX(Projects[M&amp;E Installation (wks)],7)</f>
        <v/>
      </c>
      <c r="R8" s="66">
        <f>INDEX(Projects[Commissioning (wks)],7)</f>
        <v/>
      </c>
      <c r="S8" s="66">
        <f>INDEX(Projects[Total Timeline (wks)],7)</f>
        <v/>
      </c>
      <c r="T8" s="66">
        <f>INDEX(Projects[Currency],7)&amp;""</f>
        <v/>
      </c>
      <c r="U8" s="67">
        <f>INDEX(Projects[Value (M)],7)</f>
        <v/>
      </c>
      <c r="V8" s="66">
        <f>IF('Smart Search'!B13=1,IFERROR(1/'Smart Search'!H13,0),0)</f>
        <v/>
      </c>
      <c r="W8" s="66">
        <f>IF('Smart Search'!B13=1,IFERROR(1/'Smart Search'!H13,0),0)</f>
        <v/>
      </c>
      <c r="X8" s="66">
        <f>IF('Smart Search'!C13=1,IFERROR(1/'Smart Search'!H13,0),0)</f>
        <v/>
      </c>
      <c r="Y8" s="66">
        <f>IF('Smart Search'!C13=1,IFERROR(1/'Smart Search'!H13,0),0)</f>
        <v/>
      </c>
      <c r="Z8" s="66">
        <f>IF('Smart Search'!D13=1,IFERROR(1/'Smart Search'!H13,0),0)</f>
        <v/>
      </c>
      <c r="AA8" s="66">
        <f>IF('Smart Search'!D13=1,IFERROR(1/'Smart Search'!H13,0),0)</f>
        <v/>
      </c>
      <c r="AB8" s="66">
        <f>IF('Smart Search'!E13=1,IFERROR(1/'Smart Search'!H13,0),0)</f>
        <v/>
      </c>
      <c r="AC8" s="66">
        <f>IF('Smart Search'!E13=1,IFERROR(1/'Smart Search'!H13,0),0)</f>
        <v/>
      </c>
      <c r="AD8" s="66">
        <f>IF('Smart Search'!F13=1,IFERROR(1/'Smart Search'!H13,0),0)</f>
        <v/>
      </c>
      <c r="AE8" s="66">
        <f>IF('Smart Search'!F13=1,IFERROR(1/'Smart Search'!H13,0),0)</f>
        <v/>
      </c>
      <c r="AF8" s="66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66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66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66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66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66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66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66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66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66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66">
        <f>AF8*V8</f>
        <v/>
      </c>
      <c r="AQ8" s="66">
        <f>AG8*W8</f>
        <v/>
      </c>
      <c r="AR8" s="66">
        <f>AH8*X8</f>
        <v/>
      </c>
      <c r="AS8" s="66">
        <f>AI8*Y8</f>
        <v/>
      </c>
      <c r="AT8" s="66">
        <f>AJ8*Z8</f>
        <v/>
      </c>
      <c r="AU8" s="66">
        <f>AK8*AA8</f>
        <v/>
      </c>
      <c r="AV8" s="66">
        <f>AL8*AB8</f>
        <v/>
      </c>
      <c r="AW8" s="66">
        <f>AM8*AC8</f>
        <v/>
      </c>
      <c r="AX8" s="66">
        <f>AN8*AD8</f>
        <v/>
      </c>
      <c r="AY8" s="66">
        <f>AO8*AE8</f>
        <v/>
      </c>
      <c r="AZ8" s="66">
        <f>INDEX(Projects[Automation Equipment],7)&amp;""</f>
        <v/>
      </c>
      <c r="BA8" s="66">
        <f>IF(OR(A8="",'Smart Search'!H13=0),"",MAX(0,BE8*BF8*MAX(0,1-BG8)))</f>
        <v/>
      </c>
      <c r="BB8" s="66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66">
        <f>IF('Smart Search'!G13=1,IFERROR(1/'Smart Search'!H13,0),0)</f>
        <v/>
      </c>
      <c r="BD8" s="66">
        <f>BB8*BC8</f>
        <v/>
      </c>
      <c r="BE8" s="66">
        <f>AP8+AQ8+AR8+AS8+AT8+AU8+AV8+AW8+AX8+AY8+BD8</f>
        <v/>
      </c>
      <c r="BF8" s="5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5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5">
        <f>IF(AND(A8&lt;&gt;"",OR('Smart Search'!$L$5="",'Smart Search'!$L$5="All",TRIM(BZ8)=TRIM('Smart Search'!$L$5)),OR(TRIM('Smart Search'!$L$6)="",TRIM('Smart Search'!$L$6)="All",ISNUMBER(SEARCH(SUBSTITUTE(SUBSTITUTE(SUBSTITUTE(TRIM('Smart Search'!$L$6),"~","~~"),"*","~*"),"?","~?"),CA8))),OR('Smart Search'!$L$7="",AND(CB8&lt;&gt;0,CB8='Smart Search'!$L$7)),OR('Smart Search'!$L$8="",'Smart Search'!$L$8="All",TRIM(CC8)=TRIM('Smart Search'!$L$8))),IF(BA8="","",BA8+ROW()*0.0000000001),"")</f>
        <v/>
      </c>
      <c r="BI8" s="5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5">
        <f>IF(A8="","",N(INDEX(Projects[Mech Inst],7)))</f>
        <v/>
      </c>
      <c r="BK8" s="5">
        <f>IF(A8="","",N(INDEX(Projects[Elec Inst],7)))</f>
        <v/>
      </c>
      <c r="BL8" s="5">
        <f>IF(A8="","",N(INDEX(Projects[Project Management],7)))</f>
        <v/>
      </c>
      <c r="BM8" s="5">
        <f>IF(A8="","",N(INDEX(Projects[Systems Eng],7)))</f>
        <v/>
      </c>
      <c r="BN8" s="5">
        <f>IF(A8="","",N(INDEX(Projects[Mechanical Eng],7)))</f>
        <v/>
      </c>
      <c r="BO8" s="5">
        <f>IF(A8="","",N(INDEX(Projects[Structural Engineering],7)))</f>
        <v/>
      </c>
      <c r="BP8" s="5">
        <f>IF(A8="","",N(INDEX(Projects[Site Sup],7)))</f>
        <v/>
      </c>
      <c r="BQ8" s="5">
        <f>IF(A8="","",N(INDEX(Projects[Controls Commissioning],7)))</f>
        <v/>
      </c>
      <c r="BR8" s="5">
        <f>IF(A8="","",N(INDEX(Projects[Systems Commissioning],7)))</f>
        <v/>
      </c>
      <c r="BS8" s="5">
        <f>IF(A8="","",N(INDEX(Projects[Service Commissioning],7)))</f>
        <v/>
      </c>
      <c r="BT8" s="5">
        <f>IF(A8="","",N(INDEX(Projects[Controls Eng],7)))</f>
        <v/>
      </c>
      <c r="BU8" s="5">
        <f>IF(A8="","",N(INDEX(Projects[Controls Purchase],7)))</f>
        <v/>
      </c>
      <c r="BV8" s="5">
        <f>IF(A8="","",N(INDEX(Projects[Software Eng],7)))</f>
        <v/>
      </c>
      <c r="BW8" s="5">
        <f>IF(A8="","",N(INDEX(Projects[Misc],7)))</f>
        <v/>
      </c>
      <c r="BX8" s="5">
        <f>IF(A8="","",SUM(BJ8:BW8))</f>
        <v/>
      </c>
      <c r="BY8" s="5">
        <f>IF(A8="","",IFERROR(IF(ISNUMBER(U8),U8,VALUE(SUBSTITUTE(SUBSTITUTE(SUBSTITUTE(UPPER(TRIM(U8)),"M",""),",","")," ",""))),0))</f>
        <v/>
      </c>
      <c r="BZ8" s="5">
        <f>INDEX(Projects[Solution Type],7)&amp;""</f>
        <v/>
      </c>
      <c r="CA8" s="5">
        <f>INDEX(Projects[Client / Region],7)&amp;""</f>
        <v/>
      </c>
      <c r="CB8" s="5">
        <f>INDEX(Projects[Year],7)</f>
        <v/>
      </c>
      <c r="CC8" s="5">
        <f>INDEX(Projects[Won?],7)&amp;""</f>
        <v/>
      </c>
      <c r="CD8" s="5">
        <f>INDEX(Projects[Value (USD M)],7)</f>
        <v/>
      </c>
    </row>
    <row r="9" ht="15" customHeight="1" s="74">
      <c r="A9" s="66">
        <f>INDEX(Projects[Project ID *],8)&amp;""</f>
        <v/>
      </c>
      <c r="B9" s="66">
        <f>INDEX(Projects[Project Name *],8)&amp;""</f>
        <v/>
      </c>
      <c r="C9" s="66">
        <f>INDEX(Projects[MS Shuttles],8)</f>
        <v/>
      </c>
      <c r="D9" s="66">
        <f>INDEX(Projects[MS Tote Locations],8)</f>
        <v/>
      </c>
      <c r="E9" s="66">
        <f>INDEX(Projects[AS Robots],8)</f>
        <v/>
      </c>
      <c r="F9" s="66">
        <f>INDEX(Projects[AS Tote Locations],8)</f>
        <v/>
      </c>
      <c r="G9" s="66">
        <f>INDEX(Projects[PS Shuttles],8)</f>
        <v/>
      </c>
      <c r="H9" s="66">
        <f>INDEX(Projects[PS Pallet Locations],8)</f>
        <v/>
      </c>
      <c r="I9" s="66">
        <f>INDEX(Projects[SRM Cranes],8)</f>
        <v/>
      </c>
      <c r="J9" s="66">
        <f>INDEX(Projects[SRM Pallet Locations],8)</f>
        <v/>
      </c>
      <c r="K9" s="66">
        <f>INDEX(Projects[Case Conv (m)],8)</f>
        <v/>
      </c>
      <c r="L9" s="66">
        <f>INDEX(Projects[Pallet Conv (m)],8)</f>
        <v/>
      </c>
      <c r="M9" s="66">
        <f>INDEX(Projects[Mech Eng (wks)],8)</f>
        <v/>
      </c>
      <c r="N9" s="66">
        <f>INDEX(Projects[Controls Eng (wks)],8)</f>
        <v/>
      </c>
      <c r="O9" s="66">
        <f>INDEX(Projects[Systems Eng (wks)],8)</f>
        <v/>
      </c>
      <c r="P9" s="66">
        <f>INDEX(Projects[Software Eng (wks)],8)</f>
        <v/>
      </c>
      <c r="Q9" s="66">
        <f>INDEX(Projects[M&amp;E Installation (wks)],8)</f>
        <v/>
      </c>
      <c r="R9" s="66">
        <f>INDEX(Projects[Commissioning (wks)],8)</f>
        <v/>
      </c>
      <c r="S9" s="66">
        <f>INDEX(Projects[Total Timeline (wks)],8)</f>
        <v/>
      </c>
      <c r="T9" s="66">
        <f>INDEX(Projects[Currency],8)&amp;""</f>
        <v/>
      </c>
      <c r="U9" s="67">
        <f>INDEX(Projects[Value (M)],8)</f>
        <v/>
      </c>
      <c r="V9" s="66">
        <f>IF('Smart Search'!B13=1,IFERROR(1/'Smart Search'!H13,0),0)</f>
        <v/>
      </c>
      <c r="W9" s="66">
        <f>IF('Smart Search'!B13=1,IFERROR(1/'Smart Search'!H13,0),0)</f>
        <v/>
      </c>
      <c r="X9" s="66">
        <f>IF('Smart Search'!C13=1,IFERROR(1/'Smart Search'!H13,0),0)</f>
        <v/>
      </c>
      <c r="Y9" s="66">
        <f>IF('Smart Search'!C13=1,IFERROR(1/'Smart Search'!H13,0),0)</f>
        <v/>
      </c>
      <c r="Z9" s="66">
        <f>IF('Smart Search'!D13=1,IFERROR(1/'Smart Search'!H13,0),0)</f>
        <v/>
      </c>
      <c r="AA9" s="66">
        <f>IF('Smart Search'!D13=1,IFERROR(1/'Smart Search'!H13,0),0)</f>
        <v/>
      </c>
      <c r="AB9" s="66">
        <f>IF('Smart Search'!E13=1,IFERROR(1/'Smart Search'!H13,0),0)</f>
        <v/>
      </c>
      <c r="AC9" s="66">
        <f>IF('Smart Search'!E13=1,IFERROR(1/'Smart Search'!H13,0),0)</f>
        <v/>
      </c>
      <c r="AD9" s="66">
        <f>IF('Smart Search'!F13=1,IFERROR(1/'Smart Search'!H13,0),0)</f>
        <v/>
      </c>
      <c r="AE9" s="66">
        <f>IF('Smart Search'!F13=1,IFERROR(1/'Smart Search'!H13,0),0)</f>
        <v/>
      </c>
      <c r="AF9" s="66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66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66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66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66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66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66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66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66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66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66">
        <f>AF9*V9</f>
        <v/>
      </c>
      <c r="AQ9" s="66">
        <f>AG9*W9</f>
        <v/>
      </c>
      <c r="AR9" s="66">
        <f>AH9*X9</f>
        <v/>
      </c>
      <c r="AS9" s="66">
        <f>AI9*Y9</f>
        <v/>
      </c>
      <c r="AT9" s="66">
        <f>AJ9*Z9</f>
        <v/>
      </c>
      <c r="AU9" s="66">
        <f>AK9*AA9</f>
        <v/>
      </c>
      <c r="AV9" s="66">
        <f>AL9*AB9</f>
        <v/>
      </c>
      <c r="AW9" s="66">
        <f>AM9*AC9</f>
        <v/>
      </c>
      <c r="AX9" s="66">
        <f>AN9*AD9</f>
        <v/>
      </c>
      <c r="AY9" s="66">
        <f>AO9*AE9</f>
        <v/>
      </c>
      <c r="AZ9" s="66">
        <f>INDEX(Projects[Automation Equipment],8)&amp;""</f>
        <v/>
      </c>
      <c r="BA9" s="66">
        <f>IF(OR(A9="",'Smart Search'!H13=0),"",MAX(0,BE9*BF9*MAX(0,1-BG9)))</f>
        <v/>
      </c>
      <c r="BB9" s="66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66">
        <f>IF('Smart Search'!G13=1,IFERROR(1/'Smart Search'!H13,0),0)</f>
        <v/>
      </c>
      <c r="BD9" s="66">
        <f>BB9*BC9</f>
        <v/>
      </c>
      <c r="BE9" s="66">
        <f>AP9+AQ9+AR9+AS9+AT9+AU9+AV9+AW9+AX9+AY9+BD9</f>
        <v/>
      </c>
      <c r="BF9" s="5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5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5">
        <f>IF(AND(A9&lt;&gt;"",OR('Smart Search'!$L$5="",'Smart Search'!$L$5="All",TRIM(BZ9)=TRIM('Smart Search'!$L$5)),OR(TRIM('Smart Search'!$L$6)="",TRIM('Smart Search'!$L$6)="All",ISNUMBER(SEARCH(SUBSTITUTE(SUBSTITUTE(SUBSTITUTE(TRIM('Smart Search'!$L$6),"~","~~"),"*","~*"),"?","~?"),CA9))),OR('Smart Search'!$L$7="",AND(CB9&lt;&gt;0,CB9='Smart Search'!$L$7)),OR('Smart Search'!$L$8="",'Smart Search'!$L$8="All",TRIM(CC9)=TRIM('Smart Search'!$L$8))),IF(BA9="","",BA9+ROW()*0.0000000001),"")</f>
        <v/>
      </c>
      <c r="BI9" s="5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5">
        <f>IF(A9="","",N(INDEX(Projects[Mech Inst],8)))</f>
        <v/>
      </c>
      <c r="BK9" s="5">
        <f>IF(A9="","",N(INDEX(Projects[Elec Inst],8)))</f>
        <v/>
      </c>
      <c r="BL9" s="5">
        <f>IF(A9="","",N(INDEX(Projects[Project Management],8)))</f>
        <v/>
      </c>
      <c r="BM9" s="5">
        <f>IF(A9="","",N(INDEX(Projects[Systems Eng],8)))</f>
        <v/>
      </c>
      <c r="BN9" s="5">
        <f>IF(A9="","",N(INDEX(Projects[Mechanical Eng],8)))</f>
        <v/>
      </c>
      <c r="BO9" s="5">
        <f>IF(A9="","",N(INDEX(Projects[Structural Engineering],8)))</f>
        <v/>
      </c>
      <c r="BP9" s="5">
        <f>IF(A9="","",N(INDEX(Projects[Site Sup],8)))</f>
        <v/>
      </c>
      <c r="BQ9" s="5">
        <f>IF(A9="","",N(INDEX(Projects[Controls Commissioning],8)))</f>
        <v/>
      </c>
      <c r="BR9" s="5">
        <f>IF(A9="","",N(INDEX(Projects[Systems Commissioning],8)))</f>
        <v/>
      </c>
      <c r="BS9" s="5">
        <f>IF(A9="","",N(INDEX(Projects[Service Commissioning],8)))</f>
        <v/>
      </c>
      <c r="BT9" s="5">
        <f>IF(A9="","",N(INDEX(Projects[Controls Eng],8)))</f>
        <v/>
      </c>
      <c r="BU9" s="5">
        <f>IF(A9="","",N(INDEX(Projects[Controls Purchase],8)))</f>
        <v/>
      </c>
      <c r="BV9" s="5">
        <f>IF(A9="","",N(INDEX(Projects[Software Eng],8)))</f>
        <v/>
      </c>
      <c r="BW9" s="5">
        <f>IF(A9="","",N(INDEX(Projects[Misc],8)))</f>
        <v/>
      </c>
      <c r="BX9" s="5">
        <f>IF(A9="","",SUM(BJ9:BW9))</f>
        <v/>
      </c>
      <c r="BY9" s="5">
        <f>IF(A9="","",IFERROR(IF(ISNUMBER(U9),U9,VALUE(SUBSTITUTE(SUBSTITUTE(SUBSTITUTE(UPPER(TRIM(U9)),"M",""),",","")," ",""))),0))</f>
        <v/>
      </c>
      <c r="BZ9" s="5">
        <f>INDEX(Projects[Solution Type],8)&amp;""</f>
        <v/>
      </c>
      <c r="CA9" s="5">
        <f>INDEX(Projects[Client / Region],8)&amp;""</f>
        <v/>
      </c>
      <c r="CB9" s="5">
        <f>INDEX(Projects[Year],8)</f>
        <v/>
      </c>
      <c r="CC9" s="5">
        <f>INDEX(Projects[Won?],8)&amp;""</f>
        <v/>
      </c>
      <c r="CD9" s="5">
        <f>INDEX(Projects[Value (USD M)],8)</f>
        <v/>
      </c>
    </row>
    <row r="10" ht="15" customHeight="1" s="74">
      <c r="A10" s="66">
        <f>INDEX(Projects[Project ID *],9)&amp;""</f>
        <v/>
      </c>
      <c r="B10" s="66">
        <f>INDEX(Projects[Project Name *],9)&amp;""</f>
        <v/>
      </c>
      <c r="C10" s="66">
        <f>INDEX(Projects[MS Shuttles],9)</f>
        <v/>
      </c>
      <c r="D10" s="66">
        <f>INDEX(Projects[MS Tote Locations],9)</f>
        <v/>
      </c>
      <c r="E10" s="66">
        <f>INDEX(Projects[AS Robots],9)</f>
        <v/>
      </c>
      <c r="F10" s="66">
        <f>INDEX(Projects[AS Tote Locations],9)</f>
        <v/>
      </c>
      <c r="G10" s="66">
        <f>INDEX(Projects[PS Shuttles],9)</f>
        <v/>
      </c>
      <c r="H10" s="66">
        <f>INDEX(Projects[PS Pallet Locations],9)</f>
        <v/>
      </c>
      <c r="I10" s="66">
        <f>INDEX(Projects[SRM Cranes],9)</f>
        <v/>
      </c>
      <c r="J10" s="66">
        <f>INDEX(Projects[SRM Pallet Locations],9)</f>
        <v/>
      </c>
      <c r="K10" s="66">
        <f>INDEX(Projects[Case Conv (m)],9)</f>
        <v/>
      </c>
      <c r="L10" s="66">
        <f>INDEX(Projects[Pallet Conv (m)],9)</f>
        <v/>
      </c>
      <c r="M10" s="66">
        <f>INDEX(Projects[Mech Eng (wks)],9)</f>
        <v/>
      </c>
      <c r="N10" s="66">
        <f>INDEX(Projects[Controls Eng (wks)],9)</f>
        <v/>
      </c>
      <c r="O10" s="66">
        <f>INDEX(Projects[Systems Eng (wks)],9)</f>
        <v/>
      </c>
      <c r="P10" s="66">
        <f>INDEX(Projects[Software Eng (wks)],9)</f>
        <v/>
      </c>
      <c r="Q10" s="66">
        <f>INDEX(Projects[M&amp;E Installation (wks)],9)</f>
        <v/>
      </c>
      <c r="R10" s="66">
        <f>INDEX(Projects[Commissioning (wks)],9)</f>
        <v/>
      </c>
      <c r="S10" s="66">
        <f>INDEX(Projects[Total Timeline (wks)],9)</f>
        <v/>
      </c>
      <c r="T10" s="66">
        <f>INDEX(Projects[Currency],9)&amp;""</f>
        <v/>
      </c>
      <c r="U10" s="67">
        <f>INDEX(Projects[Value (M)],9)</f>
        <v/>
      </c>
      <c r="V10" s="66">
        <f>IF('Smart Search'!B13=1,IFERROR(1/'Smart Search'!H13,0),0)</f>
        <v/>
      </c>
      <c r="W10" s="66">
        <f>IF('Smart Search'!B13=1,IFERROR(1/'Smart Search'!H13,0),0)</f>
        <v/>
      </c>
      <c r="X10" s="66">
        <f>IF('Smart Search'!C13=1,IFERROR(1/'Smart Search'!H13,0),0)</f>
        <v/>
      </c>
      <c r="Y10" s="66">
        <f>IF('Smart Search'!C13=1,IFERROR(1/'Smart Search'!H13,0),0)</f>
        <v/>
      </c>
      <c r="Z10" s="66">
        <f>IF('Smart Search'!D13=1,IFERROR(1/'Smart Search'!H13,0),0)</f>
        <v/>
      </c>
      <c r="AA10" s="66">
        <f>IF('Smart Search'!D13=1,IFERROR(1/'Smart Search'!H13,0),0)</f>
        <v/>
      </c>
      <c r="AB10" s="66">
        <f>IF('Smart Search'!E13=1,IFERROR(1/'Smart Search'!H13,0),0)</f>
        <v/>
      </c>
      <c r="AC10" s="66">
        <f>IF('Smart Search'!E13=1,IFERROR(1/'Smart Search'!H13,0),0)</f>
        <v/>
      </c>
      <c r="AD10" s="66">
        <f>IF('Smart Search'!F13=1,IFERROR(1/'Smart Search'!H13,0),0)</f>
        <v/>
      </c>
      <c r="AE10" s="66">
        <f>IF('Smart Search'!F13=1,IFERROR(1/'Smart Search'!H13,0),0)</f>
        <v/>
      </c>
      <c r="AF10" s="66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66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66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66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66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66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66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66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66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66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66">
        <f>AF10*V10</f>
        <v/>
      </c>
      <c r="AQ10" s="66">
        <f>AG10*W10</f>
        <v/>
      </c>
      <c r="AR10" s="66">
        <f>AH10*X10</f>
        <v/>
      </c>
      <c r="AS10" s="66">
        <f>AI10*Y10</f>
        <v/>
      </c>
      <c r="AT10" s="66">
        <f>AJ10*Z10</f>
        <v/>
      </c>
      <c r="AU10" s="66">
        <f>AK10*AA10</f>
        <v/>
      </c>
      <c r="AV10" s="66">
        <f>AL10*AB10</f>
        <v/>
      </c>
      <c r="AW10" s="66">
        <f>AM10*AC10</f>
        <v/>
      </c>
      <c r="AX10" s="66">
        <f>AN10*AD10</f>
        <v/>
      </c>
      <c r="AY10" s="66">
        <f>AO10*AE10</f>
        <v/>
      </c>
      <c r="AZ10" s="66">
        <f>INDEX(Projects[Automation Equipment],9)&amp;""</f>
        <v/>
      </c>
      <c r="BA10" s="66">
        <f>IF(OR(A10="",'Smart Search'!H13=0),"",MAX(0,BE10*BF10*MAX(0,1-BG10)))</f>
        <v/>
      </c>
      <c r="BB10" s="66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66">
        <f>IF('Smart Search'!G13=1,IFERROR(1/'Smart Search'!H13,0),0)</f>
        <v/>
      </c>
      <c r="BD10" s="66">
        <f>BB10*BC10</f>
        <v/>
      </c>
      <c r="BE10" s="66">
        <f>AP10+AQ10+AR10+AS10+AT10+AU10+AV10+AW10+AX10+AY10+BD10</f>
        <v/>
      </c>
      <c r="BF10" s="5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5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5">
        <f>IF(AND(A10&lt;&gt;"",OR('Smart Search'!$L$5="",'Smart Search'!$L$5="All",TRIM(BZ10)=TRIM('Smart Search'!$L$5)),OR(TRIM('Smart Search'!$L$6)="",TRIM('Smart Search'!$L$6)="All",ISNUMBER(SEARCH(SUBSTITUTE(SUBSTITUTE(SUBSTITUTE(TRIM('Smart Search'!$L$6),"~","~~"),"*","~*"),"?","~?"),CA10))),OR('Smart Search'!$L$7="",AND(CB10&lt;&gt;0,CB10='Smart Search'!$L$7)),OR('Smart Search'!$L$8="",'Smart Search'!$L$8="All",TRIM(CC10)=TRIM('Smart Search'!$L$8))),IF(BA10="","",BA10+ROW()*0.0000000001),"")</f>
        <v/>
      </c>
      <c r="BI10" s="5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5">
        <f>IF(A10="","",N(INDEX(Projects[Mech Inst],9)))</f>
        <v/>
      </c>
      <c r="BK10" s="5">
        <f>IF(A10="","",N(INDEX(Projects[Elec Inst],9)))</f>
        <v/>
      </c>
      <c r="BL10" s="5">
        <f>IF(A10="","",N(INDEX(Projects[Project Management],9)))</f>
        <v/>
      </c>
      <c r="BM10" s="5">
        <f>IF(A10="","",N(INDEX(Projects[Systems Eng],9)))</f>
        <v/>
      </c>
      <c r="BN10" s="5">
        <f>IF(A10="","",N(INDEX(Projects[Mechanical Eng],9)))</f>
        <v/>
      </c>
      <c r="BO10" s="5">
        <f>IF(A10="","",N(INDEX(Projects[Structural Engineering],9)))</f>
        <v/>
      </c>
      <c r="BP10" s="5">
        <f>IF(A10="","",N(INDEX(Projects[Site Sup],9)))</f>
        <v/>
      </c>
      <c r="BQ10" s="5">
        <f>IF(A10="","",N(INDEX(Projects[Controls Commissioning],9)))</f>
        <v/>
      </c>
      <c r="BR10" s="5">
        <f>IF(A10="","",N(INDEX(Projects[Systems Commissioning],9)))</f>
        <v/>
      </c>
      <c r="BS10" s="5">
        <f>IF(A10="","",N(INDEX(Projects[Service Commissioning],9)))</f>
        <v/>
      </c>
      <c r="BT10" s="5">
        <f>IF(A10="","",N(INDEX(Projects[Controls Eng],9)))</f>
        <v/>
      </c>
      <c r="BU10" s="5">
        <f>IF(A10="","",N(INDEX(Projects[Controls Purchase],9)))</f>
        <v/>
      </c>
      <c r="BV10" s="5">
        <f>IF(A10="","",N(INDEX(Projects[Software Eng],9)))</f>
        <v/>
      </c>
      <c r="BW10" s="5">
        <f>IF(A10="","",N(INDEX(Projects[Misc],9)))</f>
        <v/>
      </c>
      <c r="BX10" s="5">
        <f>IF(A10="","",SUM(BJ10:BW10))</f>
        <v/>
      </c>
      <c r="BY10" s="5">
        <f>IF(A10="","",IFERROR(IF(ISNUMBER(U10),U10,VALUE(SUBSTITUTE(SUBSTITUTE(SUBSTITUTE(UPPER(TRIM(U10)),"M",""),",","")," ",""))),0))</f>
        <v/>
      </c>
      <c r="BZ10" s="5">
        <f>INDEX(Projects[Solution Type],9)&amp;""</f>
        <v/>
      </c>
      <c r="CA10" s="5">
        <f>INDEX(Projects[Client / Region],9)&amp;""</f>
        <v/>
      </c>
      <c r="CB10" s="5">
        <f>INDEX(Projects[Year],9)</f>
        <v/>
      </c>
      <c r="CC10" s="5">
        <f>INDEX(Projects[Won?],9)&amp;""</f>
        <v/>
      </c>
      <c r="CD10" s="5">
        <f>INDEX(Projects[Value (USD M)],9)</f>
        <v/>
      </c>
    </row>
    <row r="11" ht="15" customHeight="1" s="74">
      <c r="A11" s="66">
        <f>INDEX(Projects[Project ID *],10)&amp;""</f>
        <v/>
      </c>
      <c r="B11" s="66">
        <f>INDEX(Projects[Project Name *],10)&amp;""</f>
        <v/>
      </c>
      <c r="C11" s="66">
        <f>INDEX(Projects[MS Shuttles],10)</f>
        <v/>
      </c>
      <c r="D11" s="66">
        <f>INDEX(Projects[MS Tote Locations],10)</f>
        <v/>
      </c>
      <c r="E11" s="66">
        <f>INDEX(Projects[AS Robots],10)</f>
        <v/>
      </c>
      <c r="F11" s="66">
        <f>INDEX(Projects[AS Tote Locations],10)</f>
        <v/>
      </c>
      <c r="G11" s="66">
        <f>INDEX(Projects[PS Shuttles],10)</f>
        <v/>
      </c>
      <c r="H11" s="66">
        <f>INDEX(Projects[PS Pallet Locations],10)</f>
        <v/>
      </c>
      <c r="I11" s="66">
        <f>INDEX(Projects[SRM Cranes],10)</f>
        <v/>
      </c>
      <c r="J11" s="66">
        <f>INDEX(Projects[SRM Pallet Locations],10)</f>
        <v/>
      </c>
      <c r="K11" s="66">
        <f>INDEX(Projects[Case Conv (m)],10)</f>
        <v/>
      </c>
      <c r="L11" s="66">
        <f>INDEX(Projects[Pallet Conv (m)],10)</f>
        <v/>
      </c>
      <c r="M11" s="66">
        <f>INDEX(Projects[Mech Eng (wks)],10)</f>
        <v/>
      </c>
      <c r="N11" s="66">
        <f>INDEX(Projects[Controls Eng (wks)],10)</f>
        <v/>
      </c>
      <c r="O11" s="66">
        <f>INDEX(Projects[Systems Eng (wks)],10)</f>
        <v/>
      </c>
      <c r="P11" s="66">
        <f>INDEX(Projects[Software Eng (wks)],10)</f>
        <v/>
      </c>
      <c r="Q11" s="66">
        <f>INDEX(Projects[M&amp;E Installation (wks)],10)</f>
        <v/>
      </c>
      <c r="R11" s="66">
        <f>INDEX(Projects[Commissioning (wks)],10)</f>
        <v/>
      </c>
      <c r="S11" s="66">
        <f>INDEX(Projects[Total Timeline (wks)],10)</f>
        <v/>
      </c>
      <c r="T11" s="66">
        <f>INDEX(Projects[Currency],10)&amp;""</f>
        <v/>
      </c>
      <c r="U11" s="67">
        <f>INDEX(Projects[Value (M)],10)</f>
        <v/>
      </c>
      <c r="V11" s="66">
        <f>IF('Smart Search'!B13=1,IFERROR(1/'Smart Search'!H13,0),0)</f>
        <v/>
      </c>
      <c r="W11" s="66">
        <f>IF('Smart Search'!B13=1,IFERROR(1/'Smart Search'!H13,0),0)</f>
        <v/>
      </c>
      <c r="X11" s="66">
        <f>IF('Smart Search'!C13=1,IFERROR(1/'Smart Search'!H13,0),0)</f>
        <v/>
      </c>
      <c r="Y11" s="66">
        <f>IF('Smart Search'!C13=1,IFERROR(1/'Smart Search'!H13,0),0)</f>
        <v/>
      </c>
      <c r="Z11" s="66">
        <f>IF('Smart Search'!D13=1,IFERROR(1/'Smart Search'!H13,0),0)</f>
        <v/>
      </c>
      <c r="AA11" s="66">
        <f>IF('Smart Search'!D13=1,IFERROR(1/'Smart Search'!H13,0),0)</f>
        <v/>
      </c>
      <c r="AB11" s="66">
        <f>IF('Smart Search'!E13=1,IFERROR(1/'Smart Search'!H13,0),0)</f>
        <v/>
      </c>
      <c r="AC11" s="66">
        <f>IF('Smart Search'!E13=1,IFERROR(1/'Smart Search'!H13,0),0)</f>
        <v/>
      </c>
      <c r="AD11" s="66">
        <f>IF('Smart Search'!F13=1,IFERROR(1/'Smart Search'!H13,0),0)</f>
        <v/>
      </c>
      <c r="AE11" s="66">
        <f>IF('Smart Search'!F13=1,IFERROR(1/'Smart Search'!H13,0),0)</f>
        <v/>
      </c>
      <c r="AF11" s="66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66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66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66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66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66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66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66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66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66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66">
        <f>AF11*V11</f>
        <v/>
      </c>
      <c r="AQ11" s="66">
        <f>AG11*W11</f>
        <v/>
      </c>
      <c r="AR11" s="66">
        <f>AH11*X11</f>
        <v/>
      </c>
      <c r="AS11" s="66">
        <f>AI11*Y11</f>
        <v/>
      </c>
      <c r="AT11" s="66">
        <f>AJ11*Z11</f>
        <v/>
      </c>
      <c r="AU11" s="66">
        <f>AK11*AA11</f>
        <v/>
      </c>
      <c r="AV11" s="66">
        <f>AL11*AB11</f>
        <v/>
      </c>
      <c r="AW11" s="66">
        <f>AM11*AC11</f>
        <v/>
      </c>
      <c r="AX11" s="66">
        <f>AN11*AD11</f>
        <v/>
      </c>
      <c r="AY11" s="66">
        <f>AO11*AE11</f>
        <v/>
      </c>
      <c r="AZ11" s="66">
        <f>INDEX(Projects[Automation Equipment],10)&amp;""</f>
        <v/>
      </c>
      <c r="BA11" s="66">
        <f>IF(OR(A11="",'Smart Search'!H13=0),"",MAX(0,BE11*BF11*MAX(0,1-BG11)))</f>
        <v/>
      </c>
      <c r="BB11" s="66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66">
        <f>IF('Smart Search'!G13=1,IFERROR(1/'Smart Search'!H13,0),0)</f>
        <v/>
      </c>
      <c r="BD11" s="66">
        <f>BB11*BC11</f>
        <v/>
      </c>
      <c r="BE11" s="66">
        <f>AP11+AQ11+AR11+AS11+AT11+AU11+AV11+AW11+AX11+AY11+BD11</f>
        <v/>
      </c>
      <c r="BF11" s="5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5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5">
        <f>IF(AND(A11&lt;&gt;"",OR('Smart Search'!$L$5="",'Smart Search'!$L$5="All",TRIM(BZ11)=TRIM('Smart Search'!$L$5)),OR(TRIM('Smart Search'!$L$6)="",TRIM('Smart Search'!$L$6)="All",ISNUMBER(SEARCH(SUBSTITUTE(SUBSTITUTE(SUBSTITUTE(TRIM('Smart Search'!$L$6),"~","~~"),"*","~*"),"?","~?"),CA11))),OR('Smart Search'!$L$7="",AND(CB11&lt;&gt;0,CB11='Smart Search'!$L$7)),OR('Smart Search'!$L$8="",'Smart Search'!$L$8="All",TRIM(CC11)=TRIM('Smart Search'!$L$8))),IF(BA11="","",BA11+ROW()*0.0000000001),"")</f>
        <v/>
      </c>
      <c r="BI11" s="5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5">
        <f>IF(A11="","",N(INDEX(Projects[Mech Inst],10)))</f>
        <v/>
      </c>
      <c r="BK11" s="5">
        <f>IF(A11="","",N(INDEX(Projects[Elec Inst],10)))</f>
        <v/>
      </c>
      <c r="BL11" s="5">
        <f>IF(A11="","",N(INDEX(Projects[Project Management],10)))</f>
        <v/>
      </c>
      <c r="BM11" s="5">
        <f>IF(A11="","",N(INDEX(Projects[Systems Eng],10)))</f>
        <v/>
      </c>
      <c r="BN11" s="5">
        <f>IF(A11="","",N(INDEX(Projects[Mechanical Eng],10)))</f>
        <v/>
      </c>
      <c r="BO11" s="5">
        <f>IF(A11="","",N(INDEX(Projects[Structural Engineering],10)))</f>
        <v/>
      </c>
      <c r="BP11" s="5">
        <f>IF(A11="","",N(INDEX(Projects[Site Sup],10)))</f>
        <v/>
      </c>
      <c r="BQ11" s="5">
        <f>IF(A11="","",N(INDEX(Projects[Controls Commissioning],10)))</f>
        <v/>
      </c>
      <c r="BR11" s="5">
        <f>IF(A11="","",N(INDEX(Projects[Systems Commissioning],10)))</f>
        <v/>
      </c>
      <c r="BS11" s="5">
        <f>IF(A11="","",N(INDEX(Projects[Service Commissioning],10)))</f>
        <v/>
      </c>
      <c r="BT11" s="5">
        <f>IF(A11="","",N(INDEX(Projects[Controls Eng],10)))</f>
        <v/>
      </c>
      <c r="BU11" s="5">
        <f>IF(A11="","",N(INDEX(Projects[Controls Purchase],10)))</f>
        <v/>
      </c>
      <c r="BV11" s="5">
        <f>IF(A11="","",N(INDEX(Projects[Software Eng],10)))</f>
        <v/>
      </c>
      <c r="BW11" s="5">
        <f>IF(A11="","",N(INDEX(Projects[Misc],10)))</f>
        <v/>
      </c>
      <c r="BX11" s="5">
        <f>IF(A11="","",SUM(BJ11:BW11))</f>
        <v/>
      </c>
      <c r="BY11" s="5">
        <f>IF(A11="","",IFERROR(IF(ISNUMBER(U11),U11,VALUE(SUBSTITUTE(SUBSTITUTE(SUBSTITUTE(UPPER(TRIM(U11)),"M",""),",","")," ",""))),0))</f>
        <v/>
      </c>
      <c r="BZ11" s="5">
        <f>INDEX(Projects[Solution Type],10)&amp;""</f>
        <v/>
      </c>
      <c r="CA11" s="5">
        <f>INDEX(Projects[Client / Region],10)&amp;""</f>
        <v/>
      </c>
      <c r="CB11" s="5">
        <f>INDEX(Projects[Year],10)</f>
        <v/>
      </c>
      <c r="CC11" s="5">
        <f>INDEX(Projects[Won?],10)&amp;""</f>
        <v/>
      </c>
      <c r="CD11" s="5">
        <f>INDEX(Projects[Value (USD M)],10)</f>
        <v/>
      </c>
    </row>
    <row r="12" ht="15" customHeight="1" s="74">
      <c r="A12" s="66">
        <f>INDEX(Projects[Project ID *],11)&amp;""</f>
        <v/>
      </c>
      <c r="B12" s="66">
        <f>INDEX(Projects[Project Name *],11)&amp;""</f>
        <v/>
      </c>
      <c r="C12" s="66">
        <f>INDEX(Projects[MS Shuttles],11)</f>
        <v/>
      </c>
      <c r="D12" s="66">
        <f>INDEX(Projects[MS Tote Locations],11)</f>
        <v/>
      </c>
      <c r="E12" s="66">
        <f>INDEX(Projects[AS Robots],11)</f>
        <v/>
      </c>
      <c r="F12" s="66">
        <f>INDEX(Projects[AS Tote Locations],11)</f>
        <v/>
      </c>
      <c r="G12" s="66">
        <f>INDEX(Projects[PS Shuttles],11)</f>
        <v/>
      </c>
      <c r="H12" s="66">
        <f>INDEX(Projects[PS Pallet Locations],11)</f>
        <v/>
      </c>
      <c r="I12" s="66">
        <f>INDEX(Projects[SRM Cranes],11)</f>
        <v/>
      </c>
      <c r="J12" s="66">
        <f>INDEX(Projects[SRM Pallet Locations],11)</f>
        <v/>
      </c>
      <c r="K12" s="66">
        <f>INDEX(Projects[Case Conv (m)],11)</f>
        <v/>
      </c>
      <c r="L12" s="66">
        <f>INDEX(Projects[Pallet Conv (m)],11)</f>
        <v/>
      </c>
      <c r="M12" s="66">
        <f>INDEX(Projects[Mech Eng (wks)],11)</f>
        <v/>
      </c>
      <c r="N12" s="66">
        <f>INDEX(Projects[Controls Eng (wks)],11)</f>
        <v/>
      </c>
      <c r="O12" s="66">
        <f>INDEX(Projects[Systems Eng (wks)],11)</f>
        <v/>
      </c>
      <c r="P12" s="66">
        <f>INDEX(Projects[Software Eng (wks)],11)</f>
        <v/>
      </c>
      <c r="Q12" s="66">
        <f>INDEX(Projects[M&amp;E Installation (wks)],11)</f>
        <v/>
      </c>
      <c r="R12" s="66">
        <f>INDEX(Projects[Commissioning (wks)],11)</f>
        <v/>
      </c>
      <c r="S12" s="66">
        <f>INDEX(Projects[Total Timeline (wks)],11)</f>
        <v/>
      </c>
      <c r="T12" s="66">
        <f>INDEX(Projects[Currency],11)&amp;""</f>
        <v/>
      </c>
      <c r="U12" s="67">
        <f>INDEX(Projects[Value (M)],11)</f>
        <v/>
      </c>
      <c r="V12" s="66">
        <f>IF('Smart Search'!B13=1,IFERROR(1/'Smart Search'!H13,0),0)</f>
        <v/>
      </c>
      <c r="W12" s="66">
        <f>IF('Smart Search'!B13=1,IFERROR(1/'Smart Search'!H13,0),0)</f>
        <v/>
      </c>
      <c r="X12" s="66">
        <f>IF('Smart Search'!C13=1,IFERROR(1/'Smart Search'!H13,0),0)</f>
        <v/>
      </c>
      <c r="Y12" s="66">
        <f>IF('Smart Search'!C13=1,IFERROR(1/'Smart Search'!H13,0),0)</f>
        <v/>
      </c>
      <c r="Z12" s="66">
        <f>IF('Smart Search'!D13=1,IFERROR(1/'Smart Search'!H13,0),0)</f>
        <v/>
      </c>
      <c r="AA12" s="66">
        <f>IF('Smart Search'!D13=1,IFERROR(1/'Smart Search'!H13,0),0)</f>
        <v/>
      </c>
      <c r="AB12" s="66">
        <f>IF('Smart Search'!E13=1,IFERROR(1/'Smart Search'!H13,0),0)</f>
        <v/>
      </c>
      <c r="AC12" s="66">
        <f>IF('Smart Search'!E13=1,IFERROR(1/'Smart Search'!H13,0),0)</f>
        <v/>
      </c>
      <c r="AD12" s="66">
        <f>IF('Smart Search'!F13=1,IFERROR(1/'Smart Search'!H13,0),0)</f>
        <v/>
      </c>
      <c r="AE12" s="66">
        <f>IF('Smart Search'!F13=1,IFERROR(1/'Smart Search'!H13,0),0)</f>
        <v/>
      </c>
      <c r="AF12" s="66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66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66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66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66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66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66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66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66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66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66">
        <f>AF12*V12</f>
        <v/>
      </c>
      <c r="AQ12" s="66">
        <f>AG12*W12</f>
        <v/>
      </c>
      <c r="AR12" s="66">
        <f>AH12*X12</f>
        <v/>
      </c>
      <c r="AS12" s="66">
        <f>AI12*Y12</f>
        <v/>
      </c>
      <c r="AT12" s="66">
        <f>AJ12*Z12</f>
        <v/>
      </c>
      <c r="AU12" s="66">
        <f>AK12*AA12</f>
        <v/>
      </c>
      <c r="AV12" s="66">
        <f>AL12*AB12</f>
        <v/>
      </c>
      <c r="AW12" s="66">
        <f>AM12*AC12</f>
        <v/>
      </c>
      <c r="AX12" s="66">
        <f>AN12*AD12</f>
        <v/>
      </c>
      <c r="AY12" s="66">
        <f>AO12*AE12</f>
        <v/>
      </c>
      <c r="AZ12" s="66">
        <f>INDEX(Projects[Automation Equipment],11)&amp;""</f>
        <v/>
      </c>
      <c r="BA12" s="66">
        <f>IF(OR(A12="",'Smart Search'!H13=0),"",MAX(0,BE12*BF12*MAX(0,1-BG12)))</f>
        <v/>
      </c>
      <c r="BB12" s="66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66">
        <f>IF('Smart Search'!G13=1,IFERROR(1/'Smart Search'!H13,0),0)</f>
        <v/>
      </c>
      <c r="BD12" s="66">
        <f>BB12*BC12</f>
        <v/>
      </c>
      <c r="BE12" s="66">
        <f>AP12+AQ12+AR12+AS12+AT12+AU12+AV12+AW12+AX12+AY12+BD12</f>
        <v/>
      </c>
      <c r="BF12" s="5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5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5">
        <f>IF(AND(A12&lt;&gt;"",OR('Smart Search'!$L$5="",'Smart Search'!$L$5="All",TRIM(BZ12)=TRIM('Smart Search'!$L$5)),OR(TRIM('Smart Search'!$L$6)="",TRIM('Smart Search'!$L$6)="All",ISNUMBER(SEARCH(SUBSTITUTE(SUBSTITUTE(SUBSTITUTE(TRIM('Smart Search'!$L$6),"~","~~"),"*","~*"),"?","~?"),CA12))),OR('Smart Search'!$L$7="",AND(CB12&lt;&gt;0,CB12='Smart Search'!$L$7)),OR('Smart Search'!$L$8="",'Smart Search'!$L$8="All",TRIM(CC12)=TRIM('Smart Search'!$L$8))),IF(BA12="","",BA12+ROW()*0.0000000001),"")</f>
        <v/>
      </c>
      <c r="BI12" s="5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5">
        <f>IF(A12="","",N(INDEX(Projects[Mech Inst],11)))</f>
        <v/>
      </c>
      <c r="BK12" s="5">
        <f>IF(A12="","",N(INDEX(Projects[Elec Inst],11)))</f>
        <v/>
      </c>
      <c r="BL12" s="5">
        <f>IF(A12="","",N(INDEX(Projects[Project Management],11)))</f>
        <v/>
      </c>
      <c r="BM12" s="5">
        <f>IF(A12="","",N(INDEX(Projects[Systems Eng],11)))</f>
        <v/>
      </c>
      <c r="BN12" s="5">
        <f>IF(A12="","",N(INDEX(Projects[Mechanical Eng],11)))</f>
        <v/>
      </c>
      <c r="BO12" s="5">
        <f>IF(A12="","",N(INDEX(Projects[Structural Engineering],11)))</f>
        <v/>
      </c>
      <c r="BP12" s="5">
        <f>IF(A12="","",N(INDEX(Projects[Site Sup],11)))</f>
        <v/>
      </c>
      <c r="BQ12" s="5">
        <f>IF(A12="","",N(INDEX(Projects[Controls Commissioning],11)))</f>
        <v/>
      </c>
      <c r="BR12" s="5">
        <f>IF(A12="","",N(INDEX(Projects[Systems Commissioning],11)))</f>
        <v/>
      </c>
      <c r="BS12" s="5">
        <f>IF(A12="","",N(INDEX(Projects[Service Commissioning],11)))</f>
        <v/>
      </c>
      <c r="BT12" s="5">
        <f>IF(A12="","",N(INDEX(Projects[Controls Eng],11)))</f>
        <v/>
      </c>
      <c r="BU12" s="5">
        <f>IF(A12="","",N(INDEX(Projects[Controls Purchase],11)))</f>
        <v/>
      </c>
      <c r="BV12" s="5">
        <f>IF(A12="","",N(INDEX(Projects[Software Eng],11)))</f>
        <v/>
      </c>
      <c r="BW12" s="5">
        <f>IF(A12="","",N(INDEX(Projects[Misc],11)))</f>
        <v/>
      </c>
      <c r="BX12" s="5">
        <f>IF(A12="","",SUM(BJ12:BW12))</f>
        <v/>
      </c>
      <c r="BY12" s="5">
        <f>IF(A12="","",IFERROR(IF(ISNUMBER(U12),U12,VALUE(SUBSTITUTE(SUBSTITUTE(SUBSTITUTE(UPPER(TRIM(U12)),"M",""),",","")," ",""))),0))</f>
        <v/>
      </c>
      <c r="BZ12" s="5">
        <f>INDEX(Projects[Solution Type],11)&amp;""</f>
        <v/>
      </c>
      <c r="CA12" s="5">
        <f>INDEX(Projects[Client / Region],11)&amp;""</f>
        <v/>
      </c>
      <c r="CB12" s="5">
        <f>INDEX(Projects[Year],11)</f>
        <v/>
      </c>
      <c r="CC12" s="5">
        <f>INDEX(Projects[Won?],11)&amp;""</f>
        <v/>
      </c>
      <c r="CD12" s="5">
        <f>INDEX(Projects[Value (USD M)],11)</f>
        <v/>
      </c>
    </row>
    <row r="13" ht="15" customHeight="1" s="74">
      <c r="A13" s="66">
        <f>INDEX(Projects[Project ID *],12)&amp;""</f>
        <v/>
      </c>
      <c r="B13" s="66">
        <f>INDEX(Projects[Project Name *],12)&amp;""</f>
        <v/>
      </c>
      <c r="C13" s="66">
        <f>INDEX(Projects[MS Shuttles],12)</f>
        <v/>
      </c>
      <c r="D13" s="66">
        <f>INDEX(Projects[MS Tote Locations],12)</f>
        <v/>
      </c>
      <c r="E13" s="66">
        <f>INDEX(Projects[AS Robots],12)</f>
        <v/>
      </c>
      <c r="F13" s="66">
        <f>INDEX(Projects[AS Tote Locations],12)</f>
        <v/>
      </c>
      <c r="G13" s="66">
        <f>INDEX(Projects[PS Shuttles],12)</f>
        <v/>
      </c>
      <c r="H13" s="66">
        <f>INDEX(Projects[PS Pallet Locations],12)</f>
        <v/>
      </c>
      <c r="I13" s="66">
        <f>INDEX(Projects[SRM Cranes],12)</f>
        <v/>
      </c>
      <c r="J13" s="66">
        <f>INDEX(Projects[SRM Pallet Locations],12)</f>
        <v/>
      </c>
      <c r="K13" s="66">
        <f>INDEX(Projects[Case Conv (m)],12)</f>
        <v/>
      </c>
      <c r="L13" s="66">
        <f>INDEX(Projects[Pallet Conv (m)],12)</f>
        <v/>
      </c>
      <c r="M13" s="66">
        <f>INDEX(Projects[Mech Eng (wks)],12)</f>
        <v/>
      </c>
      <c r="N13" s="66">
        <f>INDEX(Projects[Controls Eng (wks)],12)</f>
        <v/>
      </c>
      <c r="O13" s="66">
        <f>INDEX(Projects[Systems Eng (wks)],12)</f>
        <v/>
      </c>
      <c r="P13" s="66">
        <f>INDEX(Projects[Software Eng (wks)],12)</f>
        <v/>
      </c>
      <c r="Q13" s="66">
        <f>INDEX(Projects[M&amp;E Installation (wks)],12)</f>
        <v/>
      </c>
      <c r="R13" s="66">
        <f>INDEX(Projects[Commissioning (wks)],12)</f>
        <v/>
      </c>
      <c r="S13" s="66">
        <f>INDEX(Projects[Total Timeline (wks)],12)</f>
        <v/>
      </c>
      <c r="T13" s="66">
        <f>INDEX(Projects[Currency],12)&amp;""</f>
        <v/>
      </c>
      <c r="U13" s="67">
        <f>INDEX(Projects[Value (M)],12)</f>
        <v/>
      </c>
      <c r="V13" s="66">
        <f>IF('Smart Search'!B13=1,IFERROR(1/'Smart Search'!H13,0),0)</f>
        <v/>
      </c>
      <c r="W13" s="66">
        <f>IF('Smart Search'!B13=1,IFERROR(1/'Smart Search'!H13,0),0)</f>
        <v/>
      </c>
      <c r="X13" s="66">
        <f>IF('Smart Search'!C13=1,IFERROR(1/'Smart Search'!H13,0),0)</f>
        <v/>
      </c>
      <c r="Y13" s="66">
        <f>IF('Smart Search'!C13=1,IFERROR(1/'Smart Search'!H13,0),0)</f>
        <v/>
      </c>
      <c r="Z13" s="66">
        <f>IF('Smart Search'!D13=1,IFERROR(1/'Smart Search'!H13,0),0)</f>
        <v/>
      </c>
      <c r="AA13" s="66">
        <f>IF('Smart Search'!D13=1,IFERROR(1/'Smart Search'!H13,0),0)</f>
        <v/>
      </c>
      <c r="AB13" s="66">
        <f>IF('Smart Search'!E13=1,IFERROR(1/'Smart Search'!H13,0),0)</f>
        <v/>
      </c>
      <c r="AC13" s="66">
        <f>IF('Smart Search'!E13=1,IFERROR(1/'Smart Search'!H13,0),0)</f>
        <v/>
      </c>
      <c r="AD13" s="66">
        <f>IF('Smart Search'!F13=1,IFERROR(1/'Smart Search'!H13,0),0)</f>
        <v/>
      </c>
      <c r="AE13" s="66">
        <f>IF('Smart Search'!F13=1,IFERROR(1/'Smart Search'!H13,0),0)</f>
        <v/>
      </c>
      <c r="AF13" s="66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66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66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66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66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66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66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66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66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66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66">
        <f>AF13*V13</f>
        <v/>
      </c>
      <c r="AQ13" s="66">
        <f>AG13*W13</f>
        <v/>
      </c>
      <c r="AR13" s="66">
        <f>AH13*X13</f>
        <v/>
      </c>
      <c r="AS13" s="66">
        <f>AI13*Y13</f>
        <v/>
      </c>
      <c r="AT13" s="66">
        <f>AJ13*Z13</f>
        <v/>
      </c>
      <c r="AU13" s="66">
        <f>AK13*AA13</f>
        <v/>
      </c>
      <c r="AV13" s="66">
        <f>AL13*AB13</f>
        <v/>
      </c>
      <c r="AW13" s="66">
        <f>AM13*AC13</f>
        <v/>
      </c>
      <c r="AX13" s="66">
        <f>AN13*AD13</f>
        <v/>
      </c>
      <c r="AY13" s="66">
        <f>AO13*AE13</f>
        <v/>
      </c>
      <c r="AZ13" s="66">
        <f>INDEX(Projects[Automation Equipment],12)&amp;""</f>
        <v/>
      </c>
      <c r="BA13" s="66">
        <f>IF(OR(A13="",'Smart Search'!H13=0),"",MAX(0,BE13*BF13*MAX(0,1-BG13)))</f>
        <v/>
      </c>
      <c r="BB13" s="66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66">
        <f>IF('Smart Search'!G13=1,IFERROR(1/'Smart Search'!H13,0),0)</f>
        <v/>
      </c>
      <c r="BD13" s="66">
        <f>BB13*BC13</f>
        <v/>
      </c>
      <c r="BE13" s="66">
        <f>AP13+AQ13+AR13+AS13+AT13+AU13+AV13+AW13+AX13+AY13+BD13</f>
        <v/>
      </c>
      <c r="BF13" s="5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5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5">
        <f>IF(AND(A13&lt;&gt;"",OR('Smart Search'!$L$5="",'Smart Search'!$L$5="All",TRIM(BZ13)=TRIM('Smart Search'!$L$5)),OR(TRIM('Smart Search'!$L$6)="",TRIM('Smart Search'!$L$6)="All",ISNUMBER(SEARCH(SUBSTITUTE(SUBSTITUTE(SUBSTITUTE(TRIM('Smart Search'!$L$6),"~","~~"),"*","~*"),"?","~?"),CA13))),OR('Smart Search'!$L$7="",AND(CB13&lt;&gt;0,CB13='Smart Search'!$L$7)),OR('Smart Search'!$L$8="",'Smart Search'!$L$8="All",TRIM(CC13)=TRIM('Smart Search'!$L$8))),IF(BA13="","",BA13+ROW()*0.0000000001),"")</f>
        <v/>
      </c>
      <c r="BI13" s="5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5">
        <f>IF(A13="","",N(INDEX(Projects[Mech Inst],12)))</f>
        <v/>
      </c>
      <c r="BK13" s="5">
        <f>IF(A13="","",N(INDEX(Projects[Elec Inst],12)))</f>
        <v/>
      </c>
      <c r="BL13" s="5">
        <f>IF(A13="","",N(INDEX(Projects[Project Management],12)))</f>
        <v/>
      </c>
      <c r="BM13" s="5">
        <f>IF(A13="","",N(INDEX(Projects[Systems Eng],12)))</f>
        <v/>
      </c>
      <c r="BN13" s="5">
        <f>IF(A13="","",N(INDEX(Projects[Mechanical Eng],12)))</f>
        <v/>
      </c>
      <c r="BO13" s="5">
        <f>IF(A13="","",N(INDEX(Projects[Structural Engineering],12)))</f>
        <v/>
      </c>
      <c r="BP13" s="5">
        <f>IF(A13="","",N(INDEX(Projects[Site Sup],12)))</f>
        <v/>
      </c>
      <c r="BQ13" s="5">
        <f>IF(A13="","",N(INDEX(Projects[Controls Commissioning],12)))</f>
        <v/>
      </c>
      <c r="BR13" s="5">
        <f>IF(A13="","",N(INDEX(Projects[Systems Commissioning],12)))</f>
        <v/>
      </c>
      <c r="BS13" s="5">
        <f>IF(A13="","",N(INDEX(Projects[Service Commissioning],12)))</f>
        <v/>
      </c>
      <c r="BT13" s="5">
        <f>IF(A13="","",N(INDEX(Projects[Controls Eng],12)))</f>
        <v/>
      </c>
      <c r="BU13" s="5">
        <f>IF(A13="","",N(INDEX(Projects[Controls Purchase],12)))</f>
        <v/>
      </c>
      <c r="BV13" s="5">
        <f>IF(A13="","",N(INDEX(Projects[Software Eng],12)))</f>
        <v/>
      </c>
      <c r="BW13" s="5">
        <f>IF(A13="","",N(INDEX(Projects[Misc],12)))</f>
        <v/>
      </c>
      <c r="BX13" s="5">
        <f>IF(A13="","",SUM(BJ13:BW13))</f>
        <v/>
      </c>
      <c r="BY13" s="5">
        <f>IF(A13="","",IFERROR(IF(ISNUMBER(U13),U13,VALUE(SUBSTITUTE(SUBSTITUTE(SUBSTITUTE(UPPER(TRIM(U13)),"M",""),",","")," ",""))),0))</f>
        <v/>
      </c>
      <c r="BZ13" s="5">
        <f>INDEX(Projects[Solution Type],12)&amp;""</f>
        <v/>
      </c>
      <c r="CA13" s="5">
        <f>INDEX(Projects[Client / Region],12)&amp;""</f>
        <v/>
      </c>
      <c r="CB13" s="5">
        <f>INDEX(Projects[Year],12)</f>
        <v/>
      </c>
      <c r="CC13" s="5">
        <f>INDEX(Projects[Won?],12)&amp;""</f>
        <v/>
      </c>
      <c r="CD13" s="5">
        <f>INDEX(Projects[Value (USD M)],12)</f>
        <v/>
      </c>
    </row>
    <row r="14" ht="15" customHeight="1" s="74">
      <c r="A14" s="66">
        <f>INDEX(Projects[Project ID *],13)&amp;""</f>
        <v/>
      </c>
      <c r="B14" s="66">
        <f>INDEX(Projects[Project Name *],13)&amp;""</f>
        <v/>
      </c>
      <c r="C14" s="66">
        <f>INDEX(Projects[MS Shuttles],13)</f>
        <v/>
      </c>
      <c r="D14" s="66">
        <f>INDEX(Projects[MS Tote Locations],13)</f>
        <v/>
      </c>
      <c r="E14" s="66">
        <f>INDEX(Projects[AS Robots],13)</f>
        <v/>
      </c>
      <c r="F14" s="66">
        <f>INDEX(Projects[AS Tote Locations],13)</f>
        <v/>
      </c>
      <c r="G14" s="66">
        <f>INDEX(Projects[PS Shuttles],13)</f>
        <v/>
      </c>
      <c r="H14" s="66">
        <f>INDEX(Projects[PS Pallet Locations],13)</f>
        <v/>
      </c>
      <c r="I14" s="66">
        <f>INDEX(Projects[SRM Cranes],13)</f>
        <v/>
      </c>
      <c r="J14" s="66">
        <f>INDEX(Projects[SRM Pallet Locations],13)</f>
        <v/>
      </c>
      <c r="K14" s="66">
        <f>INDEX(Projects[Case Conv (m)],13)</f>
        <v/>
      </c>
      <c r="L14" s="66">
        <f>INDEX(Projects[Pallet Conv (m)],13)</f>
        <v/>
      </c>
      <c r="M14" s="66">
        <f>INDEX(Projects[Mech Eng (wks)],13)</f>
        <v/>
      </c>
      <c r="N14" s="66">
        <f>INDEX(Projects[Controls Eng (wks)],13)</f>
        <v/>
      </c>
      <c r="O14" s="66">
        <f>INDEX(Projects[Systems Eng (wks)],13)</f>
        <v/>
      </c>
      <c r="P14" s="66">
        <f>INDEX(Projects[Software Eng (wks)],13)</f>
        <v/>
      </c>
      <c r="Q14" s="66">
        <f>INDEX(Projects[M&amp;E Installation (wks)],13)</f>
        <v/>
      </c>
      <c r="R14" s="66">
        <f>INDEX(Projects[Commissioning (wks)],13)</f>
        <v/>
      </c>
      <c r="S14" s="66">
        <f>INDEX(Projects[Total Timeline (wks)],13)</f>
        <v/>
      </c>
      <c r="T14" s="66">
        <f>INDEX(Projects[Currency],13)&amp;""</f>
        <v/>
      </c>
      <c r="U14" s="67">
        <f>INDEX(Projects[Value (M)],13)</f>
        <v/>
      </c>
      <c r="V14" s="66">
        <f>IF('Smart Search'!B13=1,IFERROR(1/'Smart Search'!H13,0),0)</f>
        <v/>
      </c>
      <c r="W14" s="66">
        <f>IF('Smart Search'!B13=1,IFERROR(1/'Smart Search'!H13,0),0)</f>
        <v/>
      </c>
      <c r="X14" s="66">
        <f>IF('Smart Search'!C13=1,IFERROR(1/'Smart Search'!H13,0),0)</f>
        <v/>
      </c>
      <c r="Y14" s="66">
        <f>IF('Smart Search'!C13=1,IFERROR(1/'Smart Search'!H13,0),0)</f>
        <v/>
      </c>
      <c r="Z14" s="66">
        <f>IF('Smart Search'!D13=1,IFERROR(1/'Smart Search'!H13,0),0)</f>
        <v/>
      </c>
      <c r="AA14" s="66">
        <f>IF('Smart Search'!D13=1,IFERROR(1/'Smart Search'!H13,0),0)</f>
        <v/>
      </c>
      <c r="AB14" s="66">
        <f>IF('Smart Search'!E13=1,IFERROR(1/'Smart Search'!H13,0),0)</f>
        <v/>
      </c>
      <c r="AC14" s="66">
        <f>IF('Smart Search'!E13=1,IFERROR(1/'Smart Search'!H13,0),0)</f>
        <v/>
      </c>
      <c r="AD14" s="66">
        <f>IF('Smart Search'!F13=1,IFERROR(1/'Smart Search'!H13,0),0)</f>
        <v/>
      </c>
      <c r="AE14" s="66">
        <f>IF('Smart Search'!F13=1,IFERROR(1/'Smart Search'!H13,0),0)</f>
        <v/>
      </c>
      <c r="AF14" s="66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66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66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66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66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66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66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66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66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66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66">
        <f>AF14*V14</f>
        <v/>
      </c>
      <c r="AQ14" s="66">
        <f>AG14*W14</f>
        <v/>
      </c>
      <c r="AR14" s="66">
        <f>AH14*X14</f>
        <v/>
      </c>
      <c r="AS14" s="66">
        <f>AI14*Y14</f>
        <v/>
      </c>
      <c r="AT14" s="66">
        <f>AJ14*Z14</f>
        <v/>
      </c>
      <c r="AU14" s="66">
        <f>AK14*AA14</f>
        <v/>
      </c>
      <c r="AV14" s="66">
        <f>AL14*AB14</f>
        <v/>
      </c>
      <c r="AW14" s="66">
        <f>AM14*AC14</f>
        <v/>
      </c>
      <c r="AX14" s="66">
        <f>AN14*AD14</f>
        <v/>
      </c>
      <c r="AY14" s="66">
        <f>AO14*AE14</f>
        <v/>
      </c>
      <c r="AZ14" s="66">
        <f>INDEX(Projects[Automation Equipment],13)&amp;""</f>
        <v/>
      </c>
      <c r="BA14" s="66">
        <f>IF(OR(A14="",'Smart Search'!H13=0),"",MAX(0,BE14*BF14*MAX(0,1-BG14)))</f>
        <v/>
      </c>
      <c r="BB14" s="66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66">
        <f>IF('Smart Search'!G13=1,IFERROR(1/'Smart Search'!H13,0),0)</f>
        <v/>
      </c>
      <c r="BD14" s="66">
        <f>BB14*BC14</f>
        <v/>
      </c>
      <c r="BE14" s="66">
        <f>AP14+AQ14+AR14+AS14+AT14+AU14+AV14+AW14+AX14+AY14+BD14</f>
        <v/>
      </c>
      <c r="BF14" s="5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5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5">
        <f>IF(AND(A14&lt;&gt;"",OR('Smart Search'!$L$5="",'Smart Search'!$L$5="All",TRIM(BZ14)=TRIM('Smart Search'!$L$5)),OR(TRIM('Smart Search'!$L$6)="",TRIM('Smart Search'!$L$6)="All",ISNUMBER(SEARCH(SUBSTITUTE(SUBSTITUTE(SUBSTITUTE(TRIM('Smart Search'!$L$6),"~","~~"),"*","~*"),"?","~?"),CA14))),OR('Smart Search'!$L$7="",AND(CB14&lt;&gt;0,CB14='Smart Search'!$L$7)),OR('Smart Search'!$L$8="",'Smart Search'!$L$8="All",TRIM(CC14)=TRIM('Smart Search'!$L$8))),IF(BA14="","",BA14+ROW()*0.0000000001),"")</f>
        <v/>
      </c>
      <c r="BI14" s="5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5">
        <f>IF(A14="","",N(INDEX(Projects[Mech Inst],13)))</f>
        <v/>
      </c>
      <c r="BK14" s="5">
        <f>IF(A14="","",N(INDEX(Projects[Elec Inst],13)))</f>
        <v/>
      </c>
      <c r="BL14" s="5">
        <f>IF(A14="","",N(INDEX(Projects[Project Management],13)))</f>
        <v/>
      </c>
      <c r="BM14" s="5">
        <f>IF(A14="","",N(INDEX(Projects[Systems Eng],13)))</f>
        <v/>
      </c>
      <c r="BN14" s="5">
        <f>IF(A14="","",N(INDEX(Projects[Mechanical Eng],13)))</f>
        <v/>
      </c>
      <c r="BO14" s="5">
        <f>IF(A14="","",N(INDEX(Projects[Structural Engineering],13)))</f>
        <v/>
      </c>
      <c r="BP14" s="5">
        <f>IF(A14="","",N(INDEX(Projects[Site Sup],13)))</f>
        <v/>
      </c>
      <c r="BQ14" s="5">
        <f>IF(A14="","",N(INDEX(Projects[Controls Commissioning],13)))</f>
        <v/>
      </c>
      <c r="BR14" s="5">
        <f>IF(A14="","",N(INDEX(Projects[Systems Commissioning],13)))</f>
        <v/>
      </c>
      <c r="BS14" s="5">
        <f>IF(A14="","",N(INDEX(Projects[Service Commissioning],13)))</f>
        <v/>
      </c>
      <c r="BT14" s="5">
        <f>IF(A14="","",N(INDEX(Projects[Controls Eng],13)))</f>
        <v/>
      </c>
      <c r="BU14" s="5">
        <f>IF(A14="","",N(INDEX(Projects[Controls Purchase],13)))</f>
        <v/>
      </c>
      <c r="BV14" s="5">
        <f>IF(A14="","",N(INDEX(Projects[Software Eng],13)))</f>
        <v/>
      </c>
      <c r="BW14" s="5">
        <f>IF(A14="","",N(INDEX(Projects[Misc],13)))</f>
        <v/>
      </c>
      <c r="BX14" s="5">
        <f>IF(A14="","",SUM(BJ14:BW14))</f>
        <v/>
      </c>
      <c r="BY14" s="5">
        <f>IF(A14="","",IFERROR(IF(ISNUMBER(U14),U14,VALUE(SUBSTITUTE(SUBSTITUTE(SUBSTITUTE(UPPER(TRIM(U14)),"M",""),",","")," ",""))),0))</f>
        <v/>
      </c>
      <c r="BZ14" s="5">
        <f>INDEX(Projects[Solution Type],13)&amp;""</f>
        <v/>
      </c>
      <c r="CA14" s="5">
        <f>INDEX(Projects[Client / Region],13)&amp;""</f>
        <v/>
      </c>
      <c r="CB14" s="5">
        <f>INDEX(Projects[Year],13)</f>
        <v/>
      </c>
      <c r="CC14" s="5">
        <f>INDEX(Projects[Won?],13)&amp;""</f>
        <v/>
      </c>
      <c r="CD14" s="5">
        <f>INDEX(Projects[Value (USD M)],13)</f>
        <v/>
      </c>
    </row>
    <row r="15" ht="15" customHeight="1" s="74">
      <c r="A15" s="66">
        <f>INDEX(Projects[Project ID *],14)&amp;""</f>
        <v/>
      </c>
      <c r="B15" s="66">
        <f>INDEX(Projects[Project Name *],14)&amp;""</f>
        <v/>
      </c>
      <c r="C15" s="66">
        <f>INDEX(Projects[MS Shuttles],14)</f>
        <v/>
      </c>
      <c r="D15" s="66">
        <f>INDEX(Projects[MS Tote Locations],14)</f>
        <v/>
      </c>
      <c r="E15" s="66">
        <f>INDEX(Projects[AS Robots],14)</f>
        <v/>
      </c>
      <c r="F15" s="66">
        <f>INDEX(Projects[AS Tote Locations],14)</f>
        <v/>
      </c>
      <c r="G15" s="66">
        <f>INDEX(Projects[PS Shuttles],14)</f>
        <v/>
      </c>
      <c r="H15" s="66">
        <f>INDEX(Projects[PS Pallet Locations],14)</f>
        <v/>
      </c>
      <c r="I15" s="66">
        <f>INDEX(Projects[SRM Cranes],14)</f>
        <v/>
      </c>
      <c r="J15" s="66">
        <f>INDEX(Projects[SRM Pallet Locations],14)</f>
        <v/>
      </c>
      <c r="K15" s="66">
        <f>INDEX(Projects[Case Conv (m)],14)</f>
        <v/>
      </c>
      <c r="L15" s="66">
        <f>INDEX(Projects[Pallet Conv (m)],14)</f>
        <v/>
      </c>
      <c r="M15" s="66">
        <f>INDEX(Projects[Mech Eng (wks)],14)</f>
        <v/>
      </c>
      <c r="N15" s="66">
        <f>INDEX(Projects[Controls Eng (wks)],14)</f>
        <v/>
      </c>
      <c r="O15" s="66">
        <f>INDEX(Projects[Systems Eng (wks)],14)</f>
        <v/>
      </c>
      <c r="P15" s="66">
        <f>INDEX(Projects[Software Eng (wks)],14)</f>
        <v/>
      </c>
      <c r="Q15" s="66">
        <f>INDEX(Projects[M&amp;E Installation (wks)],14)</f>
        <v/>
      </c>
      <c r="R15" s="66">
        <f>INDEX(Projects[Commissioning (wks)],14)</f>
        <v/>
      </c>
      <c r="S15" s="66">
        <f>INDEX(Projects[Total Timeline (wks)],14)</f>
        <v/>
      </c>
      <c r="T15" s="66">
        <f>INDEX(Projects[Currency],14)&amp;""</f>
        <v/>
      </c>
      <c r="U15" s="67">
        <f>INDEX(Projects[Value (M)],14)</f>
        <v/>
      </c>
      <c r="V15" s="66">
        <f>IF('Smart Search'!B13=1,IFERROR(1/'Smart Search'!H13,0),0)</f>
        <v/>
      </c>
      <c r="W15" s="66">
        <f>IF('Smart Search'!B13=1,IFERROR(1/'Smart Search'!H13,0),0)</f>
        <v/>
      </c>
      <c r="X15" s="66">
        <f>IF('Smart Search'!C13=1,IFERROR(1/'Smart Search'!H13,0),0)</f>
        <v/>
      </c>
      <c r="Y15" s="66">
        <f>IF('Smart Search'!C13=1,IFERROR(1/'Smart Search'!H13,0),0)</f>
        <v/>
      </c>
      <c r="Z15" s="66">
        <f>IF('Smart Search'!D13=1,IFERROR(1/'Smart Search'!H13,0),0)</f>
        <v/>
      </c>
      <c r="AA15" s="66">
        <f>IF('Smart Search'!D13=1,IFERROR(1/'Smart Search'!H13,0),0)</f>
        <v/>
      </c>
      <c r="AB15" s="66">
        <f>IF('Smart Search'!E13=1,IFERROR(1/'Smart Search'!H13,0),0)</f>
        <v/>
      </c>
      <c r="AC15" s="66">
        <f>IF('Smart Search'!E13=1,IFERROR(1/'Smart Search'!H13,0),0)</f>
        <v/>
      </c>
      <c r="AD15" s="66">
        <f>IF('Smart Search'!F13=1,IFERROR(1/'Smart Search'!H13,0),0)</f>
        <v/>
      </c>
      <c r="AE15" s="66">
        <f>IF('Smart Search'!F13=1,IFERROR(1/'Smart Search'!H13,0),0)</f>
        <v/>
      </c>
      <c r="AF15" s="66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66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66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66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66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66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66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66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66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66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66">
        <f>AF15*V15</f>
        <v/>
      </c>
      <c r="AQ15" s="66">
        <f>AG15*W15</f>
        <v/>
      </c>
      <c r="AR15" s="66">
        <f>AH15*X15</f>
        <v/>
      </c>
      <c r="AS15" s="66">
        <f>AI15*Y15</f>
        <v/>
      </c>
      <c r="AT15" s="66">
        <f>AJ15*Z15</f>
        <v/>
      </c>
      <c r="AU15" s="66">
        <f>AK15*AA15</f>
        <v/>
      </c>
      <c r="AV15" s="66">
        <f>AL15*AB15</f>
        <v/>
      </c>
      <c r="AW15" s="66">
        <f>AM15*AC15</f>
        <v/>
      </c>
      <c r="AX15" s="66">
        <f>AN15*AD15</f>
        <v/>
      </c>
      <c r="AY15" s="66">
        <f>AO15*AE15</f>
        <v/>
      </c>
      <c r="AZ15" s="66">
        <f>INDEX(Projects[Automation Equipment],14)&amp;""</f>
        <v/>
      </c>
      <c r="BA15" s="66">
        <f>IF(OR(A15="",'Smart Search'!H13=0),"",MAX(0,BE15*BF15*MAX(0,1-BG15)))</f>
        <v/>
      </c>
      <c r="BB15" s="66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66">
        <f>IF('Smart Search'!G13=1,IFERROR(1/'Smart Search'!H13,0),0)</f>
        <v/>
      </c>
      <c r="BD15" s="66">
        <f>BB15*BC15</f>
        <v/>
      </c>
      <c r="BE15" s="66">
        <f>AP15+AQ15+AR15+AS15+AT15+AU15+AV15+AW15+AX15+AY15+BD15</f>
        <v/>
      </c>
      <c r="BF15" s="5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5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5">
        <f>IF(AND(A15&lt;&gt;"",OR('Smart Search'!$L$5="",'Smart Search'!$L$5="All",TRIM(BZ15)=TRIM('Smart Search'!$L$5)),OR(TRIM('Smart Search'!$L$6)="",TRIM('Smart Search'!$L$6)="All",ISNUMBER(SEARCH(SUBSTITUTE(SUBSTITUTE(SUBSTITUTE(TRIM('Smart Search'!$L$6),"~","~~"),"*","~*"),"?","~?"),CA15))),OR('Smart Search'!$L$7="",AND(CB15&lt;&gt;0,CB15='Smart Search'!$L$7)),OR('Smart Search'!$L$8="",'Smart Search'!$L$8="All",TRIM(CC15)=TRIM('Smart Search'!$L$8))),IF(BA15="","",BA15+ROW()*0.0000000001),"")</f>
        <v/>
      </c>
      <c r="BI15" s="5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5">
        <f>IF(A15="","",N(INDEX(Projects[Mech Inst],14)))</f>
        <v/>
      </c>
      <c r="BK15" s="5">
        <f>IF(A15="","",N(INDEX(Projects[Elec Inst],14)))</f>
        <v/>
      </c>
      <c r="BL15" s="5">
        <f>IF(A15="","",N(INDEX(Projects[Project Management],14)))</f>
        <v/>
      </c>
      <c r="BM15" s="5">
        <f>IF(A15="","",N(INDEX(Projects[Systems Eng],14)))</f>
        <v/>
      </c>
      <c r="BN15" s="5">
        <f>IF(A15="","",N(INDEX(Projects[Mechanical Eng],14)))</f>
        <v/>
      </c>
      <c r="BO15" s="5">
        <f>IF(A15="","",N(INDEX(Projects[Structural Engineering],14)))</f>
        <v/>
      </c>
      <c r="BP15" s="5">
        <f>IF(A15="","",N(INDEX(Projects[Site Sup],14)))</f>
        <v/>
      </c>
      <c r="BQ15" s="5">
        <f>IF(A15="","",N(INDEX(Projects[Controls Commissioning],14)))</f>
        <v/>
      </c>
      <c r="BR15" s="5">
        <f>IF(A15="","",N(INDEX(Projects[Systems Commissioning],14)))</f>
        <v/>
      </c>
      <c r="BS15" s="5">
        <f>IF(A15="","",N(INDEX(Projects[Service Commissioning],14)))</f>
        <v/>
      </c>
      <c r="BT15" s="5">
        <f>IF(A15="","",N(INDEX(Projects[Controls Eng],14)))</f>
        <v/>
      </c>
      <c r="BU15" s="5">
        <f>IF(A15="","",N(INDEX(Projects[Controls Purchase],14)))</f>
        <v/>
      </c>
      <c r="BV15" s="5">
        <f>IF(A15="","",N(INDEX(Projects[Software Eng],14)))</f>
        <v/>
      </c>
      <c r="BW15" s="5">
        <f>IF(A15="","",N(INDEX(Projects[Misc],14)))</f>
        <v/>
      </c>
      <c r="BX15" s="5">
        <f>IF(A15="","",SUM(BJ15:BW15))</f>
        <v/>
      </c>
      <c r="BY15" s="5">
        <f>IF(A15="","",IFERROR(IF(ISNUMBER(U15),U15,VALUE(SUBSTITUTE(SUBSTITUTE(SUBSTITUTE(UPPER(TRIM(U15)),"M",""),",","")," ",""))),0))</f>
        <v/>
      </c>
      <c r="BZ15" s="5">
        <f>INDEX(Projects[Solution Type],14)&amp;""</f>
        <v/>
      </c>
      <c r="CA15" s="5">
        <f>INDEX(Projects[Client / Region],14)&amp;""</f>
        <v/>
      </c>
      <c r="CB15" s="5">
        <f>INDEX(Projects[Year],14)</f>
        <v/>
      </c>
      <c r="CC15" s="5">
        <f>INDEX(Projects[Won?],14)&amp;""</f>
        <v/>
      </c>
      <c r="CD15" s="5">
        <f>INDEX(Projects[Value (USD M)],14)</f>
        <v/>
      </c>
    </row>
    <row r="16" ht="15" customHeight="1" s="74">
      <c r="A16" s="66">
        <f>INDEX(Projects[Project ID *],15)&amp;""</f>
        <v/>
      </c>
      <c r="B16" s="66">
        <f>INDEX(Projects[Project Name *],15)&amp;""</f>
        <v/>
      </c>
      <c r="C16" s="66">
        <f>INDEX(Projects[MS Shuttles],15)</f>
        <v/>
      </c>
      <c r="D16" s="66">
        <f>INDEX(Projects[MS Tote Locations],15)</f>
        <v/>
      </c>
      <c r="E16" s="66">
        <f>INDEX(Projects[AS Robots],15)</f>
        <v/>
      </c>
      <c r="F16" s="66">
        <f>INDEX(Projects[AS Tote Locations],15)</f>
        <v/>
      </c>
      <c r="G16" s="66">
        <f>INDEX(Projects[PS Shuttles],15)</f>
        <v/>
      </c>
      <c r="H16" s="66">
        <f>INDEX(Projects[PS Pallet Locations],15)</f>
        <v/>
      </c>
      <c r="I16" s="66">
        <f>INDEX(Projects[SRM Cranes],15)</f>
        <v/>
      </c>
      <c r="J16" s="66">
        <f>INDEX(Projects[SRM Pallet Locations],15)</f>
        <v/>
      </c>
      <c r="K16" s="66">
        <f>INDEX(Projects[Case Conv (m)],15)</f>
        <v/>
      </c>
      <c r="L16" s="66">
        <f>INDEX(Projects[Pallet Conv (m)],15)</f>
        <v/>
      </c>
      <c r="M16" s="66">
        <f>INDEX(Projects[Mech Eng (wks)],15)</f>
        <v/>
      </c>
      <c r="N16" s="66">
        <f>INDEX(Projects[Controls Eng (wks)],15)</f>
        <v/>
      </c>
      <c r="O16" s="66">
        <f>INDEX(Projects[Systems Eng (wks)],15)</f>
        <v/>
      </c>
      <c r="P16" s="66">
        <f>INDEX(Projects[Software Eng (wks)],15)</f>
        <v/>
      </c>
      <c r="Q16" s="66">
        <f>INDEX(Projects[M&amp;E Installation (wks)],15)</f>
        <v/>
      </c>
      <c r="R16" s="66">
        <f>INDEX(Projects[Commissioning (wks)],15)</f>
        <v/>
      </c>
      <c r="S16" s="66">
        <f>INDEX(Projects[Total Timeline (wks)],15)</f>
        <v/>
      </c>
      <c r="T16" s="66">
        <f>INDEX(Projects[Currency],15)&amp;""</f>
        <v/>
      </c>
      <c r="U16" s="67">
        <f>INDEX(Projects[Value (M)],15)</f>
        <v/>
      </c>
      <c r="V16" s="66">
        <f>IF('Smart Search'!B13=1,IFERROR(1/'Smart Search'!H13,0),0)</f>
        <v/>
      </c>
      <c r="W16" s="66">
        <f>IF('Smart Search'!B13=1,IFERROR(1/'Smart Search'!H13,0),0)</f>
        <v/>
      </c>
      <c r="X16" s="66">
        <f>IF('Smart Search'!C13=1,IFERROR(1/'Smart Search'!H13,0),0)</f>
        <v/>
      </c>
      <c r="Y16" s="66">
        <f>IF('Smart Search'!C13=1,IFERROR(1/'Smart Search'!H13,0),0)</f>
        <v/>
      </c>
      <c r="Z16" s="66">
        <f>IF('Smart Search'!D13=1,IFERROR(1/'Smart Search'!H13,0),0)</f>
        <v/>
      </c>
      <c r="AA16" s="66">
        <f>IF('Smart Search'!D13=1,IFERROR(1/'Smart Search'!H13,0),0)</f>
        <v/>
      </c>
      <c r="AB16" s="66">
        <f>IF('Smart Search'!E13=1,IFERROR(1/'Smart Search'!H13,0),0)</f>
        <v/>
      </c>
      <c r="AC16" s="66">
        <f>IF('Smart Search'!E13=1,IFERROR(1/'Smart Search'!H13,0),0)</f>
        <v/>
      </c>
      <c r="AD16" s="66">
        <f>IF('Smart Search'!F13=1,IFERROR(1/'Smart Search'!H13,0),0)</f>
        <v/>
      </c>
      <c r="AE16" s="66">
        <f>IF('Smart Search'!F13=1,IFERROR(1/'Smart Search'!H13,0),0)</f>
        <v/>
      </c>
      <c r="AF16" s="66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66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66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66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66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66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66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66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66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66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66">
        <f>AF16*V16</f>
        <v/>
      </c>
      <c r="AQ16" s="66">
        <f>AG16*W16</f>
        <v/>
      </c>
      <c r="AR16" s="66">
        <f>AH16*X16</f>
        <v/>
      </c>
      <c r="AS16" s="66">
        <f>AI16*Y16</f>
        <v/>
      </c>
      <c r="AT16" s="66">
        <f>AJ16*Z16</f>
        <v/>
      </c>
      <c r="AU16" s="66">
        <f>AK16*AA16</f>
        <v/>
      </c>
      <c r="AV16" s="66">
        <f>AL16*AB16</f>
        <v/>
      </c>
      <c r="AW16" s="66">
        <f>AM16*AC16</f>
        <v/>
      </c>
      <c r="AX16" s="66">
        <f>AN16*AD16</f>
        <v/>
      </c>
      <c r="AY16" s="66">
        <f>AO16*AE16</f>
        <v/>
      </c>
      <c r="AZ16" s="66">
        <f>INDEX(Projects[Automation Equipment],15)&amp;""</f>
        <v/>
      </c>
      <c r="BA16" s="66">
        <f>IF(OR(A16="",'Smart Search'!H13=0),"",MAX(0,BE16*BF16*MAX(0,1-BG16)))</f>
        <v/>
      </c>
      <c r="BB16" s="66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66">
        <f>IF('Smart Search'!G13=1,IFERROR(1/'Smart Search'!H13,0),0)</f>
        <v/>
      </c>
      <c r="BD16" s="66">
        <f>BB16*BC16</f>
        <v/>
      </c>
      <c r="BE16" s="66">
        <f>AP16+AQ16+AR16+AS16+AT16+AU16+AV16+AW16+AX16+AY16+BD16</f>
        <v/>
      </c>
      <c r="BF16" s="5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5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5">
        <f>IF(AND(A16&lt;&gt;"",OR('Smart Search'!$L$5="",'Smart Search'!$L$5="All",TRIM(BZ16)=TRIM('Smart Search'!$L$5)),OR(TRIM('Smart Search'!$L$6)="",TRIM('Smart Search'!$L$6)="All",ISNUMBER(SEARCH(SUBSTITUTE(SUBSTITUTE(SUBSTITUTE(TRIM('Smart Search'!$L$6),"~","~~"),"*","~*"),"?","~?"),CA16))),OR('Smart Search'!$L$7="",AND(CB16&lt;&gt;0,CB16='Smart Search'!$L$7)),OR('Smart Search'!$L$8="",'Smart Search'!$L$8="All",TRIM(CC16)=TRIM('Smart Search'!$L$8))),IF(BA16="","",BA16+ROW()*0.0000000001),"")</f>
        <v/>
      </c>
      <c r="BI16" s="5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5">
        <f>IF(A16="","",N(INDEX(Projects[Mech Inst],15)))</f>
        <v/>
      </c>
      <c r="BK16" s="5">
        <f>IF(A16="","",N(INDEX(Projects[Elec Inst],15)))</f>
        <v/>
      </c>
      <c r="BL16" s="5">
        <f>IF(A16="","",N(INDEX(Projects[Project Management],15)))</f>
        <v/>
      </c>
      <c r="BM16" s="5">
        <f>IF(A16="","",N(INDEX(Projects[Systems Eng],15)))</f>
        <v/>
      </c>
      <c r="BN16" s="5">
        <f>IF(A16="","",N(INDEX(Projects[Mechanical Eng],15)))</f>
        <v/>
      </c>
      <c r="BO16" s="5">
        <f>IF(A16="","",N(INDEX(Projects[Structural Engineering],15)))</f>
        <v/>
      </c>
      <c r="BP16" s="5">
        <f>IF(A16="","",N(INDEX(Projects[Site Sup],15)))</f>
        <v/>
      </c>
      <c r="BQ16" s="5">
        <f>IF(A16="","",N(INDEX(Projects[Controls Commissioning],15)))</f>
        <v/>
      </c>
      <c r="BR16" s="5">
        <f>IF(A16="","",N(INDEX(Projects[Systems Commissioning],15)))</f>
        <v/>
      </c>
      <c r="BS16" s="5">
        <f>IF(A16="","",N(INDEX(Projects[Service Commissioning],15)))</f>
        <v/>
      </c>
      <c r="BT16" s="5">
        <f>IF(A16="","",N(INDEX(Projects[Controls Eng],15)))</f>
        <v/>
      </c>
      <c r="BU16" s="5">
        <f>IF(A16="","",N(INDEX(Projects[Controls Purchase],15)))</f>
        <v/>
      </c>
      <c r="BV16" s="5">
        <f>IF(A16="","",N(INDEX(Projects[Software Eng],15)))</f>
        <v/>
      </c>
      <c r="BW16" s="5">
        <f>IF(A16="","",N(INDEX(Projects[Misc],15)))</f>
        <v/>
      </c>
      <c r="BX16" s="5">
        <f>IF(A16="","",SUM(BJ16:BW16))</f>
        <v/>
      </c>
      <c r="BY16" s="5">
        <f>IF(A16="","",IFERROR(IF(ISNUMBER(U16),U16,VALUE(SUBSTITUTE(SUBSTITUTE(SUBSTITUTE(UPPER(TRIM(U16)),"M",""),",","")," ",""))),0))</f>
        <v/>
      </c>
      <c r="BZ16" s="5">
        <f>INDEX(Projects[Solution Type],15)&amp;""</f>
        <v/>
      </c>
      <c r="CA16" s="5">
        <f>INDEX(Projects[Client / Region],15)&amp;""</f>
        <v/>
      </c>
      <c r="CB16" s="5">
        <f>INDEX(Projects[Year],15)</f>
        <v/>
      </c>
      <c r="CC16" s="5">
        <f>INDEX(Projects[Won?],15)&amp;""</f>
        <v/>
      </c>
      <c r="CD16" s="5">
        <f>INDEX(Projects[Value (USD M)],15)</f>
        <v/>
      </c>
    </row>
    <row r="17" ht="15" customHeight="1" s="74">
      <c r="A17" s="66">
        <f>INDEX(Projects[Project ID *],16)&amp;""</f>
        <v/>
      </c>
      <c r="B17" s="66">
        <f>INDEX(Projects[Project Name *],16)&amp;""</f>
        <v/>
      </c>
      <c r="C17" s="66">
        <f>INDEX(Projects[MS Shuttles],16)</f>
        <v/>
      </c>
      <c r="D17" s="66">
        <f>INDEX(Projects[MS Tote Locations],16)</f>
        <v/>
      </c>
      <c r="E17" s="66">
        <f>INDEX(Projects[AS Robots],16)</f>
        <v/>
      </c>
      <c r="F17" s="66">
        <f>INDEX(Projects[AS Tote Locations],16)</f>
        <v/>
      </c>
      <c r="G17" s="66">
        <f>INDEX(Projects[PS Shuttles],16)</f>
        <v/>
      </c>
      <c r="H17" s="66">
        <f>INDEX(Projects[PS Pallet Locations],16)</f>
        <v/>
      </c>
      <c r="I17" s="66">
        <f>INDEX(Projects[SRM Cranes],16)</f>
        <v/>
      </c>
      <c r="J17" s="66">
        <f>INDEX(Projects[SRM Pallet Locations],16)</f>
        <v/>
      </c>
      <c r="K17" s="66">
        <f>INDEX(Projects[Case Conv (m)],16)</f>
        <v/>
      </c>
      <c r="L17" s="66">
        <f>INDEX(Projects[Pallet Conv (m)],16)</f>
        <v/>
      </c>
      <c r="M17" s="66">
        <f>INDEX(Projects[Mech Eng (wks)],16)</f>
        <v/>
      </c>
      <c r="N17" s="66">
        <f>INDEX(Projects[Controls Eng (wks)],16)</f>
        <v/>
      </c>
      <c r="O17" s="66">
        <f>INDEX(Projects[Systems Eng (wks)],16)</f>
        <v/>
      </c>
      <c r="P17" s="66">
        <f>INDEX(Projects[Software Eng (wks)],16)</f>
        <v/>
      </c>
      <c r="Q17" s="66">
        <f>INDEX(Projects[M&amp;E Installation (wks)],16)</f>
        <v/>
      </c>
      <c r="R17" s="66">
        <f>INDEX(Projects[Commissioning (wks)],16)</f>
        <v/>
      </c>
      <c r="S17" s="66">
        <f>INDEX(Projects[Total Timeline (wks)],16)</f>
        <v/>
      </c>
      <c r="T17" s="66">
        <f>INDEX(Projects[Currency],16)&amp;""</f>
        <v/>
      </c>
      <c r="U17" s="67">
        <f>INDEX(Projects[Value (M)],16)</f>
        <v/>
      </c>
      <c r="V17" s="66">
        <f>IF('Smart Search'!B13=1,IFERROR(1/'Smart Search'!H13,0),0)</f>
        <v/>
      </c>
      <c r="W17" s="66">
        <f>IF('Smart Search'!B13=1,IFERROR(1/'Smart Search'!H13,0),0)</f>
        <v/>
      </c>
      <c r="X17" s="66">
        <f>IF('Smart Search'!C13=1,IFERROR(1/'Smart Search'!H13,0),0)</f>
        <v/>
      </c>
      <c r="Y17" s="66">
        <f>IF('Smart Search'!C13=1,IFERROR(1/'Smart Search'!H13,0),0)</f>
        <v/>
      </c>
      <c r="Z17" s="66">
        <f>IF('Smart Search'!D13=1,IFERROR(1/'Smart Search'!H13,0),0)</f>
        <v/>
      </c>
      <c r="AA17" s="66">
        <f>IF('Smart Search'!D13=1,IFERROR(1/'Smart Search'!H13,0),0)</f>
        <v/>
      </c>
      <c r="AB17" s="66">
        <f>IF('Smart Search'!E13=1,IFERROR(1/'Smart Search'!H13,0),0)</f>
        <v/>
      </c>
      <c r="AC17" s="66">
        <f>IF('Smart Search'!E13=1,IFERROR(1/'Smart Search'!H13,0),0)</f>
        <v/>
      </c>
      <c r="AD17" s="66">
        <f>IF('Smart Search'!F13=1,IFERROR(1/'Smart Search'!H13,0),0)</f>
        <v/>
      </c>
      <c r="AE17" s="66">
        <f>IF('Smart Search'!F13=1,IFERROR(1/'Smart Search'!H13,0),0)</f>
        <v/>
      </c>
      <c r="AF17" s="66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66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66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66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66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66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66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66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66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66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66">
        <f>AF17*V17</f>
        <v/>
      </c>
      <c r="AQ17" s="66">
        <f>AG17*W17</f>
        <v/>
      </c>
      <c r="AR17" s="66">
        <f>AH17*X17</f>
        <v/>
      </c>
      <c r="AS17" s="66">
        <f>AI17*Y17</f>
        <v/>
      </c>
      <c r="AT17" s="66">
        <f>AJ17*Z17</f>
        <v/>
      </c>
      <c r="AU17" s="66">
        <f>AK17*AA17</f>
        <v/>
      </c>
      <c r="AV17" s="66">
        <f>AL17*AB17</f>
        <v/>
      </c>
      <c r="AW17" s="66">
        <f>AM17*AC17</f>
        <v/>
      </c>
      <c r="AX17" s="66">
        <f>AN17*AD17</f>
        <v/>
      </c>
      <c r="AY17" s="66">
        <f>AO17*AE17</f>
        <v/>
      </c>
      <c r="AZ17" s="66">
        <f>INDEX(Projects[Automation Equipment],16)&amp;""</f>
        <v/>
      </c>
      <c r="BA17" s="66">
        <f>IF(OR(A17="",'Smart Search'!H13=0),"",MAX(0,BE17*BF17*MAX(0,1-BG17)))</f>
        <v/>
      </c>
      <c r="BB17" s="66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66">
        <f>IF('Smart Search'!G13=1,IFERROR(1/'Smart Search'!H13,0),0)</f>
        <v/>
      </c>
      <c r="BD17" s="66">
        <f>BB17*BC17</f>
        <v/>
      </c>
      <c r="BE17" s="66">
        <f>AP17+AQ17+AR17+AS17+AT17+AU17+AV17+AW17+AX17+AY17+BD17</f>
        <v/>
      </c>
      <c r="BF17" s="5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5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5">
        <f>IF(AND(A17&lt;&gt;"",OR('Smart Search'!$L$5="",'Smart Search'!$L$5="All",TRIM(BZ17)=TRIM('Smart Search'!$L$5)),OR(TRIM('Smart Search'!$L$6)="",TRIM('Smart Search'!$L$6)="All",ISNUMBER(SEARCH(SUBSTITUTE(SUBSTITUTE(SUBSTITUTE(TRIM('Smart Search'!$L$6),"~","~~"),"*","~*"),"?","~?"),CA17))),OR('Smart Search'!$L$7="",AND(CB17&lt;&gt;0,CB17='Smart Search'!$L$7)),OR('Smart Search'!$L$8="",'Smart Search'!$L$8="All",TRIM(CC17)=TRIM('Smart Search'!$L$8))),IF(BA17="","",BA17+ROW()*0.0000000001),"")</f>
        <v/>
      </c>
      <c r="BI17" s="5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5">
        <f>IF(A17="","",N(INDEX(Projects[Mech Inst],16)))</f>
        <v/>
      </c>
      <c r="BK17" s="5">
        <f>IF(A17="","",N(INDEX(Projects[Elec Inst],16)))</f>
        <v/>
      </c>
      <c r="BL17" s="5">
        <f>IF(A17="","",N(INDEX(Projects[Project Management],16)))</f>
        <v/>
      </c>
      <c r="BM17" s="5">
        <f>IF(A17="","",N(INDEX(Projects[Systems Eng],16)))</f>
        <v/>
      </c>
      <c r="BN17" s="5">
        <f>IF(A17="","",N(INDEX(Projects[Mechanical Eng],16)))</f>
        <v/>
      </c>
      <c r="BO17" s="5">
        <f>IF(A17="","",N(INDEX(Projects[Structural Engineering],16)))</f>
        <v/>
      </c>
      <c r="BP17" s="5">
        <f>IF(A17="","",N(INDEX(Projects[Site Sup],16)))</f>
        <v/>
      </c>
      <c r="BQ17" s="5">
        <f>IF(A17="","",N(INDEX(Projects[Controls Commissioning],16)))</f>
        <v/>
      </c>
      <c r="BR17" s="5">
        <f>IF(A17="","",N(INDEX(Projects[Systems Commissioning],16)))</f>
        <v/>
      </c>
      <c r="BS17" s="5">
        <f>IF(A17="","",N(INDEX(Projects[Service Commissioning],16)))</f>
        <v/>
      </c>
      <c r="BT17" s="5">
        <f>IF(A17="","",N(INDEX(Projects[Controls Eng],16)))</f>
        <v/>
      </c>
      <c r="BU17" s="5">
        <f>IF(A17="","",N(INDEX(Projects[Controls Purchase],16)))</f>
        <v/>
      </c>
      <c r="BV17" s="5">
        <f>IF(A17="","",N(INDEX(Projects[Software Eng],16)))</f>
        <v/>
      </c>
      <c r="BW17" s="5">
        <f>IF(A17="","",N(INDEX(Projects[Misc],16)))</f>
        <v/>
      </c>
      <c r="BX17" s="5">
        <f>IF(A17="","",SUM(BJ17:BW17))</f>
        <v/>
      </c>
      <c r="BY17" s="5">
        <f>IF(A17="","",IFERROR(IF(ISNUMBER(U17),U17,VALUE(SUBSTITUTE(SUBSTITUTE(SUBSTITUTE(UPPER(TRIM(U17)),"M",""),",","")," ",""))),0))</f>
        <v/>
      </c>
      <c r="BZ17" s="5">
        <f>INDEX(Projects[Solution Type],16)&amp;""</f>
        <v/>
      </c>
      <c r="CA17" s="5">
        <f>INDEX(Projects[Client / Region],16)&amp;""</f>
        <v/>
      </c>
      <c r="CB17" s="5">
        <f>INDEX(Projects[Year],16)</f>
        <v/>
      </c>
      <c r="CC17" s="5">
        <f>INDEX(Projects[Won?],16)&amp;""</f>
        <v/>
      </c>
      <c r="CD17" s="5">
        <f>INDEX(Projects[Value (USD M)],16)</f>
        <v/>
      </c>
    </row>
    <row r="18" ht="15" customHeight="1" s="74">
      <c r="A18" s="66">
        <f>INDEX(Projects[Project ID *],17)&amp;""</f>
        <v/>
      </c>
      <c r="B18" s="66">
        <f>INDEX(Projects[Project Name *],17)&amp;""</f>
        <v/>
      </c>
      <c r="C18" s="66">
        <f>INDEX(Projects[MS Shuttles],17)</f>
        <v/>
      </c>
      <c r="D18" s="66">
        <f>INDEX(Projects[MS Tote Locations],17)</f>
        <v/>
      </c>
      <c r="E18" s="66">
        <f>INDEX(Projects[AS Robots],17)</f>
        <v/>
      </c>
      <c r="F18" s="66">
        <f>INDEX(Projects[AS Tote Locations],17)</f>
        <v/>
      </c>
      <c r="G18" s="66">
        <f>INDEX(Projects[PS Shuttles],17)</f>
        <v/>
      </c>
      <c r="H18" s="66">
        <f>INDEX(Projects[PS Pallet Locations],17)</f>
        <v/>
      </c>
      <c r="I18" s="66">
        <f>INDEX(Projects[SRM Cranes],17)</f>
        <v/>
      </c>
      <c r="J18" s="66">
        <f>INDEX(Projects[SRM Pallet Locations],17)</f>
        <v/>
      </c>
      <c r="K18" s="66">
        <f>INDEX(Projects[Case Conv (m)],17)</f>
        <v/>
      </c>
      <c r="L18" s="66">
        <f>INDEX(Projects[Pallet Conv (m)],17)</f>
        <v/>
      </c>
      <c r="M18" s="66">
        <f>INDEX(Projects[Mech Eng (wks)],17)</f>
        <v/>
      </c>
      <c r="N18" s="66">
        <f>INDEX(Projects[Controls Eng (wks)],17)</f>
        <v/>
      </c>
      <c r="O18" s="66">
        <f>INDEX(Projects[Systems Eng (wks)],17)</f>
        <v/>
      </c>
      <c r="P18" s="66">
        <f>INDEX(Projects[Software Eng (wks)],17)</f>
        <v/>
      </c>
      <c r="Q18" s="66">
        <f>INDEX(Projects[M&amp;E Installation (wks)],17)</f>
        <v/>
      </c>
      <c r="R18" s="66">
        <f>INDEX(Projects[Commissioning (wks)],17)</f>
        <v/>
      </c>
      <c r="S18" s="66">
        <f>INDEX(Projects[Total Timeline (wks)],17)</f>
        <v/>
      </c>
      <c r="T18" s="66">
        <f>INDEX(Projects[Currency],17)&amp;""</f>
        <v/>
      </c>
      <c r="U18" s="67">
        <f>INDEX(Projects[Value (M)],17)</f>
        <v/>
      </c>
      <c r="V18" s="66">
        <f>IF('Smart Search'!B13=1,IFERROR(1/'Smart Search'!H13,0),0)</f>
        <v/>
      </c>
      <c r="W18" s="66">
        <f>IF('Smart Search'!B13=1,IFERROR(1/'Smart Search'!H13,0),0)</f>
        <v/>
      </c>
      <c r="X18" s="66">
        <f>IF('Smart Search'!C13=1,IFERROR(1/'Smart Search'!H13,0),0)</f>
        <v/>
      </c>
      <c r="Y18" s="66">
        <f>IF('Smart Search'!C13=1,IFERROR(1/'Smart Search'!H13,0),0)</f>
        <v/>
      </c>
      <c r="Z18" s="66">
        <f>IF('Smart Search'!D13=1,IFERROR(1/'Smart Search'!H13,0),0)</f>
        <v/>
      </c>
      <c r="AA18" s="66">
        <f>IF('Smart Search'!D13=1,IFERROR(1/'Smart Search'!H13,0),0)</f>
        <v/>
      </c>
      <c r="AB18" s="66">
        <f>IF('Smart Search'!E13=1,IFERROR(1/'Smart Search'!H13,0),0)</f>
        <v/>
      </c>
      <c r="AC18" s="66">
        <f>IF('Smart Search'!E13=1,IFERROR(1/'Smart Search'!H13,0),0)</f>
        <v/>
      </c>
      <c r="AD18" s="66">
        <f>IF('Smart Search'!F13=1,IFERROR(1/'Smart Search'!H13,0),0)</f>
        <v/>
      </c>
      <c r="AE18" s="66">
        <f>IF('Smart Search'!F13=1,IFERROR(1/'Smart Search'!H13,0),0)</f>
        <v/>
      </c>
      <c r="AF18" s="66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66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66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66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66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66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66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66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66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66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66">
        <f>AF18*V18</f>
        <v/>
      </c>
      <c r="AQ18" s="66">
        <f>AG18*W18</f>
        <v/>
      </c>
      <c r="AR18" s="66">
        <f>AH18*X18</f>
        <v/>
      </c>
      <c r="AS18" s="66">
        <f>AI18*Y18</f>
        <v/>
      </c>
      <c r="AT18" s="66">
        <f>AJ18*Z18</f>
        <v/>
      </c>
      <c r="AU18" s="66">
        <f>AK18*AA18</f>
        <v/>
      </c>
      <c r="AV18" s="66">
        <f>AL18*AB18</f>
        <v/>
      </c>
      <c r="AW18" s="66">
        <f>AM18*AC18</f>
        <v/>
      </c>
      <c r="AX18" s="66">
        <f>AN18*AD18</f>
        <v/>
      </c>
      <c r="AY18" s="66">
        <f>AO18*AE18</f>
        <v/>
      </c>
      <c r="AZ18" s="66">
        <f>INDEX(Projects[Automation Equipment],17)&amp;""</f>
        <v/>
      </c>
      <c r="BA18" s="66">
        <f>IF(OR(A18="",'Smart Search'!H13=0),"",MAX(0,BE18*BF18*MAX(0,1-BG18)))</f>
        <v/>
      </c>
      <c r="BB18" s="66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66">
        <f>IF('Smart Search'!G13=1,IFERROR(1/'Smart Search'!H13,0),0)</f>
        <v/>
      </c>
      <c r="BD18" s="66">
        <f>BB18*BC18</f>
        <v/>
      </c>
      <c r="BE18" s="66">
        <f>AP18+AQ18+AR18+AS18+AT18+AU18+AV18+AW18+AX18+AY18+BD18</f>
        <v/>
      </c>
      <c r="BF18" s="5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5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5">
        <f>IF(AND(A18&lt;&gt;"",OR('Smart Search'!$L$5="",'Smart Search'!$L$5="All",TRIM(BZ18)=TRIM('Smart Search'!$L$5)),OR(TRIM('Smart Search'!$L$6)="",TRIM('Smart Search'!$L$6)="All",ISNUMBER(SEARCH(SUBSTITUTE(SUBSTITUTE(SUBSTITUTE(TRIM('Smart Search'!$L$6),"~","~~"),"*","~*"),"?","~?"),CA18))),OR('Smart Search'!$L$7="",AND(CB18&lt;&gt;0,CB18='Smart Search'!$L$7)),OR('Smart Search'!$L$8="",'Smart Search'!$L$8="All",TRIM(CC18)=TRIM('Smart Search'!$L$8))),IF(BA18="","",BA18+ROW()*0.0000000001),"")</f>
        <v/>
      </c>
      <c r="BI18" s="5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5">
        <f>IF(A18="","",N(INDEX(Projects[Mech Inst],17)))</f>
        <v/>
      </c>
      <c r="BK18" s="5">
        <f>IF(A18="","",N(INDEX(Projects[Elec Inst],17)))</f>
        <v/>
      </c>
      <c r="BL18" s="5">
        <f>IF(A18="","",N(INDEX(Projects[Project Management],17)))</f>
        <v/>
      </c>
      <c r="BM18" s="5">
        <f>IF(A18="","",N(INDEX(Projects[Systems Eng],17)))</f>
        <v/>
      </c>
      <c r="BN18" s="5">
        <f>IF(A18="","",N(INDEX(Projects[Mechanical Eng],17)))</f>
        <v/>
      </c>
      <c r="BO18" s="5">
        <f>IF(A18="","",N(INDEX(Projects[Structural Engineering],17)))</f>
        <v/>
      </c>
      <c r="BP18" s="5">
        <f>IF(A18="","",N(INDEX(Projects[Site Sup],17)))</f>
        <v/>
      </c>
      <c r="BQ18" s="5">
        <f>IF(A18="","",N(INDEX(Projects[Controls Commissioning],17)))</f>
        <v/>
      </c>
      <c r="BR18" s="5">
        <f>IF(A18="","",N(INDEX(Projects[Systems Commissioning],17)))</f>
        <v/>
      </c>
      <c r="BS18" s="5">
        <f>IF(A18="","",N(INDEX(Projects[Service Commissioning],17)))</f>
        <v/>
      </c>
      <c r="BT18" s="5">
        <f>IF(A18="","",N(INDEX(Projects[Controls Eng],17)))</f>
        <v/>
      </c>
      <c r="BU18" s="5">
        <f>IF(A18="","",N(INDEX(Projects[Controls Purchase],17)))</f>
        <v/>
      </c>
      <c r="BV18" s="5">
        <f>IF(A18="","",N(INDEX(Projects[Software Eng],17)))</f>
        <v/>
      </c>
      <c r="BW18" s="5">
        <f>IF(A18="","",N(INDEX(Projects[Misc],17)))</f>
        <v/>
      </c>
      <c r="BX18" s="5">
        <f>IF(A18="","",SUM(BJ18:BW18))</f>
        <v/>
      </c>
      <c r="BY18" s="5">
        <f>IF(A18="","",IFERROR(IF(ISNUMBER(U18),U18,VALUE(SUBSTITUTE(SUBSTITUTE(SUBSTITUTE(UPPER(TRIM(U18)),"M",""),",","")," ",""))),0))</f>
        <v/>
      </c>
      <c r="BZ18" s="5">
        <f>INDEX(Projects[Solution Type],17)&amp;""</f>
        <v/>
      </c>
      <c r="CA18" s="5">
        <f>INDEX(Projects[Client / Region],17)&amp;""</f>
        <v/>
      </c>
      <c r="CB18" s="5">
        <f>INDEX(Projects[Year],17)</f>
        <v/>
      </c>
      <c r="CC18" s="5">
        <f>INDEX(Projects[Won?],17)&amp;""</f>
        <v/>
      </c>
      <c r="CD18" s="5">
        <f>INDEX(Projects[Value (USD M)],17)</f>
        <v/>
      </c>
    </row>
    <row r="19" ht="15" customHeight="1" s="74">
      <c r="A19" s="66">
        <f>INDEX(Projects[Project ID *],18)&amp;""</f>
        <v/>
      </c>
      <c r="B19" s="66">
        <f>INDEX(Projects[Project Name *],18)&amp;""</f>
        <v/>
      </c>
      <c r="C19" s="66">
        <f>INDEX(Projects[MS Shuttles],18)</f>
        <v/>
      </c>
      <c r="D19" s="66">
        <f>INDEX(Projects[MS Tote Locations],18)</f>
        <v/>
      </c>
      <c r="E19" s="66">
        <f>INDEX(Projects[AS Robots],18)</f>
        <v/>
      </c>
      <c r="F19" s="66">
        <f>INDEX(Projects[AS Tote Locations],18)</f>
        <v/>
      </c>
      <c r="G19" s="66">
        <f>INDEX(Projects[PS Shuttles],18)</f>
        <v/>
      </c>
      <c r="H19" s="66">
        <f>INDEX(Projects[PS Pallet Locations],18)</f>
        <v/>
      </c>
      <c r="I19" s="66">
        <f>INDEX(Projects[SRM Cranes],18)</f>
        <v/>
      </c>
      <c r="J19" s="66">
        <f>INDEX(Projects[SRM Pallet Locations],18)</f>
        <v/>
      </c>
      <c r="K19" s="66">
        <f>INDEX(Projects[Case Conv (m)],18)</f>
        <v/>
      </c>
      <c r="L19" s="66">
        <f>INDEX(Projects[Pallet Conv (m)],18)</f>
        <v/>
      </c>
      <c r="M19" s="66">
        <f>INDEX(Projects[Mech Eng (wks)],18)</f>
        <v/>
      </c>
      <c r="N19" s="66">
        <f>INDEX(Projects[Controls Eng (wks)],18)</f>
        <v/>
      </c>
      <c r="O19" s="66">
        <f>INDEX(Projects[Systems Eng (wks)],18)</f>
        <v/>
      </c>
      <c r="P19" s="66">
        <f>INDEX(Projects[Software Eng (wks)],18)</f>
        <v/>
      </c>
      <c r="Q19" s="66">
        <f>INDEX(Projects[M&amp;E Installation (wks)],18)</f>
        <v/>
      </c>
      <c r="R19" s="66">
        <f>INDEX(Projects[Commissioning (wks)],18)</f>
        <v/>
      </c>
      <c r="S19" s="66">
        <f>INDEX(Projects[Total Timeline (wks)],18)</f>
        <v/>
      </c>
      <c r="T19" s="66">
        <f>INDEX(Projects[Currency],18)&amp;""</f>
        <v/>
      </c>
      <c r="U19" s="67">
        <f>INDEX(Projects[Value (M)],18)</f>
        <v/>
      </c>
      <c r="V19" s="66">
        <f>IF('Smart Search'!B13=1,IFERROR(1/'Smart Search'!H13,0),0)</f>
        <v/>
      </c>
      <c r="W19" s="66">
        <f>IF('Smart Search'!B13=1,IFERROR(1/'Smart Search'!H13,0),0)</f>
        <v/>
      </c>
      <c r="X19" s="66">
        <f>IF('Smart Search'!C13=1,IFERROR(1/'Smart Search'!H13,0),0)</f>
        <v/>
      </c>
      <c r="Y19" s="66">
        <f>IF('Smart Search'!C13=1,IFERROR(1/'Smart Search'!H13,0),0)</f>
        <v/>
      </c>
      <c r="Z19" s="66">
        <f>IF('Smart Search'!D13=1,IFERROR(1/'Smart Search'!H13,0),0)</f>
        <v/>
      </c>
      <c r="AA19" s="66">
        <f>IF('Smart Search'!D13=1,IFERROR(1/'Smart Search'!H13,0),0)</f>
        <v/>
      </c>
      <c r="AB19" s="66">
        <f>IF('Smart Search'!E13=1,IFERROR(1/'Smart Search'!H13,0),0)</f>
        <v/>
      </c>
      <c r="AC19" s="66">
        <f>IF('Smart Search'!E13=1,IFERROR(1/'Smart Search'!H13,0),0)</f>
        <v/>
      </c>
      <c r="AD19" s="66">
        <f>IF('Smart Search'!F13=1,IFERROR(1/'Smart Search'!H13,0),0)</f>
        <v/>
      </c>
      <c r="AE19" s="66">
        <f>IF('Smart Search'!F13=1,IFERROR(1/'Smart Search'!H13,0),0)</f>
        <v/>
      </c>
      <c r="AF19" s="66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66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66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66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66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66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66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66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66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66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66">
        <f>AF19*V19</f>
        <v/>
      </c>
      <c r="AQ19" s="66">
        <f>AG19*W19</f>
        <v/>
      </c>
      <c r="AR19" s="66">
        <f>AH19*X19</f>
        <v/>
      </c>
      <c r="AS19" s="66">
        <f>AI19*Y19</f>
        <v/>
      </c>
      <c r="AT19" s="66">
        <f>AJ19*Z19</f>
        <v/>
      </c>
      <c r="AU19" s="66">
        <f>AK19*AA19</f>
        <v/>
      </c>
      <c r="AV19" s="66">
        <f>AL19*AB19</f>
        <v/>
      </c>
      <c r="AW19" s="66">
        <f>AM19*AC19</f>
        <v/>
      </c>
      <c r="AX19" s="66">
        <f>AN19*AD19</f>
        <v/>
      </c>
      <c r="AY19" s="66">
        <f>AO19*AE19</f>
        <v/>
      </c>
      <c r="AZ19" s="66">
        <f>INDEX(Projects[Automation Equipment],18)&amp;""</f>
        <v/>
      </c>
      <c r="BA19" s="66">
        <f>IF(OR(A19="",'Smart Search'!H13=0),"",MAX(0,BE19*BF19*MAX(0,1-BG19)))</f>
        <v/>
      </c>
      <c r="BB19" s="66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66">
        <f>IF('Smart Search'!G13=1,IFERROR(1/'Smart Search'!H13,0),0)</f>
        <v/>
      </c>
      <c r="BD19" s="66">
        <f>BB19*BC19</f>
        <v/>
      </c>
      <c r="BE19" s="66">
        <f>AP19+AQ19+AR19+AS19+AT19+AU19+AV19+AW19+AX19+AY19+BD19</f>
        <v/>
      </c>
      <c r="BF19" s="5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5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5">
        <f>IF(AND(A19&lt;&gt;"",OR('Smart Search'!$L$5="",'Smart Search'!$L$5="All",TRIM(BZ19)=TRIM('Smart Search'!$L$5)),OR(TRIM('Smart Search'!$L$6)="",TRIM('Smart Search'!$L$6)="All",ISNUMBER(SEARCH(SUBSTITUTE(SUBSTITUTE(SUBSTITUTE(TRIM('Smart Search'!$L$6),"~","~~"),"*","~*"),"?","~?"),CA19))),OR('Smart Search'!$L$7="",AND(CB19&lt;&gt;0,CB19='Smart Search'!$L$7)),OR('Smart Search'!$L$8="",'Smart Search'!$L$8="All",TRIM(CC19)=TRIM('Smart Search'!$L$8))),IF(BA19="","",BA19+ROW()*0.0000000001),"")</f>
        <v/>
      </c>
      <c r="BI19" s="5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5">
        <f>IF(A19="","",N(INDEX(Projects[Mech Inst],18)))</f>
        <v/>
      </c>
      <c r="BK19" s="5">
        <f>IF(A19="","",N(INDEX(Projects[Elec Inst],18)))</f>
        <v/>
      </c>
      <c r="BL19" s="5">
        <f>IF(A19="","",N(INDEX(Projects[Project Management],18)))</f>
        <v/>
      </c>
      <c r="BM19" s="5">
        <f>IF(A19="","",N(INDEX(Projects[Systems Eng],18)))</f>
        <v/>
      </c>
      <c r="BN19" s="5">
        <f>IF(A19="","",N(INDEX(Projects[Mechanical Eng],18)))</f>
        <v/>
      </c>
      <c r="BO19" s="5">
        <f>IF(A19="","",N(INDEX(Projects[Structural Engineering],18)))</f>
        <v/>
      </c>
      <c r="BP19" s="5">
        <f>IF(A19="","",N(INDEX(Projects[Site Sup],18)))</f>
        <v/>
      </c>
      <c r="BQ19" s="5">
        <f>IF(A19="","",N(INDEX(Projects[Controls Commissioning],18)))</f>
        <v/>
      </c>
      <c r="BR19" s="5">
        <f>IF(A19="","",N(INDEX(Projects[Systems Commissioning],18)))</f>
        <v/>
      </c>
      <c r="BS19" s="5">
        <f>IF(A19="","",N(INDEX(Projects[Service Commissioning],18)))</f>
        <v/>
      </c>
      <c r="BT19" s="5">
        <f>IF(A19="","",N(INDEX(Projects[Controls Eng],18)))</f>
        <v/>
      </c>
      <c r="BU19" s="5">
        <f>IF(A19="","",N(INDEX(Projects[Controls Purchase],18)))</f>
        <v/>
      </c>
      <c r="BV19" s="5">
        <f>IF(A19="","",N(INDEX(Projects[Software Eng],18)))</f>
        <v/>
      </c>
      <c r="BW19" s="5">
        <f>IF(A19="","",N(INDEX(Projects[Misc],18)))</f>
        <v/>
      </c>
      <c r="BX19" s="5">
        <f>IF(A19="","",SUM(BJ19:BW19))</f>
        <v/>
      </c>
      <c r="BY19" s="5">
        <f>IF(A19="","",IFERROR(IF(ISNUMBER(U19),U19,VALUE(SUBSTITUTE(SUBSTITUTE(SUBSTITUTE(UPPER(TRIM(U19)),"M",""),",","")," ",""))),0))</f>
        <v/>
      </c>
      <c r="BZ19" s="5">
        <f>INDEX(Projects[Solution Type],18)&amp;""</f>
        <v/>
      </c>
      <c r="CA19" s="5">
        <f>INDEX(Projects[Client / Region],18)&amp;""</f>
        <v/>
      </c>
      <c r="CB19" s="5">
        <f>INDEX(Projects[Year],18)</f>
        <v/>
      </c>
      <c r="CC19" s="5">
        <f>INDEX(Projects[Won?],18)&amp;""</f>
        <v/>
      </c>
      <c r="CD19" s="5">
        <f>INDEX(Projects[Value (USD M)],18)</f>
        <v/>
      </c>
    </row>
    <row r="20" ht="15" customHeight="1" s="74">
      <c r="A20" s="66">
        <f>INDEX(Projects[Project ID *],19)&amp;""</f>
        <v/>
      </c>
      <c r="B20" s="66">
        <f>INDEX(Projects[Project Name *],19)&amp;""</f>
        <v/>
      </c>
      <c r="C20" s="66">
        <f>INDEX(Projects[MS Shuttles],19)</f>
        <v/>
      </c>
      <c r="D20" s="66">
        <f>INDEX(Projects[MS Tote Locations],19)</f>
        <v/>
      </c>
      <c r="E20" s="66">
        <f>INDEX(Projects[AS Robots],19)</f>
        <v/>
      </c>
      <c r="F20" s="66">
        <f>INDEX(Projects[AS Tote Locations],19)</f>
        <v/>
      </c>
      <c r="G20" s="66">
        <f>INDEX(Projects[PS Shuttles],19)</f>
        <v/>
      </c>
      <c r="H20" s="66">
        <f>INDEX(Projects[PS Pallet Locations],19)</f>
        <v/>
      </c>
      <c r="I20" s="66">
        <f>INDEX(Projects[SRM Cranes],19)</f>
        <v/>
      </c>
      <c r="J20" s="66">
        <f>INDEX(Projects[SRM Pallet Locations],19)</f>
        <v/>
      </c>
      <c r="K20" s="66">
        <f>INDEX(Projects[Case Conv (m)],19)</f>
        <v/>
      </c>
      <c r="L20" s="66">
        <f>INDEX(Projects[Pallet Conv (m)],19)</f>
        <v/>
      </c>
      <c r="M20" s="66">
        <f>INDEX(Projects[Mech Eng (wks)],19)</f>
        <v/>
      </c>
      <c r="N20" s="66">
        <f>INDEX(Projects[Controls Eng (wks)],19)</f>
        <v/>
      </c>
      <c r="O20" s="66">
        <f>INDEX(Projects[Systems Eng (wks)],19)</f>
        <v/>
      </c>
      <c r="P20" s="66">
        <f>INDEX(Projects[Software Eng (wks)],19)</f>
        <v/>
      </c>
      <c r="Q20" s="66">
        <f>INDEX(Projects[M&amp;E Installation (wks)],19)</f>
        <v/>
      </c>
      <c r="R20" s="66">
        <f>INDEX(Projects[Commissioning (wks)],19)</f>
        <v/>
      </c>
      <c r="S20" s="66">
        <f>INDEX(Projects[Total Timeline (wks)],19)</f>
        <v/>
      </c>
      <c r="T20" s="66">
        <f>INDEX(Projects[Currency],19)&amp;""</f>
        <v/>
      </c>
      <c r="U20" s="67">
        <f>INDEX(Projects[Value (M)],19)</f>
        <v/>
      </c>
      <c r="V20" s="66">
        <f>IF('Smart Search'!B13=1,IFERROR(1/'Smart Search'!H13,0),0)</f>
        <v/>
      </c>
      <c r="W20" s="66">
        <f>IF('Smart Search'!B13=1,IFERROR(1/'Smart Search'!H13,0),0)</f>
        <v/>
      </c>
      <c r="X20" s="66">
        <f>IF('Smart Search'!C13=1,IFERROR(1/'Smart Search'!H13,0),0)</f>
        <v/>
      </c>
      <c r="Y20" s="66">
        <f>IF('Smart Search'!C13=1,IFERROR(1/'Smart Search'!H13,0),0)</f>
        <v/>
      </c>
      <c r="Z20" s="66">
        <f>IF('Smart Search'!D13=1,IFERROR(1/'Smart Search'!H13,0),0)</f>
        <v/>
      </c>
      <c r="AA20" s="66">
        <f>IF('Smart Search'!D13=1,IFERROR(1/'Smart Search'!H13,0),0)</f>
        <v/>
      </c>
      <c r="AB20" s="66">
        <f>IF('Smart Search'!E13=1,IFERROR(1/'Smart Search'!H13,0),0)</f>
        <v/>
      </c>
      <c r="AC20" s="66">
        <f>IF('Smart Search'!E13=1,IFERROR(1/'Smart Search'!H13,0),0)</f>
        <v/>
      </c>
      <c r="AD20" s="66">
        <f>IF('Smart Search'!F13=1,IFERROR(1/'Smart Search'!H13,0),0)</f>
        <v/>
      </c>
      <c r="AE20" s="66">
        <f>IF('Smart Search'!F13=1,IFERROR(1/'Smart Search'!H13,0),0)</f>
        <v/>
      </c>
      <c r="AF20" s="66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66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66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66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66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66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66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66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66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66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66">
        <f>AF20*V20</f>
        <v/>
      </c>
      <c r="AQ20" s="66">
        <f>AG20*W20</f>
        <v/>
      </c>
      <c r="AR20" s="66">
        <f>AH20*X20</f>
        <v/>
      </c>
      <c r="AS20" s="66">
        <f>AI20*Y20</f>
        <v/>
      </c>
      <c r="AT20" s="66">
        <f>AJ20*Z20</f>
        <v/>
      </c>
      <c r="AU20" s="66">
        <f>AK20*AA20</f>
        <v/>
      </c>
      <c r="AV20" s="66">
        <f>AL20*AB20</f>
        <v/>
      </c>
      <c r="AW20" s="66">
        <f>AM20*AC20</f>
        <v/>
      </c>
      <c r="AX20" s="66">
        <f>AN20*AD20</f>
        <v/>
      </c>
      <c r="AY20" s="66">
        <f>AO20*AE20</f>
        <v/>
      </c>
      <c r="AZ20" s="66">
        <f>INDEX(Projects[Automation Equipment],19)&amp;""</f>
        <v/>
      </c>
      <c r="BA20" s="66">
        <f>IF(OR(A20="",'Smart Search'!H13=0),"",MAX(0,BE20*BF20*MAX(0,1-BG20)))</f>
        <v/>
      </c>
      <c r="BB20" s="66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66">
        <f>IF('Smart Search'!G13=1,IFERROR(1/'Smart Search'!H13,0),0)</f>
        <v/>
      </c>
      <c r="BD20" s="66">
        <f>BB20*BC20</f>
        <v/>
      </c>
      <c r="BE20" s="66">
        <f>AP20+AQ20+AR20+AS20+AT20+AU20+AV20+AW20+AX20+AY20+BD20</f>
        <v/>
      </c>
      <c r="BF20" s="5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5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5">
        <f>IF(AND(A20&lt;&gt;"",OR('Smart Search'!$L$5="",'Smart Search'!$L$5="All",TRIM(BZ20)=TRIM('Smart Search'!$L$5)),OR(TRIM('Smart Search'!$L$6)="",TRIM('Smart Search'!$L$6)="All",ISNUMBER(SEARCH(SUBSTITUTE(SUBSTITUTE(SUBSTITUTE(TRIM('Smart Search'!$L$6),"~","~~"),"*","~*"),"?","~?"),CA20))),OR('Smart Search'!$L$7="",AND(CB20&lt;&gt;0,CB20='Smart Search'!$L$7)),OR('Smart Search'!$L$8="",'Smart Search'!$L$8="All",TRIM(CC20)=TRIM('Smart Search'!$L$8))),IF(BA20="","",BA20+ROW()*0.0000000001),"")</f>
        <v/>
      </c>
      <c r="BI20" s="5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5">
        <f>IF(A20="","",N(INDEX(Projects[Mech Inst],19)))</f>
        <v/>
      </c>
      <c r="BK20" s="5">
        <f>IF(A20="","",N(INDEX(Projects[Elec Inst],19)))</f>
        <v/>
      </c>
      <c r="BL20" s="5">
        <f>IF(A20="","",N(INDEX(Projects[Project Management],19)))</f>
        <v/>
      </c>
      <c r="BM20" s="5">
        <f>IF(A20="","",N(INDEX(Projects[Systems Eng],19)))</f>
        <v/>
      </c>
      <c r="BN20" s="5">
        <f>IF(A20="","",N(INDEX(Projects[Mechanical Eng],19)))</f>
        <v/>
      </c>
      <c r="BO20" s="5">
        <f>IF(A20="","",N(INDEX(Projects[Structural Engineering],19)))</f>
        <v/>
      </c>
      <c r="BP20" s="5">
        <f>IF(A20="","",N(INDEX(Projects[Site Sup],19)))</f>
        <v/>
      </c>
      <c r="BQ20" s="5">
        <f>IF(A20="","",N(INDEX(Projects[Controls Commissioning],19)))</f>
        <v/>
      </c>
      <c r="BR20" s="5">
        <f>IF(A20="","",N(INDEX(Projects[Systems Commissioning],19)))</f>
        <v/>
      </c>
      <c r="BS20" s="5">
        <f>IF(A20="","",N(INDEX(Projects[Service Commissioning],19)))</f>
        <v/>
      </c>
      <c r="BT20" s="5">
        <f>IF(A20="","",N(INDEX(Projects[Controls Eng],19)))</f>
        <v/>
      </c>
      <c r="BU20" s="5">
        <f>IF(A20="","",N(INDEX(Projects[Controls Purchase],19)))</f>
        <v/>
      </c>
      <c r="BV20" s="5">
        <f>IF(A20="","",N(INDEX(Projects[Software Eng],19)))</f>
        <v/>
      </c>
      <c r="BW20" s="5">
        <f>IF(A20="","",N(INDEX(Projects[Misc],19)))</f>
        <v/>
      </c>
      <c r="BX20" s="5">
        <f>IF(A20="","",SUM(BJ20:BW20))</f>
        <v/>
      </c>
      <c r="BY20" s="5">
        <f>IF(A20="","",IFERROR(IF(ISNUMBER(U20),U20,VALUE(SUBSTITUTE(SUBSTITUTE(SUBSTITUTE(UPPER(TRIM(U20)),"M",""),",","")," ",""))),0))</f>
        <v/>
      </c>
      <c r="BZ20" s="5">
        <f>INDEX(Projects[Solution Type],19)&amp;""</f>
        <v/>
      </c>
      <c r="CA20" s="5">
        <f>INDEX(Projects[Client / Region],19)&amp;""</f>
        <v/>
      </c>
      <c r="CB20" s="5">
        <f>INDEX(Projects[Year],19)</f>
        <v/>
      </c>
      <c r="CC20" s="5">
        <f>INDEX(Projects[Won?],19)&amp;""</f>
        <v/>
      </c>
      <c r="CD20" s="5">
        <f>INDEX(Projects[Value (USD M)],19)</f>
        <v/>
      </c>
    </row>
    <row r="21" ht="15" customHeight="1" s="74">
      <c r="A21" s="66">
        <f>INDEX(Projects[Project ID *],20)&amp;""</f>
        <v/>
      </c>
      <c r="B21" s="66">
        <f>INDEX(Projects[Project Name *],20)&amp;""</f>
        <v/>
      </c>
      <c r="C21" s="66">
        <f>INDEX(Projects[MS Shuttles],20)</f>
        <v/>
      </c>
      <c r="D21" s="66">
        <f>INDEX(Projects[MS Tote Locations],20)</f>
        <v/>
      </c>
      <c r="E21" s="66">
        <f>INDEX(Projects[AS Robots],20)</f>
        <v/>
      </c>
      <c r="F21" s="66">
        <f>INDEX(Projects[AS Tote Locations],20)</f>
        <v/>
      </c>
      <c r="G21" s="66">
        <f>INDEX(Projects[PS Shuttles],20)</f>
        <v/>
      </c>
      <c r="H21" s="66">
        <f>INDEX(Projects[PS Pallet Locations],20)</f>
        <v/>
      </c>
      <c r="I21" s="66">
        <f>INDEX(Projects[SRM Cranes],20)</f>
        <v/>
      </c>
      <c r="J21" s="66">
        <f>INDEX(Projects[SRM Pallet Locations],20)</f>
        <v/>
      </c>
      <c r="K21" s="66">
        <f>INDEX(Projects[Case Conv (m)],20)</f>
        <v/>
      </c>
      <c r="L21" s="66">
        <f>INDEX(Projects[Pallet Conv (m)],20)</f>
        <v/>
      </c>
      <c r="M21" s="66">
        <f>INDEX(Projects[Mech Eng (wks)],20)</f>
        <v/>
      </c>
      <c r="N21" s="66">
        <f>INDEX(Projects[Controls Eng (wks)],20)</f>
        <v/>
      </c>
      <c r="O21" s="66">
        <f>INDEX(Projects[Systems Eng (wks)],20)</f>
        <v/>
      </c>
      <c r="P21" s="66">
        <f>INDEX(Projects[Software Eng (wks)],20)</f>
        <v/>
      </c>
      <c r="Q21" s="66">
        <f>INDEX(Projects[M&amp;E Installation (wks)],20)</f>
        <v/>
      </c>
      <c r="R21" s="66">
        <f>INDEX(Projects[Commissioning (wks)],20)</f>
        <v/>
      </c>
      <c r="S21" s="66">
        <f>INDEX(Projects[Total Timeline (wks)],20)</f>
        <v/>
      </c>
      <c r="T21" s="66">
        <f>INDEX(Projects[Currency],20)&amp;""</f>
        <v/>
      </c>
      <c r="U21" s="67">
        <f>INDEX(Projects[Value (M)],20)</f>
        <v/>
      </c>
      <c r="V21" s="66">
        <f>IF('Smart Search'!B13=1,IFERROR(1/'Smart Search'!H13,0),0)</f>
        <v/>
      </c>
      <c r="W21" s="66">
        <f>IF('Smart Search'!B13=1,IFERROR(1/'Smart Search'!H13,0),0)</f>
        <v/>
      </c>
      <c r="X21" s="66">
        <f>IF('Smart Search'!C13=1,IFERROR(1/'Smart Search'!H13,0),0)</f>
        <v/>
      </c>
      <c r="Y21" s="66">
        <f>IF('Smart Search'!C13=1,IFERROR(1/'Smart Search'!H13,0),0)</f>
        <v/>
      </c>
      <c r="Z21" s="66">
        <f>IF('Smart Search'!D13=1,IFERROR(1/'Smart Search'!H13,0),0)</f>
        <v/>
      </c>
      <c r="AA21" s="66">
        <f>IF('Smart Search'!D13=1,IFERROR(1/'Smart Search'!H13,0),0)</f>
        <v/>
      </c>
      <c r="AB21" s="66">
        <f>IF('Smart Search'!E13=1,IFERROR(1/'Smart Search'!H13,0),0)</f>
        <v/>
      </c>
      <c r="AC21" s="66">
        <f>IF('Smart Search'!E13=1,IFERROR(1/'Smart Search'!H13,0),0)</f>
        <v/>
      </c>
      <c r="AD21" s="66">
        <f>IF('Smart Search'!F13=1,IFERROR(1/'Smart Search'!H13,0),0)</f>
        <v/>
      </c>
      <c r="AE21" s="66">
        <f>IF('Smart Search'!F13=1,IFERROR(1/'Smart Search'!H13,0),0)</f>
        <v/>
      </c>
      <c r="AF21" s="66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66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66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66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66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66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66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66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66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66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66">
        <f>AF21*V21</f>
        <v/>
      </c>
      <c r="AQ21" s="66">
        <f>AG21*W21</f>
        <v/>
      </c>
      <c r="AR21" s="66">
        <f>AH21*X21</f>
        <v/>
      </c>
      <c r="AS21" s="66">
        <f>AI21*Y21</f>
        <v/>
      </c>
      <c r="AT21" s="66">
        <f>AJ21*Z21</f>
        <v/>
      </c>
      <c r="AU21" s="66">
        <f>AK21*AA21</f>
        <v/>
      </c>
      <c r="AV21" s="66">
        <f>AL21*AB21</f>
        <v/>
      </c>
      <c r="AW21" s="66">
        <f>AM21*AC21</f>
        <v/>
      </c>
      <c r="AX21" s="66">
        <f>AN21*AD21</f>
        <v/>
      </c>
      <c r="AY21" s="66">
        <f>AO21*AE21</f>
        <v/>
      </c>
      <c r="AZ21" s="66">
        <f>INDEX(Projects[Automation Equipment],20)&amp;""</f>
        <v/>
      </c>
      <c r="BA21" s="66">
        <f>IF(OR(A21="",'Smart Search'!H13=0),"",MAX(0,BE21*BF21*MAX(0,1-BG21)))</f>
        <v/>
      </c>
      <c r="BB21" s="66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66">
        <f>IF('Smart Search'!G13=1,IFERROR(1/'Smart Search'!H13,0),0)</f>
        <v/>
      </c>
      <c r="BD21" s="66">
        <f>BB21*BC21</f>
        <v/>
      </c>
      <c r="BE21" s="66">
        <f>AP21+AQ21+AR21+AS21+AT21+AU21+AV21+AW21+AX21+AY21+BD21</f>
        <v/>
      </c>
      <c r="BF21" s="5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5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5">
        <f>IF(AND(A21&lt;&gt;"",OR('Smart Search'!$L$5="",'Smart Search'!$L$5="All",TRIM(BZ21)=TRIM('Smart Search'!$L$5)),OR(TRIM('Smart Search'!$L$6)="",TRIM('Smart Search'!$L$6)="All",ISNUMBER(SEARCH(SUBSTITUTE(SUBSTITUTE(SUBSTITUTE(TRIM('Smart Search'!$L$6),"~","~~"),"*","~*"),"?","~?"),CA21))),OR('Smart Search'!$L$7="",AND(CB21&lt;&gt;0,CB21='Smart Search'!$L$7)),OR('Smart Search'!$L$8="",'Smart Search'!$L$8="All",TRIM(CC21)=TRIM('Smart Search'!$L$8))),IF(BA21="","",BA21+ROW()*0.0000000001),"")</f>
        <v/>
      </c>
      <c r="BI21" s="5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5">
        <f>IF(A21="","",N(INDEX(Projects[Mech Inst],20)))</f>
        <v/>
      </c>
      <c r="BK21" s="5">
        <f>IF(A21="","",N(INDEX(Projects[Elec Inst],20)))</f>
        <v/>
      </c>
      <c r="BL21" s="5">
        <f>IF(A21="","",N(INDEX(Projects[Project Management],20)))</f>
        <v/>
      </c>
      <c r="BM21" s="5">
        <f>IF(A21="","",N(INDEX(Projects[Systems Eng],20)))</f>
        <v/>
      </c>
      <c r="BN21" s="5">
        <f>IF(A21="","",N(INDEX(Projects[Mechanical Eng],20)))</f>
        <v/>
      </c>
      <c r="BO21" s="5">
        <f>IF(A21="","",N(INDEX(Projects[Structural Engineering],20)))</f>
        <v/>
      </c>
      <c r="BP21" s="5">
        <f>IF(A21="","",N(INDEX(Projects[Site Sup],20)))</f>
        <v/>
      </c>
      <c r="BQ21" s="5">
        <f>IF(A21="","",N(INDEX(Projects[Controls Commissioning],20)))</f>
        <v/>
      </c>
      <c r="BR21" s="5">
        <f>IF(A21="","",N(INDEX(Projects[Systems Commissioning],20)))</f>
        <v/>
      </c>
      <c r="BS21" s="5">
        <f>IF(A21="","",N(INDEX(Projects[Service Commissioning],20)))</f>
        <v/>
      </c>
      <c r="BT21" s="5">
        <f>IF(A21="","",N(INDEX(Projects[Controls Eng],20)))</f>
        <v/>
      </c>
      <c r="BU21" s="5">
        <f>IF(A21="","",N(INDEX(Projects[Controls Purchase],20)))</f>
        <v/>
      </c>
      <c r="BV21" s="5">
        <f>IF(A21="","",N(INDEX(Projects[Software Eng],20)))</f>
        <v/>
      </c>
      <c r="BW21" s="5">
        <f>IF(A21="","",N(INDEX(Projects[Misc],20)))</f>
        <v/>
      </c>
      <c r="BX21" s="5">
        <f>IF(A21="","",SUM(BJ21:BW21))</f>
        <v/>
      </c>
      <c r="BY21" s="5">
        <f>IF(A21="","",IFERROR(IF(ISNUMBER(U21),U21,VALUE(SUBSTITUTE(SUBSTITUTE(SUBSTITUTE(UPPER(TRIM(U21)),"M",""),",","")," ",""))),0))</f>
        <v/>
      </c>
      <c r="BZ21" s="5">
        <f>INDEX(Projects[Solution Type],20)&amp;""</f>
        <v/>
      </c>
      <c r="CA21" s="5">
        <f>INDEX(Projects[Client / Region],20)&amp;""</f>
        <v/>
      </c>
      <c r="CB21" s="5">
        <f>INDEX(Projects[Year],20)</f>
        <v/>
      </c>
      <c r="CC21" s="5">
        <f>INDEX(Projects[Won?],20)&amp;""</f>
        <v/>
      </c>
      <c r="CD21" s="5">
        <f>INDEX(Projects[Value (USD M)],20)</f>
        <v/>
      </c>
    </row>
    <row r="22" ht="15" customHeight="1" s="74">
      <c r="A22" s="66">
        <f>INDEX(Projects[Project ID *],21)&amp;""</f>
        <v/>
      </c>
      <c r="B22" s="66">
        <f>INDEX(Projects[Project Name *],21)&amp;""</f>
        <v/>
      </c>
      <c r="C22" s="66">
        <f>INDEX(Projects[MS Shuttles],21)</f>
        <v/>
      </c>
      <c r="D22" s="66">
        <f>INDEX(Projects[MS Tote Locations],21)</f>
        <v/>
      </c>
      <c r="E22" s="66">
        <f>INDEX(Projects[AS Robots],21)</f>
        <v/>
      </c>
      <c r="F22" s="66">
        <f>INDEX(Projects[AS Tote Locations],21)</f>
        <v/>
      </c>
      <c r="G22" s="66">
        <f>INDEX(Projects[PS Shuttles],21)</f>
        <v/>
      </c>
      <c r="H22" s="66">
        <f>INDEX(Projects[PS Pallet Locations],21)</f>
        <v/>
      </c>
      <c r="I22" s="66">
        <f>INDEX(Projects[SRM Cranes],21)</f>
        <v/>
      </c>
      <c r="J22" s="66">
        <f>INDEX(Projects[SRM Pallet Locations],21)</f>
        <v/>
      </c>
      <c r="K22" s="66">
        <f>INDEX(Projects[Case Conv (m)],21)</f>
        <v/>
      </c>
      <c r="L22" s="66">
        <f>INDEX(Projects[Pallet Conv (m)],21)</f>
        <v/>
      </c>
      <c r="M22" s="66">
        <f>INDEX(Projects[Mech Eng (wks)],21)</f>
        <v/>
      </c>
      <c r="N22" s="66">
        <f>INDEX(Projects[Controls Eng (wks)],21)</f>
        <v/>
      </c>
      <c r="O22" s="66">
        <f>INDEX(Projects[Systems Eng (wks)],21)</f>
        <v/>
      </c>
      <c r="P22" s="66">
        <f>INDEX(Projects[Software Eng (wks)],21)</f>
        <v/>
      </c>
      <c r="Q22" s="66">
        <f>INDEX(Projects[M&amp;E Installation (wks)],21)</f>
        <v/>
      </c>
      <c r="R22" s="66">
        <f>INDEX(Projects[Commissioning (wks)],21)</f>
        <v/>
      </c>
      <c r="S22" s="66">
        <f>INDEX(Projects[Total Timeline (wks)],21)</f>
        <v/>
      </c>
      <c r="T22" s="66">
        <f>INDEX(Projects[Currency],21)&amp;""</f>
        <v/>
      </c>
      <c r="U22" s="67">
        <f>INDEX(Projects[Value (M)],21)</f>
        <v/>
      </c>
      <c r="V22" s="66">
        <f>IF('Smart Search'!B13=1,IFERROR(1/'Smart Search'!H13,0),0)</f>
        <v/>
      </c>
      <c r="W22" s="66">
        <f>IF('Smart Search'!B13=1,IFERROR(1/'Smart Search'!H13,0),0)</f>
        <v/>
      </c>
      <c r="X22" s="66">
        <f>IF('Smart Search'!C13=1,IFERROR(1/'Smart Search'!H13,0),0)</f>
        <v/>
      </c>
      <c r="Y22" s="66">
        <f>IF('Smart Search'!C13=1,IFERROR(1/'Smart Search'!H13,0),0)</f>
        <v/>
      </c>
      <c r="Z22" s="66">
        <f>IF('Smart Search'!D13=1,IFERROR(1/'Smart Search'!H13,0),0)</f>
        <v/>
      </c>
      <c r="AA22" s="66">
        <f>IF('Smart Search'!D13=1,IFERROR(1/'Smart Search'!H13,0),0)</f>
        <v/>
      </c>
      <c r="AB22" s="66">
        <f>IF('Smart Search'!E13=1,IFERROR(1/'Smart Search'!H13,0),0)</f>
        <v/>
      </c>
      <c r="AC22" s="66">
        <f>IF('Smart Search'!E13=1,IFERROR(1/'Smart Search'!H13,0),0)</f>
        <v/>
      </c>
      <c r="AD22" s="66">
        <f>IF('Smart Search'!F13=1,IFERROR(1/'Smart Search'!H13,0),0)</f>
        <v/>
      </c>
      <c r="AE22" s="66">
        <f>IF('Smart Search'!F13=1,IFERROR(1/'Smart Search'!H13,0),0)</f>
        <v/>
      </c>
      <c r="AF22" s="66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66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66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66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66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66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66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66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66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66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66">
        <f>AF22*V22</f>
        <v/>
      </c>
      <c r="AQ22" s="66">
        <f>AG22*W22</f>
        <v/>
      </c>
      <c r="AR22" s="66">
        <f>AH22*X22</f>
        <v/>
      </c>
      <c r="AS22" s="66">
        <f>AI22*Y22</f>
        <v/>
      </c>
      <c r="AT22" s="66">
        <f>AJ22*Z22</f>
        <v/>
      </c>
      <c r="AU22" s="66">
        <f>AK22*AA22</f>
        <v/>
      </c>
      <c r="AV22" s="66">
        <f>AL22*AB22</f>
        <v/>
      </c>
      <c r="AW22" s="66">
        <f>AM22*AC22</f>
        <v/>
      </c>
      <c r="AX22" s="66">
        <f>AN22*AD22</f>
        <v/>
      </c>
      <c r="AY22" s="66">
        <f>AO22*AE22</f>
        <v/>
      </c>
      <c r="AZ22" s="66">
        <f>INDEX(Projects[Automation Equipment],21)&amp;""</f>
        <v/>
      </c>
      <c r="BA22" s="66">
        <f>IF(OR(A22="",'Smart Search'!H13=0),"",MAX(0,BE22*BF22*MAX(0,1-BG22)))</f>
        <v/>
      </c>
      <c r="BB22" s="66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66">
        <f>IF('Smart Search'!G13=1,IFERROR(1/'Smart Search'!H13,0),0)</f>
        <v/>
      </c>
      <c r="BD22" s="66">
        <f>BB22*BC22</f>
        <v/>
      </c>
      <c r="BE22" s="66">
        <f>AP22+AQ22+AR22+AS22+AT22+AU22+AV22+AW22+AX22+AY22+BD22</f>
        <v/>
      </c>
      <c r="BF22" s="5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5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5">
        <f>IF(AND(A22&lt;&gt;"",OR('Smart Search'!$L$5="",'Smart Search'!$L$5="All",TRIM(BZ22)=TRIM('Smart Search'!$L$5)),OR(TRIM('Smart Search'!$L$6)="",TRIM('Smart Search'!$L$6)="All",ISNUMBER(SEARCH(SUBSTITUTE(SUBSTITUTE(SUBSTITUTE(TRIM('Smart Search'!$L$6),"~","~~"),"*","~*"),"?","~?"),CA22))),OR('Smart Search'!$L$7="",AND(CB22&lt;&gt;0,CB22='Smart Search'!$L$7)),OR('Smart Search'!$L$8="",'Smart Search'!$L$8="All",TRIM(CC22)=TRIM('Smart Search'!$L$8))),IF(BA22="","",BA22+ROW()*0.0000000001),"")</f>
        <v/>
      </c>
      <c r="BI22" s="5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5">
        <f>IF(A22="","",N(INDEX(Projects[Mech Inst],21)))</f>
        <v/>
      </c>
      <c r="BK22" s="5">
        <f>IF(A22="","",N(INDEX(Projects[Elec Inst],21)))</f>
        <v/>
      </c>
      <c r="BL22" s="5">
        <f>IF(A22="","",N(INDEX(Projects[Project Management],21)))</f>
        <v/>
      </c>
      <c r="BM22" s="5">
        <f>IF(A22="","",N(INDEX(Projects[Systems Eng],21)))</f>
        <v/>
      </c>
      <c r="BN22" s="5">
        <f>IF(A22="","",N(INDEX(Projects[Mechanical Eng],21)))</f>
        <v/>
      </c>
      <c r="BO22" s="5">
        <f>IF(A22="","",N(INDEX(Projects[Structural Engineering],21)))</f>
        <v/>
      </c>
      <c r="BP22" s="5">
        <f>IF(A22="","",N(INDEX(Projects[Site Sup],21)))</f>
        <v/>
      </c>
      <c r="BQ22" s="5">
        <f>IF(A22="","",N(INDEX(Projects[Controls Commissioning],21)))</f>
        <v/>
      </c>
      <c r="BR22" s="5">
        <f>IF(A22="","",N(INDEX(Projects[Systems Commissioning],21)))</f>
        <v/>
      </c>
      <c r="BS22" s="5">
        <f>IF(A22="","",N(INDEX(Projects[Service Commissioning],21)))</f>
        <v/>
      </c>
      <c r="BT22" s="5">
        <f>IF(A22="","",N(INDEX(Projects[Controls Eng],21)))</f>
        <v/>
      </c>
      <c r="BU22" s="5">
        <f>IF(A22="","",N(INDEX(Projects[Controls Purchase],21)))</f>
        <v/>
      </c>
      <c r="BV22" s="5">
        <f>IF(A22="","",N(INDEX(Projects[Software Eng],21)))</f>
        <v/>
      </c>
      <c r="BW22" s="5">
        <f>IF(A22="","",N(INDEX(Projects[Misc],21)))</f>
        <v/>
      </c>
      <c r="BX22" s="5">
        <f>IF(A22="","",SUM(BJ22:BW22))</f>
        <v/>
      </c>
      <c r="BY22" s="5">
        <f>IF(A22="","",IFERROR(IF(ISNUMBER(U22),U22,VALUE(SUBSTITUTE(SUBSTITUTE(SUBSTITUTE(UPPER(TRIM(U22)),"M",""),",","")," ",""))),0))</f>
        <v/>
      </c>
      <c r="BZ22" s="5">
        <f>INDEX(Projects[Solution Type],21)&amp;""</f>
        <v/>
      </c>
      <c r="CA22" s="5">
        <f>INDEX(Projects[Client / Region],21)&amp;""</f>
        <v/>
      </c>
      <c r="CB22" s="5">
        <f>INDEX(Projects[Year],21)</f>
        <v/>
      </c>
      <c r="CC22" s="5">
        <f>INDEX(Projects[Won?],21)&amp;""</f>
        <v/>
      </c>
      <c r="CD22" s="5">
        <f>INDEX(Projects[Value (USD M)],21)</f>
        <v/>
      </c>
    </row>
    <row r="23" ht="15" customHeight="1" s="74">
      <c r="A23" s="66">
        <f>INDEX(Projects[Project ID *],22)&amp;""</f>
        <v/>
      </c>
      <c r="B23" s="66">
        <f>INDEX(Projects[Project Name *],22)&amp;""</f>
        <v/>
      </c>
      <c r="C23" s="66">
        <f>INDEX(Projects[MS Shuttles],22)</f>
        <v/>
      </c>
      <c r="D23" s="66">
        <f>INDEX(Projects[MS Tote Locations],22)</f>
        <v/>
      </c>
      <c r="E23" s="66">
        <f>INDEX(Projects[AS Robots],22)</f>
        <v/>
      </c>
      <c r="F23" s="66">
        <f>INDEX(Projects[AS Tote Locations],22)</f>
        <v/>
      </c>
      <c r="G23" s="66">
        <f>INDEX(Projects[PS Shuttles],22)</f>
        <v/>
      </c>
      <c r="H23" s="66">
        <f>INDEX(Projects[PS Pallet Locations],22)</f>
        <v/>
      </c>
      <c r="I23" s="66">
        <f>INDEX(Projects[SRM Cranes],22)</f>
        <v/>
      </c>
      <c r="J23" s="66">
        <f>INDEX(Projects[SRM Pallet Locations],22)</f>
        <v/>
      </c>
      <c r="K23" s="66">
        <f>INDEX(Projects[Case Conv (m)],22)</f>
        <v/>
      </c>
      <c r="L23" s="66">
        <f>INDEX(Projects[Pallet Conv (m)],22)</f>
        <v/>
      </c>
      <c r="M23" s="66">
        <f>INDEX(Projects[Mech Eng (wks)],22)</f>
        <v/>
      </c>
      <c r="N23" s="66">
        <f>INDEX(Projects[Controls Eng (wks)],22)</f>
        <v/>
      </c>
      <c r="O23" s="66">
        <f>INDEX(Projects[Systems Eng (wks)],22)</f>
        <v/>
      </c>
      <c r="P23" s="66">
        <f>INDEX(Projects[Software Eng (wks)],22)</f>
        <v/>
      </c>
      <c r="Q23" s="66">
        <f>INDEX(Projects[M&amp;E Installation (wks)],22)</f>
        <v/>
      </c>
      <c r="R23" s="66">
        <f>INDEX(Projects[Commissioning (wks)],22)</f>
        <v/>
      </c>
      <c r="S23" s="66">
        <f>INDEX(Projects[Total Timeline (wks)],22)</f>
        <v/>
      </c>
      <c r="T23" s="66">
        <f>INDEX(Projects[Currency],22)&amp;""</f>
        <v/>
      </c>
      <c r="U23" s="67">
        <f>INDEX(Projects[Value (M)],22)</f>
        <v/>
      </c>
      <c r="V23" s="66">
        <f>IF('Smart Search'!B13=1,IFERROR(1/'Smart Search'!H13,0),0)</f>
        <v/>
      </c>
      <c r="W23" s="66">
        <f>IF('Smart Search'!B13=1,IFERROR(1/'Smart Search'!H13,0),0)</f>
        <v/>
      </c>
      <c r="X23" s="66">
        <f>IF('Smart Search'!C13=1,IFERROR(1/'Smart Search'!H13,0),0)</f>
        <v/>
      </c>
      <c r="Y23" s="66">
        <f>IF('Smart Search'!C13=1,IFERROR(1/'Smart Search'!H13,0),0)</f>
        <v/>
      </c>
      <c r="Z23" s="66">
        <f>IF('Smart Search'!D13=1,IFERROR(1/'Smart Search'!H13,0),0)</f>
        <v/>
      </c>
      <c r="AA23" s="66">
        <f>IF('Smart Search'!D13=1,IFERROR(1/'Smart Search'!H13,0),0)</f>
        <v/>
      </c>
      <c r="AB23" s="66">
        <f>IF('Smart Search'!E13=1,IFERROR(1/'Smart Search'!H13,0),0)</f>
        <v/>
      </c>
      <c r="AC23" s="66">
        <f>IF('Smart Search'!E13=1,IFERROR(1/'Smart Search'!H13,0),0)</f>
        <v/>
      </c>
      <c r="AD23" s="66">
        <f>IF('Smart Search'!F13=1,IFERROR(1/'Smart Search'!H13,0),0)</f>
        <v/>
      </c>
      <c r="AE23" s="66">
        <f>IF('Smart Search'!F13=1,IFERROR(1/'Smart Search'!H13,0),0)</f>
        <v/>
      </c>
      <c r="AF23" s="66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66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66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66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66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66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66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66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66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66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66">
        <f>AF23*V23</f>
        <v/>
      </c>
      <c r="AQ23" s="66">
        <f>AG23*W23</f>
        <v/>
      </c>
      <c r="AR23" s="66">
        <f>AH23*X23</f>
        <v/>
      </c>
      <c r="AS23" s="66">
        <f>AI23*Y23</f>
        <v/>
      </c>
      <c r="AT23" s="66">
        <f>AJ23*Z23</f>
        <v/>
      </c>
      <c r="AU23" s="66">
        <f>AK23*AA23</f>
        <v/>
      </c>
      <c r="AV23" s="66">
        <f>AL23*AB23</f>
        <v/>
      </c>
      <c r="AW23" s="66">
        <f>AM23*AC23</f>
        <v/>
      </c>
      <c r="AX23" s="66">
        <f>AN23*AD23</f>
        <v/>
      </c>
      <c r="AY23" s="66">
        <f>AO23*AE23</f>
        <v/>
      </c>
      <c r="AZ23" s="66">
        <f>INDEX(Projects[Automation Equipment],22)&amp;""</f>
        <v/>
      </c>
      <c r="BA23" s="66">
        <f>IF(OR(A23="",'Smart Search'!H13=0),"",MAX(0,BE23*BF23*MAX(0,1-BG23)))</f>
        <v/>
      </c>
      <c r="BB23" s="66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66">
        <f>IF('Smart Search'!G13=1,IFERROR(1/'Smart Search'!H13,0),0)</f>
        <v/>
      </c>
      <c r="BD23" s="66">
        <f>BB23*BC23</f>
        <v/>
      </c>
      <c r="BE23" s="66">
        <f>AP23+AQ23+AR23+AS23+AT23+AU23+AV23+AW23+AX23+AY23+BD23</f>
        <v/>
      </c>
      <c r="BF23" s="5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5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5">
        <f>IF(AND(A23&lt;&gt;"",OR('Smart Search'!$L$5="",'Smart Search'!$L$5="All",TRIM(BZ23)=TRIM('Smart Search'!$L$5)),OR(TRIM('Smart Search'!$L$6)="",TRIM('Smart Search'!$L$6)="All",ISNUMBER(SEARCH(SUBSTITUTE(SUBSTITUTE(SUBSTITUTE(TRIM('Smart Search'!$L$6),"~","~~"),"*","~*"),"?","~?"),CA23))),OR('Smart Search'!$L$7="",AND(CB23&lt;&gt;0,CB23='Smart Search'!$L$7)),OR('Smart Search'!$L$8="",'Smart Search'!$L$8="All",TRIM(CC23)=TRIM('Smart Search'!$L$8))),IF(BA23="","",BA23+ROW()*0.0000000001),"")</f>
        <v/>
      </c>
      <c r="BI23" s="5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5">
        <f>IF(A23="","",N(INDEX(Projects[Mech Inst],22)))</f>
        <v/>
      </c>
      <c r="BK23" s="5">
        <f>IF(A23="","",N(INDEX(Projects[Elec Inst],22)))</f>
        <v/>
      </c>
      <c r="BL23" s="5">
        <f>IF(A23="","",N(INDEX(Projects[Project Management],22)))</f>
        <v/>
      </c>
      <c r="BM23" s="5">
        <f>IF(A23="","",N(INDEX(Projects[Systems Eng],22)))</f>
        <v/>
      </c>
      <c r="BN23" s="5">
        <f>IF(A23="","",N(INDEX(Projects[Mechanical Eng],22)))</f>
        <v/>
      </c>
      <c r="BO23" s="5">
        <f>IF(A23="","",N(INDEX(Projects[Structural Engineering],22)))</f>
        <v/>
      </c>
      <c r="BP23" s="5">
        <f>IF(A23="","",N(INDEX(Projects[Site Sup],22)))</f>
        <v/>
      </c>
      <c r="BQ23" s="5">
        <f>IF(A23="","",N(INDEX(Projects[Controls Commissioning],22)))</f>
        <v/>
      </c>
      <c r="BR23" s="5">
        <f>IF(A23="","",N(INDEX(Projects[Systems Commissioning],22)))</f>
        <v/>
      </c>
      <c r="BS23" s="5">
        <f>IF(A23="","",N(INDEX(Projects[Service Commissioning],22)))</f>
        <v/>
      </c>
      <c r="BT23" s="5">
        <f>IF(A23="","",N(INDEX(Projects[Controls Eng],22)))</f>
        <v/>
      </c>
      <c r="BU23" s="5">
        <f>IF(A23="","",N(INDEX(Projects[Controls Purchase],22)))</f>
        <v/>
      </c>
      <c r="BV23" s="5">
        <f>IF(A23="","",N(INDEX(Projects[Software Eng],22)))</f>
        <v/>
      </c>
      <c r="BW23" s="5">
        <f>IF(A23="","",N(INDEX(Projects[Misc],22)))</f>
        <v/>
      </c>
      <c r="BX23" s="5">
        <f>IF(A23="","",SUM(BJ23:BW23))</f>
        <v/>
      </c>
      <c r="BY23" s="5">
        <f>IF(A23="","",IFERROR(IF(ISNUMBER(U23),U23,VALUE(SUBSTITUTE(SUBSTITUTE(SUBSTITUTE(UPPER(TRIM(U23)),"M",""),",","")," ",""))),0))</f>
        <v/>
      </c>
      <c r="BZ23" s="5">
        <f>INDEX(Projects[Solution Type],22)&amp;""</f>
        <v/>
      </c>
      <c r="CA23" s="5">
        <f>INDEX(Projects[Client / Region],22)&amp;""</f>
        <v/>
      </c>
      <c r="CB23" s="5">
        <f>INDEX(Projects[Year],22)</f>
        <v/>
      </c>
      <c r="CC23" s="5">
        <f>INDEX(Projects[Won?],22)&amp;""</f>
        <v/>
      </c>
      <c r="CD23" s="5">
        <f>INDEX(Projects[Value (USD M)],22)</f>
        <v/>
      </c>
    </row>
    <row r="24" ht="15" customHeight="1" s="74">
      <c r="A24" s="66">
        <f>INDEX(Projects[Project ID *],23)&amp;""</f>
        <v/>
      </c>
      <c r="B24" s="66">
        <f>INDEX(Projects[Project Name *],23)&amp;""</f>
        <v/>
      </c>
      <c r="C24" s="66">
        <f>INDEX(Projects[MS Shuttles],23)</f>
        <v/>
      </c>
      <c r="D24" s="66">
        <f>INDEX(Projects[MS Tote Locations],23)</f>
        <v/>
      </c>
      <c r="E24" s="66">
        <f>INDEX(Projects[AS Robots],23)</f>
        <v/>
      </c>
      <c r="F24" s="66">
        <f>INDEX(Projects[AS Tote Locations],23)</f>
        <v/>
      </c>
      <c r="G24" s="66">
        <f>INDEX(Projects[PS Shuttles],23)</f>
        <v/>
      </c>
      <c r="H24" s="66">
        <f>INDEX(Projects[PS Pallet Locations],23)</f>
        <v/>
      </c>
      <c r="I24" s="66">
        <f>INDEX(Projects[SRM Cranes],23)</f>
        <v/>
      </c>
      <c r="J24" s="66">
        <f>INDEX(Projects[SRM Pallet Locations],23)</f>
        <v/>
      </c>
      <c r="K24" s="66">
        <f>INDEX(Projects[Case Conv (m)],23)</f>
        <v/>
      </c>
      <c r="L24" s="66">
        <f>INDEX(Projects[Pallet Conv (m)],23)</f>
        <v/>
      </c>
      <c r="M24" s="66">
        <f>INDEX(Projects[Mech Eng (wks)],23)</f>
        <v/>
      </c>
      <c r="N24" s="66">
        <f>INDEX(Projects[Controls Eng (wks)],23)</f>
        <v/>
      </c>
      <c r="O24" s="66">
        <f>INDEX(Projects[Systems Eng (wks)],23)</f>
        <v/>
      </c>
      <c r="P24" s="66">
        <f>INDEX(Projects[Software Eng (wks)],23)</f>
        <v/>
      </c>
      <c r="Q24" s="66">
        <f>INDEX(Projects[M&amp;E Installation (wks)],23)</f>
        <v/>
      </c>
      <c r="R24" s="66">
        <f>INDEX(Projects[Commissioning (wks)],23)</f>
        <v/>
      </c>
      <c r="S24" s="66">
        <f>INDEX(Projects[Total Timeline (wks)],23)</f>
        <v/>
      </c>
      <c r="T24" s="66">
        <f>INDEX(Projects[Currency],23)&amp;""</f>
        <v/>
      </c>
      <c r="U24" s="67">
        <f>INDEX(Projects[Value (M)],23)</f>
        <v/>
      </c>
      <c r="V24" s="66">
        <f>IF('Smart Search'!B13=1,IFERROR(1/'Smart Search'!H13,0),0)</f>
        <v/>
      </c>
      <c r="W24" s="66">
        <f>IF('Smart Search'!B13=1,IFERROR(1/'Smart Search'!H13,0),0)</f>
        <v/>
      </c>
      <c r="X24" s="66">
        <f>IF('Smart Search'!C13=1,IFERROR(1/'Smart Search'!H13,0),0)</f>
        <v/>
      </c>
      <c r="Y24" s="66">
        <f>IF('Smart Search'!C13=1,IFERROR(1/'Smart Search'!H13,0),0)</f>
        <v/>
      </c>
      <c r="Z24" s="66">
        <f>IF('Smart Search'!D13=1,IFERROR(1/'Smart Search'!H13,0),0)</f>
        <v/>
      </c>
      <c r="AA24" s="66">
        <f>IF('Smart Search'!D13=1,IFERROR(1/'Smart Search'!H13,0),0)</f>
        <v/>
      </c>
      <c r="AB24" s="66">
        <f>IF('Smart Search'!E13=1,IFERROR(1/'Smart Search'!H13,0),0)</f>
        <v/>
      </c>
      <c r="AC24" s="66">
        <f>IF('Smart Search'!E13=1,IFERROR(1/'Smart Search'!H13,0),0)</f>
        <v/>
      </c>
      <c r="AD24" s="66">
        <f>IF('Smart Search'!F13=1,IFERROR(1/'Smart Search'!H13,0),0)</f>
        <v/>
      </c>
      <c r="AE24" s="66">
        <f>IF('Smart Search'!F13=1,IFERROR(1/'Smart Search'!H13,0),0)</f>
        <v/>
      </c>
      <c r="AF24" s="66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66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66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66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66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66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66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66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66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66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66">
        <f>AF24*V24</f>
        <v/>
      </c>
      <c r="AQ24" s="66">
        <f>AG24*W24</f>
        <v/>
      </c>
      <c r="AR24" s="66">
        <f>AH24*X24</f>
        <v/>
      </c>
      <c r="AS24" s="66">
        <f>AI24*Y24</f>
        <v/>
      </c>
      <c r="AT24" s="66">
        <f>AJ24*Z24</f>
        <v/>
      </c>
      <c r="AU24" s="66">
        <f>AK24*AA24</f>
        <v/>
      </c>
      <c r="AV24" s="66">
        <f>AL24*AB24</f>
        <v/>
      </c>
      <c r="AW24" s="66">
        <f>AM24*AC24</f>
        <v/>
      </c>
      <c r="AX24" s="66">
        <f>AN24*AD24</f>
        <v/>
      </c>
      <c r="AY24" s="66">
        <f>AO24*AE24</f>
        <v/>
      </c>
      <c r="AZ24" s="66">
        <f>INDEX(Projects[Automation Equipment],23)&amp;""</f>
        <v/>
      </c>
      <c r="BA24" s="66">
        <f>IF(OR(A24="",'Smart Search'!H13=0),"",MAX(0,BE24*BF24*MAX(0,1-BG24)))</f>
        <v/>
      </c>
      <c r="BB24" s="66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66">
        <f>IF('Smart Search'!G13=1,IFERROR(1/'Smart Search'!H13,0),0)</f>
        <v/>
      </c>
      <c r="BD24" s="66">
        <f>BB24*BC24</f>
        <v/>
      </c>
      <c r="BE24" s="66">
        <f>AP24+AQ24+AR24+AS24+AT24+AU24+AV24+AW24+AX24+AY24+BD24</f>
        <v/>
      </c>
      <c r="BF24" s="5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5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5">
        <f>IF(AND(A24&lt;&gt;"",OR('Smart Search'!$L$5="",'Smart Search'!$L$5="All",TRIM(BZ24)=TRIM('Smart Search'!$L$5)),OR(TRIM('Smart Search'!$L$6)="",TRIM('Smart Search'!$L$6)="All",ISNUMBER(SEARCH(SUBSTITUTE(SUBSTITUTE(SUBSTITUTE(TRIM('Smart Search'!$L$6),"~","~~"),"*","~*"),"?","~?"),CA24))),OR('Smart Search'!$L$7="",AND(CB24&lt;&gt;0,CB24='Smart Search'!$L$7)),OR('Smart Search'!$L$8="",'Smart Search'!$L$8="All",TRIM(CC24)=TRIM('Smart Search'!$L$8))),IF(BA24="","",BA24+ROW()*0.0000000001),"")</f>
        <v/>
      </c>
      <c r="BI24" s="5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5">
        <f>IF(A24="","",N(INDEX(Projects[Mech Inst],23)))</f>
        <v/>
      </c>
      <c r="BK24" s="5">
        <f>IF(A24="","",N(INDEX(Projects[Elec Inst],23)))</f>
        <v/>
      </c>
      <c r="BL24" s="5">
        <f>IF(A24="","",N(INDEX(Projects[Project Management],23)))</f>
        <v/>
      </c>
      <c r="BM24" s="5">
        <f>IF(A24="","",N(INDEX(Projects[Systems Eng],23)))</f>
        <v/>
      </c>
      <c r="BN24" s="5">
        <f>IF(A24="","",N(INDEX(Projects[Mechanical Eng],23)))</f>
        <v/>
      </c>
      <c r="BO24" s="5">
        <f>IF(A24="","",N(INDEX(Projects[Structural Engineering],23)))</f>
        <v/>
      </c>
      <c r="BP24" s="5">
        <f>IF(A24="","",N(INDEX(Projects[Site Sup],23)))</f>
        <v/>
      </c>
      <c r="BQ24" s="5">
        <f>IF(A24="","",N(INDEX(Projects[Controls Commissioning],23)))</f>
        <v/>
      </c>
      <c r="BR24" s="5">
        <f>IF(A24="","",N(INDEX(Projects[Systems Commissioning],23)))</f>
        <v/>
      </c>
      <c r="BS24" s="5">
        <f>IF(A24="","",N(INDEX(Projects[Service Commissioning],23)))</f>
        <v/>
      </c>
      <c r="BT24" s="5">
        <f>IF(A24="","",N(INDEX(Projects[Controls Eng],23)))</f>
        <v/>
      </c>
      <c r="BU24" s="5">
        <f>IF(A24="","",N(INDEX(Projects[Controls Purchase],23)))</f>
        <v/>
      </c>
      <c r="BV24" s="5">
        <f>IF(A24="","",N(INDEX(Projects[Software Eng],23)))</f>
        <v/>
      </c>
      <c r="BW24" s="5">
        <f>IF(A24="","",N(INDEX(Projects[Misc],23)))</f>
        <v/>
      </c>
      <c r="BX24" s="5">
        <f>IF(A24="","",SUM(BJ24:BW24))</f>
        <v/>
      </c>
      <c r="BY24" s="5">
        <f>IF(A24="","",IFERROR(IF(ISNUMBER(U24),U24,VALUE(SUBSTITUTE(SUBSTITUTE(SUBSTITUTE(UPPER(TRIM(U24)),"M",""),",","")," ",""))),0))</f>
        <v/>
      </c>
      <c r="BZ24" s="5">
        <f>INDEX(Projects[Solution Type],23)&amp;""</f>
        <v/>
      </c>
      <c r="CA24" s="5">
        <f>INDEX(Projects[Client / Region],23)&amp;""</f>
        <v/>
      </c>
      <c r="CB24" s="5">
        <f>INDEX(Projects[Year],23)</f>
        <v/>
      </c>
      <c r="CC24" s="5">
        <f>INDEX(Projects[Won?],23)&amp;""</f>
        <v/>
      </c>
      <c r="CD24" s="5">
        <f>INDEX(Projects[Value (USD M)],23)</f>
        <v/>
      </c>
    </row>
    <row r="25" ht="15" customHeight="1" s="74">
      <c r="A25" s="66">
        <f>INDEX(Projects[Project ID *],24)&amp;""</f>
        <v/>
      </c>
      <c r="B25" s="66">
        <f>INDEX(Projects[Project Name *],24)&amp;""</f>
        <v/>
      </c>
      <c r="C25" s="66">
        <f>INDEX(Projects[MS Shuttles],24)</f>
        <v/>
      </c>
      <c r="D25" s="66">
        <f>INDEX(Projects[MS Tote Locations],24)</f>
        <v/>
      </c>
      <c r="E25" s="66">
        <f>INDEX(Projects[AS Robots],24)</f>
        <v/>
      </c>
      <c r="F25" s="66">
        <f>INDEX(Projects[AS Tote Locations],24)</f>
        <v/>
      </c>
      <c r="G25" s="66">
        <f>INDEX(Projects[PS Shuttles],24)</f>
        <v/>
      </c>
      <c r="H25" s="66">
        <f>INDEX(Projects[PS Pallet Locations],24)</f>
        <v/>
      </c>
      <c r="I25" s="66">
        <f>INDEX(Projects[SRM Cranes],24)</f>
        <v/>
      </c>
      <c r="J25" s="66">
        <f>INDEX(Projects[SRM Pallet Locations],24)</f>
        <v/>
      </c>
      <c r="K25" s="66">
        <f>INDEX(Projects[Case Conv (m)],24)</f>
        <v/>
      </c>
      <c r="L25" s="66">
        <f>INDEX(Projects[Pallet Conv (m)],24)</f>
        <v/>
      </c>
      <c r="M25" s="66">
        <f>INDEX(Projects[Mech Eng (wks)],24)</f>
        <v/>
      </c>
      <c r="N25" s="66">
        <f>INDEX(Projects[Controls Eng (wks)],24)</f>
        <v/>
      </c>
      <c r="O25" s="66">
        <f>INDEX(Projects[Systems Eng (wks)],24)</f>
        <v/>
      </c>
      <c r="P25" s="66">
        <f>INDEX(Projects[Software Eng (wks)],24)</f>
        <v/>
      </c>
      <c r="Q25" s="66">
        <f>INDEX(Projects[M&amp;E Installation (wks)],24)</f>
        <v/>
      </c>
      <c r="R25" s="66">
        <f>INDEX(Projects[Commissioning (wks)],24)</f>
        <v/>
      </c>
      <c r="S25" s="66">
        <f>INDEX(Projects[Total Timeline (wks)],24)</f>
        <v/>
      </c>
      <c r="T25" s="66">
        <f>INDEX(Projects[Currency],24)&amp;""</f>
        <v/>
      </c>
      <c r="U25" s="67">
        <f>INDEX(Projects[Value (M)],24)</f>
        <v/>
      </c>
      <c r="V25" s="66">
        <f>IF('Smart Search'!B13=1,IFERROR(1/'Smart Search'!H13,0),0)</f>
        <v/>
      </c>
      <c r="W25" s="66">
        <f>IF('Smart Search'!B13=1,IFERROR(1/'Smart Search'!H13,0),0)</f>
        <v/>
      </c>
      <c r="X25" s="66">
        <f>IF('Smart Search'!C13=1,IFERROR(1/'Smart Search'!H13,0),0)</f>
        <v/>
      </c>
      <c r="Y25" s="66">
        <f>IF('Smart Search'!C13=1,IFERROR(1/'Smart Search'!H13,0),0)</f>
        <v/>
      </c>
      <c r="Z25" s="66">
        <f>IF('Smart Search'!D13=1,IFERROR(1/'Smart Search'!H13,0),0)</f>
        <v/>
      </c>
      <c r="AA25" s="66">
        <f>IF('Smart Search'!D13=1,IFERROR(1/'Smart Search'!H13,0),0)</f>
        <v/>
      </c>
      <c r="AB25" s="66">
        <f>IF('Smart Search'!E13=1,IFERROR(1/'Smart Search'!H13,0),0)</f>
        <v/>
      </c>
      <c r="AC25" s="66">
        <f>IF('Smart Search'!E13=1,IFERROR(1/'Smart Search'!H13,0),0)</f>
        <v/>
      </c>
      <c r="AD25" s="66">
        <f>IF('Smart Search'!F13=1,IFERROR(1/'Smart Search'!H13,0),0)</f>
        <v/>
      </c>
      <c r="AE25" s="66">
        <f>IF('Smart Search'!F13=1,IFERROR(1/'Smart Search'!H13,0),0)</f>
        <v/>
      </c>
      <c r="AF25" s="66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66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66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66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66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66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66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66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66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66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66">
        <f>AF25*V25</f>
        <v/>
      </c>
      <c r="AQ25" s="66">
        <f>AG25*W25</f>
        <v/>
      </c>
      <c r="AR25" s="66">
        <f>AH25*X25</f>
        <v/>
      </c>
      <c r="AS25" s="66">
        <f>AI25*Y25</f>
        <v/>
      </c>
      <c r="AT25" s="66">
        <f>AJ25*Z25</f>
        <v/>
      </c>
      <c r="AU25" s="66">
        <f>AK25*AA25</f>
        <v/>
      </c>
      <c r="AV25" s="66">
        <f>AL25*AB25</f>
        <v/>
      </c>
      <c r="AW25" s="66">
        <f>AM25*AC25</f>
        <v/>
      </c>
      <c r="AX25" s="66">
        <f>AN25*AD25</f>
        <v/>
      </c>
      <c r="AY25" s="66">
        <f>AO25*AE25</f>
        <v/>
      </c>
      <c r="AZ25" s="66">
        <f>INDEX(Projects[Automation Equipment],24)&amp;""</f>
        <v/>
      </c>
      <c r="BA25" s="66">
        <f>IF(OR(A25="",'Smart Search'!H13=0),"",MAX(0,BE25*BF25*MAX(0,1-BG25)))</f>
        <v/>
      </c>
      <c r="BB25" s="66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66">
        <f>IF('Smart Search'!G13=1,IFERROR(1/'Smart Search'!H13,0),0)</f>
        <v/>
      </c>
      <c r="BD25" s="66">
        <f>BB25*BC25</f>
        <v/>
      </c>
      <c r="BE25" s="66">
        <f>AP25+AQ25+AR25+AS25+AT25+AU25+AV25+AW25+AX25+AY25+BD25</f>
        <v/>
      </c>
      <c r="BF25" s="5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5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5">
        <f>IF(AND(A25&lt;&gt;"",OR('Smart Search'!$L$5="",'Smart Search'!$L$5="All",TRIM(BZ25)=TRIM('Smart Search'!$L$5)),OR(TRIM('Smart Search'!$L$6)="",TRIM('Smart Search'!$L$6)="All",ISNUMBER(SEARCH(SUBSTITUTE(SUBSTITUTE(SUBSTITUTE(TRIM('Smart Search'!$L$6),"~","~~"),"*","~*"),"?","~?"),CA25))),OR('Smart Search'!$L$7="",AND(CB25&lt;&gt;0,CB25='Smart Search'!$L$7)),OR('Smart Search'!$L$8="",'Smart Search'!$L$8="All",TRIM(CC25)=TRIM('Smart Search'!$L$8))),IF(BA25="","",BA25+ROW()*0.0000000001),"")</f>
        <v/>
      </c>
      <c r="BI25" s="5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5">
        <f>IF(A25="","",N(INDEX(Projects[Mech Inst],24)))</f>
        <v/>
      </c>
      <c r="BK25" s="5">
        <f>IF(A25="","",N(INDEX(Projects[Elec Inst],24)))</f>
        <v/>
      </c>
      <c r="BL25" s="5">
        <f>IF(A25="","",N(INDEX(Projects[Project Management],24)))</f>
        <v/>
      </c>
      <c r="BM25" s="5">
        <f>IF(A25="","",N(INDEX(Projects[Systems Eng],24)))</f>
        <v/>
      </c>
      <c r="BN25" s="5">
        <f>IF(A25="","",N(INDEX(Projects[Mechanical Eng],24)))</f>
        <v/>
      </c>
      <c r="BO25" s="5">
        <f>IF(A25="","",N(INDEX(Projects[Structural Engineering],24)))</f>
        <v/>
      </c>
      <c r="BP25" s="5">
        <f>IF(A25="","",N(INDEX(Projects[Site Sup],24)))</f>
        <v/>
      </c>
      <c r="BQ25" s="5">
        <f>IF(A25="","",N(INDEX(Projects[Controls Commissioning],24)))</f>
        <v/>
      </c>
      <c r="BR25" s="5">
        <f>IF(A25="","",N(INDEX(Projects[Systems Commissioning],24)))</f>
        <v/>
      </c>
      <c r="BS25" s="5">
        <f>IF(A25="","",N(INDEX(Projects[Service Commissioning],24)))</f>
        <v/>
      </c>
      <c r="BT25" s="5">
        <f>IF(A25="","",N(INDEX(Projects[Controls Eng],24)))</f>
        <v/>
      </c>
      <c r="BU25" s="5">
        <f>IF(A25="","",N(INDEX(Projects[Controls Purchase],24)))</f>
        <v/>
      </c>
      <c r="BV25" s="5">
        <f>IF(A25="","",N(INDEX(Projects[Software Eng],24)))</f>
        <v/>
      </c>
      <c r="BW25" s="5">
        <f>IF(A25="","",N(INDEX(Projects[Misc],24)))</f>
        <v/>
      </c>
      <c r="BX25" s="5">
        <f>IF(A25="","",SUM(BJ25:BW25))</f>
        <v/>
      </c>
      <c r="BY25" s="5">
        <f>IF(A25="","",IFERROR(IF(ISNUMBER(U25),U25,VALUE(SUBSTITUTE(SUBSTITUTE(SUBSTITUTE(UPPER(TRIM(U25)),"M",""),",","")," ",""))),0))</f>
        <v/>
      </c>
      <c r="BZ25" s="5">
        <f>INDEX(Projects[Solution Type],24)&amp;""</f>
        <v/>
      </c>
      <c r="CA25" s="5">
        <f>INDEX(Projects[Client / Region],24)&amp;""</f>
        <v/>
      </c>
      <c r="CB25" s="5">
        <f>INDEX(Projects[Year],24)</f>
        <v/>
      </c>
      <c r="CC25" s="5">
        <f>INDEX(Projects[Won?],24)&amp;""</f>
        <v/>
      </c>
      <c r="CD25" s="5">
        <f>INDEX(Projects[Value (USD M)],24)</f>
        <v/>
      </c>
    </row>
    <row r="26" ht="15" customHeight="1" s="74">
      <c r="A26" s="66">
        <f>INDEX(Projects[Project ID *],25)&amp;""</f>
        <v/>
      </c>
      <c r="B26" s="66">
        <f>INDEX(Projects[Project Name *],25)&amp;""</f>
        <v/>
      </c>
      <c r="C26" s="66">
        <f>INDEX(Projects[MS Shuttles],25)</f>
        <v/>
      </c>
      <c r="D26" s="66">
        <f>INDEX(Projects[MS Tote Locations],25)</f>
        <v/>
      </c>
      <c r="E26" s="66">
        <f>INDEX(Projects[AS Robots],25)</f>
        <v/>
      </c>
      <c r="F26" s="66">
        <f>INDEX(Projects[AS Tote Locations],25)</f>
        <v/>
      </c>
      <c r="G26" s="66">
        <f>INDEX(Projects[PS Shuttles],25)</f>
        <v/>
      </c>
      <c r="H26" s="66">
        <f>INDEX(Projects[PS Pallet Locations],25)</f>
        <v/>
      </c>
      <c r="I26" s="66">
        <f>INDEX(Projects[SRM Cranes],25)</f>
        <v/>
      </c>
      <c r="J26" s="66">
        <f>INDEX(Projects[SRM Pallet Locations],25)</f>
        <v/>
      </c>
      <c r="K26" s="66">
        <f>INDEX(Projects[Case Conv (m)],25)</f>
        <v/>
      </c>
      <c r="L26" s="66">
        <f>INDEX(Projects[Pallet Conv (m)],25)</f>
        <v/>
      </c>
      <c r="M26" s="66">
        <f>INDEX(Projects[Mech Eng (wks)],25)</f>
        <v/>
      </c>
      <c r="N26" s="66">
        <f>INDEX(Projects[Controls Eng (wks)],25)</f>
        <v/>
      </c>
      <c r="O26" s="66">
        <f>INDEX(Projects[Systems Eng (wks)],25)</f>
        <v/>
      </c>
      <c r="P26" s="66">
        <f>INDEX(Projects[Software Eng (wks)],25)</f>
        <v/>
      </c>
      <c r="Q26" s="66">
        <f>INDEX(Projects[M&amp;E Installation (wks)],25)</f>
        <v/>
      </c>
      <c r="R26" s="66">
        <f>INDEX(Projects[Commissioning (wks)],25)</f>
        <v/>
      </c>
      <c r="S26" s="66">
        <f>INDEX(Projects[Total Timeline (wks)],25)</f>
        <v/>
      </c>
      <c r="T26" s="66">
        <f>INDEX(Projects[Currency],25)&amp;""</f>
        <v/>
      </c>
      <c r="U26" s="67">
        <f>INDEX(Projects[Value (M)],25)</f>
        <v/>
      </c>
      <c r="V26" s="66">
        <f>IF('Smart Search'!B13=1,IFERROR(1/'Smart Search'!H13,0),0)</f>
        <v/>
      </c>
      <c r="W26" s="66">
        <f>IF('Smart Search'!B13=1,IFERROR(1/'Smart Search'!H13,0),0)</f>
        <v/>
      </c>
      <c r="X26" s="66">
        <f>IF('Smart Search'!C13=1,IFERROR(1/'Smart Search'!H13,0),0)</f>
        <v/>
      </c>
      <c r="Y26" s="66">
        <f>IF('Smart Search'!C13=1,IFERROR(1/'Smart Search'!H13,0),0)</f>
        <v/>
      </c>
      <c r="Z26" s="66">
        <f>IF('Smart Search'!D13=1,IFERROR(1/'Smart Search'!H13,0),0)</f>
        <v/>
      </c>
      <c r="AA26" s="66">
        <f>IF('Smart Search'!D13=1,IFERROR(1/'Smart Search'!H13,0),0)</f>
        <v/>
      </c>
      <c r="AB26" s="66">
        <f>IF('Smart Search'!E13=1,IFERROR(1/'Smart Search'!H13,0),0)</f>
        <v/>
      </c>
      <c r="AC26" s="66">
        <f>IF('Smart Search'!E13=1,IFERROR(1/'Smart Search'!H13,0),0)</f>
        <v/>
      </c>
      <c r="AD26" s="66">
        <f>IF('Smart Search'!F13=1,IFERROR(1/'Smart Search'!H13,0),0)</f>
        <v/>
      </c>
      <c r="AE26" s="66">
        <f>IF('Smart Search'!F13=1,IFERROR(1/'Smart Search'!H13,0),0)</f>
        <v/>
      </c>
      <c r="AF26" s="66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66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66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66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66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66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66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66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66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66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66">
        <f>AF26*V26</f>
        <v/>
      </c>
      <c r="AQ26" s="66">
        <f>AG26*W26</f>
        <v/>
      </c>
      <c r="AR26" s="66">
        <f>AH26*X26</f>
        <v/>
      </c>
      <c r="AS26" s="66">
        <f>AI26*Y26</f>
        <v/>
      </c>
      <c r="AT26" s="66">
        <f>AJ26*Z26</f>
        <v/>
      </c>
      <c r="AU26" s="66">
        <f>AK26*AA26</f>
        <v/>
      </c>
      <c r="AV26" s="66">
        <f>AL26*AB26</f>
        <v/>
      </c>
      <c r="AW26" s="66">
        <f>AM26*AC26</f>
        <v/>
      </c>
      <c r="AX26" s="66">
        <f>AN26*AD26</f>
        <v/>
      </c>
      <c r="AY26" s="66">
        <f>AO26*AE26</f>
        <v/>
      </c>
      <c r="AZ26" s="66">
        <f>INDEX(Projects[Automation Equipment],25)&amp;""</f>
        <v/>
      </c>
      <c r="BA26" s="66">
        <f>IF(OR(A26="",'Smart Search'!H13=0),"",MAX(0,BE26*BF26*MAX(0,1-BG26)))</f>
        <v/>
      </c>
      <c r="BB26" s="66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66">
        <f>IF('Smart Search'!G13=1,IFERROR(1/'Smart Search'!H13,0),0)</f>
        <v/>
      </c>
      <c r="BD26" s="66">
        <f>BB26*BC26</f>
        <v/>
      </c>
      <c r="BE26" s="66">
        <f>AP26+AQ26+AR26+AS26+AT26+AU26+AV26+AW26+AX26+AY26+BD26</f>
        <v/>
      </c>
      <c r="BF26" s="5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5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5">
        <f>IF(AND(A26&lt;&gt;"",OR('Smart Search'!$L$5="",'Smart Search'!$L$5="All",TRIM(BZ26)=TRIM('Smart Search'!$L$5)),OR(TRIM('Smart Search'!$L$6)="",TRIM('Smart Search'!$L$6)="All",ISNUMBER(SEARCH(SUBSTITUTE(SUBSTITUTE(SUBSTITUTE(TRIM('Smart Search'!$L$6),"~","~~"),"*","~*"),"?","~?"),CA26))),OR('Smart Search'!$L$7="",AND(CB26&lt;&gt;0,CB26='Smart Search'!$L$7)),OR('Smart Search'!$L$8="",'Smart Search'!$L$8="All",TRIM(CC26)=TRIM('Smart Search'!$L$8))),IF(BA26="","",BA26+ROW()*0.0000000001),"")</f>
        <v/>
      </c>
      <c r="BI26" s="5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5">
        <f>IF(A26="","",N(INDEX(Projects[Mech Inst],25)))</f>
        <v/>
      </c>
      <c r="BK26" s="5">
        <f>IF(A26="","",N(INDEX(Projects[Elec Inst],25)))</f>
        <v/>
      </c>
      <c r="BL26" s="5">
        <f>IF(A26="","",N(INDEX(Projects[Project Management],25)))</f>
        <v/>
      </c>
      <c r="BM26" s="5">
        <f>IF(A26="","",N(INDEX(Projects[Systems Eng],25)))</f>
        <v/>
      </c>
      <c r="BN26" s="5">
        <f>IF(A26="","",N(INDEX(Projects[Mechanical Eng],25)))</f>
        <v/>
      </c>
      <c r="BO26" s="5">
        <f>IF(A26="","",N(INDEX(Projects[Structural Engineering],25)))</f>
        <v/>
      </c>
      <c r="BP26" s="5">
        <f>IF(A26="","",N(INDEX(Projects[Site Sup],25)))</f>
        <v/>
      </c>
      <c r="BQ26" s="5">
        <f>IF(A26="","",N(INDEX(Projects[Controls Commissioning],25)))</f>
        <v/>
      </c>
      <c r="BR26" s="5">
        <f>IF(A26="","",N(INDEX(Projects[Systems Commissioning],25)))</f>
        <v/>
      </c>
      <c r="BS26" s="5">
        <f>IF(A26="","",N(INDEX(Projects[Service Commissioning],25)))</f>
        <v/>
      </c>
      <c r="BT26" s="5">
        <f>IF(A26="","",N(INDEX(Projects[Controls Eng],25)))</f>
        <v/>
      </c>
      <c r="BU26" s="5">
        <f>IF(A26="","",N(INDEX(Projects[Controls Purchase],25)))</f>
        <v/>
      </c>
      <c r="BV26" s="5">
        <f>IF(A26="","",N(INDEX(Projects[Software Eng],25)))</f>
        <v/>
      </c>
      <c r="BW26" s="5">
        <f>IF(A26="","",N(INDEX(Projects[Misc],25)))</f>
        <v/>
      </c>
      <c r="BX26" s="5">
        <f>IF(A26="","",SUM(BJ26:BW26))</f>
        <v/>
      </c>
      <c r="BY26" s="5">
        <f>IF(A26="","",IFERROR(IF(ISNUMBER(U26),U26,VALUE(SUBSTITUTE(SUBSTITUTE(SUBSTITUTE(UPPER(TRIM(U26)),"M",""),",","")," ",""))),0))</f>
        <v/>
      </c>
      <c r="BZ26" s="5">
        <f>INDEX(Projects[Solution Type],25)&amp;""</f>
        <v/>
      </c>
      <c r="CA26" s="5">
        <f>INDEX(Projects[Client / Region],25)&amp;""</f>
        <v/>
      </c>
      <c r="CB26" s="5">
        <f>INDEX(Projects[Year],25)</f>
        <v/>
      </c>
      <c r="CC26" s="5">
        <f>INDEX(Projects[Won?],25)&amp;""</f>
        <v/>
      </c>
      <c r="CD26" s="5">
        <f>INDEX(Projects[Value (USD M)],25)</f>
        <v/>
      </c>
    </row>
    <row r="27" ht="15" customHeight="1" s="74">
      <c r="A27" s="66">
        <f>INDEX(Projects[Project ID *],26)&amp;""</f>
        <v/>
      </c>
      <c r="B27" s="66">
        <f>INDEX(Projects[Project Name *],26)&amp;""</f>
        <v/>
      </c>
      <c r="C27" s="66">
        <f>INDEX(Projects[MS Shuttles],26)</f>
        <v/>
      </c>
      <c r="D27" s="66">
        <f>INDEX(Projects[MS Tote Locations],26)</f>
        <v/>
      </c>
      <c r="E27" s="66">
        <f>INDEX(Projects[AS Robots],26)</f>
        <v/>
      </c>
      <c r="F27" s="66">
        <f>INDEX(Projects[AS Tote Locations],26)</f>
        <v/>
      </c>
      <c r="G27" s="66">
        <f>INDEX(Projects[PS Shuttles],26)</f>
        <v/>
      </c>
      <c r="H27" s="66">
        <f>INDEX(Projects[PS Pallet Locations],26)</f>
        <v/>
      </c>
      <c r="I27" s="66">
        <f>INDEX(Projects[SRM Cranes],26)</f>
        <v/>
      </c>
      <c r="J27" s="66">
        <f>INDEX(Projects[SRM Pallet Locations],26)</f>
        <v/>
      </c>
      <c r="K27" s="66">
        <f>INDEX(Projects[Case Conv (m)],26)</f>
        <v/>
      </c>
      <c r="L27" s="66">
        <f>INDEX(Projects[Pallet Conv (m)],26)</f>
        <v/>
      </c>
      <c r="M27" s="66">
        <f>INDEX(Projects[Mech Eng (wks)],26)</f>
        <v/>
      </c>
      <c r="N27" s="66">
        <f>INDEX(Projects[Controls Eng (wks)],26)</f>
        <v/>
      </c>
      <c r="O27" s="66">
        <f>INDEX(Projects[Systems Eng (wks)],26)</f>
        <v/>
      </c>
      <c r="P27" s="66">
        <f>INDEX(Projects[Software Eng (wks)],26)</f>
        <v/>
      </c>
      <c r="Q27" s="66">
        <f>INDEX(Projects[M&amp;E Installation (wks)],26)</f>
        <v/>
      </c>
      <c r="R27" s="66">
        <f>INDEX(Projects[Commissioning (wks)],26)</f>
        <v/>
      </c>
      <c r="S27" s="66">
        <f>INDEX(Projects[Total Timeline (wks)],26)</f>
        <v/>
      </c>
      <c r="T27" s="66">
        <f>INDEX(Projects[Currency],26)&amp;""</f>
        <v/>
      </c>
      <c r="U27" s="67">
        <f>INDEX(Projects[Value (M)],26)</f>
        <v/>
      </c>
      <c r="V27" s="66">
        <f>IF('Smart Search'!B13=1,IFERROR(1/'Smart Search'!H13,0),0)</f>
        <v/>
      </c>
      <c r="W27" s="66">
        <f>IF('Smart Search'!B13=1,IFERROR(1/'Smart Search'!H13,0),0)</f>
        <v/>
      </c>
      <c r="X27" s="66">
        <f>IF('Smart Search'!C13=1,IFERROR(1/'Smart Search'!H13,0),0)</f>
        <v/>
      </c>
      <c r="Y27" s="66">
        <f>IF('Smart Search'!C13=1,IFERROR(1/'Smart Search'!H13,0),0)</f>
        <v/>
      </c>
      <c r="Z27" s="66">
        <f>IF('Smart Search'!D13=1,IFERROR(1/'Smart Search'!H13,0),0)</f>
        <v/>
      </c>
      <c r="AA27" s="66">
        <f>IF('Smart Search'!D13=1,IFERROR(1/'Smart Search'!H13,0),0)</f>
        <v/>
      </c>
      <c r="AB27" s="66">
        <f>IF('Smart Search'!E13=1,IFERROR(1/'Smart Search'!H13,0),0)</f>
        <v/>
      </c>
      <c r="AC27" s="66">
        <f>IF('Smart Search'!E13=1,IFERROR(1/'Smart Search'!H13,0),0)</f>
        <v/>
      </c>
      <c r="AD27" s="66">
        <f>IF('Smart Search'!F13=1,IFERROR(1/'Smart Search'!H13,0),0)</f>
        <v/>
      </c>
      <c r="AE27" s="66">
        <f>IF('Smart Search'!F13=1,IFERROR(1/'Smart Search'!H13,0),0)</f>
        <v/>
      </c>
      <c r="AF27" s="66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66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66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66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66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66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66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66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66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66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66">
        <f>AF27*V27</f>
        <v/>
      </c>
      <c r="AQ27" s="66">
        <f>AG27*W27</f>
        <v/>
      </c>
      <c r="AR27" s="66">
        <f>AH27*X27</f>
        <v/>
      </c>
      <c r="AS27" s="66">
        <f>AI27*Y27</f>
        <v/>
      </c>
      <c r="AT27" s="66">
        <f>AJ27*Z27</f>
        <v/>
      </c>
      <c r="AU27" s="66">
        <f>AK27*AA27</f>
        <v/>
      </c>
      <c r="AV27" s="66">
        <f>AL27*AB27</f>
        <v/>
      </c>
      <c r="AW27" s="66">
        <f>AM27*AC27</f>
        <v/>
      </c>
      <c r="AX27" s="66">
        <f>AN27*AD27</f>
        <v/>
      </c>
      <c r="AY27" s="66">
        <f>AO27*AE27</f>
        <v/>
      </c>
      <c r="AZ27" s="66">
        <f>INDEX(Projects[Automation Equipment],26)&amp;""</f>
        <v/>
      </c>
      <c r="BA27" s="66">
        <f>IF(OR(A27="",'Smart Search'!H13=0),"",MAX(0,BE27*BF27*MAX(0,1-BG27)))</f>
        <v/>
      </c>
      <c r="BB27" s="66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66">
        <f>IF('Smart Search'!G13=1,IFERROR(1/'Smart Search'!H13,0),0)</f>
        <v/>
      </c>
      <c r="BD27" s="66">
        <f>BB27*BC27</f>
        <v/>
      </c>
      <c r="BE27" s="66">
        <f>AP27+AQ27+AR27+AS27+AT27+AU27+AV27+AW27+AX27+AY27+BD27</f>
        <v/>
      </c>
      <c r="BF27" s="5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5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5">
        <f>IF(AND(A27&lt;&gt;"",OR('Smart Search'!$L$5="",'Smart Search'!$L$5="All",TRIM(BZ27)=TRIM('Smart Search'!$L$5)),OR(TRIM('Smart Search'!$L$6)="",TRIM('Smart Search'!$L$6)="All",ISNUMBER(SEARCH(SUBSTITUTE(SUBSTITUTE(SUBSTITUTE(TRIM('Smart Search'!$L$6),"~","~~"),"*","~*"),"?","~?"),CA27))),OR('Smart Search'!$L$7="",AND(CB27&lt;&gt;0,CB27='Smart Search'!$L$7)),OR('Smart Search'!$L$8="",'Smart Search'!$L$8="All",TRIM(CC27)=TRIM('Smart Search'!$L$8))),IF(BA27="","",BA27+ROW()*0.0000000001),"")</f>
        <v/>
      </c>
      <c r="BI27" s="5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5">
        <f>IF(A27="","",N(INDEX(Projects[Mech Inst],26)))</f>
        <v/>
      </c>
      <c r="BK27" s="5">
        <f>IF(A27="","",N(INDEX(Projects[Elec Inst],26)))</f>
        <v/>
      </c>
      <c r="BL27" s="5">
        <f>IF(A27="","",N(INDEX(Projects[Project Management],26)))</f>
        <v/>
      </c>
      <c r="BM27" s="5">
        <f>IF(A27="","",N(INDEX(Projects[Systems Eng],26)))</f>
        <v/>
      </c>
      <c r="BN27" s="5">
        <f>IF(A27="","",N(INDEX(Projects[Mechanical Eng],26)))</f>
        <v/>
      </c>
      <c r="BO27" s="5">
        <f>IF(A27="","",N(INDEX(Projects[Structural Engineering],26)))</f>
        <v/>
      </c>
      <c r="BP27" s="5">
        <f>IF(A27="","",N(INDEX(Projects[Site Sup],26)))</f>
        <v/>
      </c>
      <c r="BQ27" s="5">
        <f>IF(A27="","",N(INDEX(Projects[Controls Commissioning],26)))</f>
        <v/>
      </c>
      <c r="BR27" s="5">
        <f>IF(A27="","",N(INDEX(Projects[Systems Commissioning],26)))</f>
        <v/>
      </c>
      <c r="BS27" s="5">
        <f>IF(A27="","",N(INDEX(Projects[Service Commissioning],26)))</f>
        <v/>
      </c>
      <c r="BT27" s="5">
        <f>IF(A27="","",N(INDEX(Projects[Controls Eng],26)))</f>
        <v/>
      </c>
      <c r="BU27" s="5">
        <f>IF(A27="","",N(INDEX(Projects[Controls Purchase],26)))</f>
        <v/>
      </c>
      <c r="BV27" s="5">
        <f>IF(A27="","",N(INDEX(Projects[Software Eng],26)))</f>
        <v/>
      </c>
      <c r="BW27" s="5">
        <f>IF(A27="","",N(INDEX(Projects[Misc],26)))</f>
        <v/>
      </c>
      <c r="BX27" s="5">
        <f>IF(A27="","",SUM(BJ27:BW27))</f>
        <v/>
      </c>
      <c r="BY27" s="5">
        <f>IF(A27="","",IFERROR(IF(ISNUMBER(U27),U27,VALUE(SUBSTITUTE(SUBSTITUTE(SUBSTITUTE(UPPER(TRIM(U27)),"M",""),",","")," ",""))),0))</f>
        <v/>
      </c>
      <c r="BZ27" s="5">
        <f>INDEX(Projects[Solution Type],26)&amp;""</f>
        <v/>
      </c>
      <c r="CA27" s="5">
        <f>INDEX(Projects[Client / Region],26)&amp;""</f>
        <v/>
      </c>
      <c r="CB27" s="5">
        <f>INDEX(Projects[Year],26)</f>
        <v/>
      </c>
      <c r="CC27" s="5">
        <f>INDEX(Projects[Won?],26)&amp;""</f>
        <v/>
      </c>
      <c r="CD27" s="5">
        <f>INDEX(Projects[Value (USD M)],26)</f>
        <v/>
      </c>
    </row>
    <row r="28" ht="15" customHeight="1" s="74">
      <c r="A28" s="66">
        <f>INDEX(Projects[Project ID *],27)&amp;""</f>
        <v/>
      </c>
      <c r="B28" s="66">
        <f>INDEX(Projects[Project Name *],27)&amp;""</f>
        <v/>
      </c>
      <c r="C28" s="66">
        <f>INDEX(Projects[MS Shuttles],27)</f>
        <v/>
      </c>
      <c r="D28" s="66">
        <f>INDEX(Projects[MS Tote Locations],27)</f>
        <v/>
      </c>
      <c r="E28" s="66">
        <f>INDEX(Projects[AS Robots],27)</f>
        <v/>
      </c>
      <c r="F28" s="66">
        <f>INDEX(Projects[AS Tote Locations],27)</f>
        <v/>
      </c>
      <c r="G28" s="66">
        <f>INDEX(Projects[PS Shuttles],27)</f>
        <v/>
      </c>
      <c r="H28" s="66">
        <f>INDEX(Projects[PS Pallet Locations],27)</f>
        <v/>
      </c>
      <c r="I28" s="66">
        <f>INDEX(Projects[SRM Cranes],27)</f>
        <v/>
      </c>
      <c r="J28" s="66">
        <f>INDEX(Projects[SRM Pallet Locations],27)</f>
        <v/>
      </c>
      <c r="K28" s="66">
        <f>INDEX(Projects[Case Conv (m)],27)</f>
        <v/>
      </c>
      <c r="L28" s="66">
        <f>INDEX(Projects[Pallet Conv (m)],27)</f>
        <v/>
      </c>
      <c r="M28" s="66">
        <f>INDEX(Projects[Mech Eng (wks)],27)</f>
        <v/>
      </c>
      <c r="N28" s="66">
        <f>INDEX(Projects[Controls Eng (wks)],27)</f>
        <v/>
      </c>
      <c r="O28" s="66">
        <f>INDEX(Projects[Systems Eng (wks)],27)</f>
        <v/>
      </c>
      <c r="P28" s="66">
        <f>INDEX(Projects[Software Eng (wks)],27)</f>
        <v/>
      </c>
      <c r="Q28" s="66">
        <f>INDEX(Projects[M&amp;E Installation (wks)],27)</f>
        <v/>
      </c>
      <c r="R28" s="66">
        <f>INDEX(Projects[Commissioning (wks)],27)</f>
        <v/>
      </c>
      <c r="S28" s="66">
        <f>INDEX(Projects[Total Timeline (wks)],27)</f>
        <v/>
      </c>
      <c r="T28" s="66">
        <f>INDEX(Projects[Currency],27)&amp;""</f>
        <v/>
      </c>
      <c r="U28" s="67">
        <f>INDEX(Projects[Value (M)],27)</f>
        <v/>
      </c>
      <c r="V28" s="66">
        <f>IF('Smart Search'!B13=1,IFERROR(1/'Smart Search'!H13,0),0)</f>
        <v/>
      </c>
      <c r="W28" s="66">
        <f>IF('Smart Search'!B13=1,IFERROR(1/'Smart Search'!H13,0),0)</f>
        <v/>
      </c>
      <c r="X28" s="66">
        <f>IF('Smart Search'!C13=1,IFERROR(1/'Smart Search'!H13,0),0)</f>
        <v/>
      </c>
      <c r="Y28" s="66">
        <f>IF('Smart Search'!C13=1,IFERROR(1/'Smart Search'!H13,0),0)</f>
        <v/>
      </c>
      <c r="Z28" s="66">
        <f>IF('Smart Search'!D13=1,IFERROR(1/'Smart Search'!H13,0),0)</f>
        <v/>
      </c>
      <c r="AA28" s="66">
        <f>IF('Smart Search'!D13=1,IFERROR(1/'Smart Search'!H13,0),0)</f>
        <v/>
      </c>
      <c r="AB28" s="66">
        <f>IF('Smart Search'!E13=1,IFERROR(1/'Smart Search'!H13,0),0)</f>
        <v/>
      </c>
      <c r="AC28" s="66">
        <f>IF('Smart Search'!E13=1,IFERROR(1/'Smart Search'!H13,0),0)</f>
        <v/>
      </c>
      <c r="AD28" s="66">
        <f>IF('Smart Search'!F13=1,IFERROR(1/'Smart Search'!H13,0),0)</f>
        <v/>
      </c>
      <c r="AE28" s="66">
        <f>IF('Smart Search'!F13=1,IFERROR(1/'Smart Search'!H13,0),0)</f>
        <v/>
      </c>
      <c r="AF28" s="66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66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66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66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66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66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66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66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66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66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66">
        <f>AF28*V28</f>
        <v/>
      </c>
      <c r="AQ28" s="66">
        <f>AG28*W28</f>
        <v/>
      </c>
      <c r="AR28" s="66">
        <f>AH28*X28</f>
        <v/>
      </c>
      <c r="AS28" s="66">
        <f>AI28*Y28</f>
        <v/>
      </c>
      <c r="AT28" s="66">
        <f>AJ28*Z28</f>
        <v/>
      </c>
      <c r="AU28" s="66">
        <f>AK28*AA28</f>
        <v/>
      </c>
      <c r="AV28" s="66">
        <f>AL28*AB28</f>
        <v/>
      </c>
      <c r="AW28" s="66">
        <f>AM28*AC28</f>
        <v/>
      </c>
      <c r="AX28" s="66">
        <f>AN28*AD28</f>
        <v/>
      </c>
      <c r="AY28" s="66">
        <f>AO28*AE28</f>
        <v/>
      </c>
      <c r="AZ28" s="66">
        <f>INDEX(Projects[Automation Equipment],27)&amp;""</f>
        <v/>
      </c>
      <c r="BA28" s="66">
        <f>IF(OR(A28="",'Smart Search'!H13=0),"",MAX(0,BE28*BF28*MAX(0,1-BG28)))</f>
        <v/>
      </c>
      <c r="BB28" s="66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66">
        <f>IF('Smart Search'!G13=1,IFERROR(1/'Smart Search'!H13,0),0)</f>
        <v/>
      </c>
      <c r="BD28" s="66">
        <f>BB28*BC28</f>
        <v/>
      </c>
      <c r="BE28" s="66">
        <f>AP28+AQ28+AR28+AS28+AT28+AU28+AV28+AW28+AX28+AY28+BD28</f>
        <v/>
      </c>
      <c r="BF28" s="5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5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5">
        <f>IF(AND(A28&lt;&gt;"",OR('Smart Search'!$L$5="",'Smart Search'!$L$5="All",TRIM(BZ28)=TRIM('Smart Search'!$L$5)),OR(TRIM('Smart Search'!$L$6)="",TRIM('Smart Search'!$L$6)="All",ISNUMBER(SEARCH(SUBSTITUTE(SUBSTITUTE(SUBSTITUTE(TRIM('Smart Search'!$L$6),"~","~~"),"*","~*"),"?","~?"),CA28))),OR('Smart Search'!$L$7="",AND(CB28&lt;&gt;0,CB28='Smart Search'!$L$7)),OR('Smart Search'!$L$8="",'Smart Search'!$L$8="All",TRIM(CC28)=TRIM('Smart Search'!$L$8))),IF(BA28="","",BA28+ROW()*0.0000000001),"")</f>
        <v/>
      </c>
      <c r="BI28" s="5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5">
        <f>IF(A28="","",N(INDEX(Projects[Mech Inst],27)))</f>
        <v/>
      </c>
      <c r="BK28" s="5">
        <f>IF(A28="","",N(INDEX(Projects[Elec Inst],27)))</f>
        <v/>
      </c>
      <c r="BL28" s="5">
        <f>IF(A28="","",N(INDEX(Projects[Project Management],27)))</f>
        <v/>
      </c>
      <c r="BM28" s="5">
        <f>IF(A28="","",N(INDEX(Projects[Systems Eng],27)))</f>
        <v/>
      </c>
      <c r="BN28" s="5">
        <f>IF(A28="","",N(INDEX(Projects[Mechanical Eng],27)))</f>
        <v/>
      </c>
      <c r="BO28" s="5">
        <f>IF(A28="","",N(INDEX(Projects[Structural Engineering],27)))</f>
        <v/>
      </c>
      <c r="BP28" s="5">
        <f>IF(A28="","",N(INDEX(Projects[Site Sup],27)))</f>
        <v/>
      </c>
      <c r="BQ28" s="5">
        <f>IF(A28="","",N(INDEX(Projects[Controls Commissioning],27)))</f>
        <v/>
      </c>
      <c r="BR28" s="5">
        <f>IF(A28="","",N(INDEX(Projects[Systems Commissioning],27)))</f>
        <v/>
      </c>
      <c r="BS28" s="5">
        <f>IF(A28="","",N(INDEX(Projects[Service Commissioning],27)))</f>
        <v/>
      </c>
      <c r="BT28" s="5">
        <f>IF(A28="","",N(INDEX(Projects[Controls Eng],27)))</f>
        <v/>
      </c>
      <c r="BU28" s="5">
        <f>IF(A28="","",N(INDEX(Projects[Controls Purchase],27)))</f>
        <v/>
      </c>
      <c r="BV28" s="5">
        <f>IF(A28="","",N(INDEX(Projects[Software Eng],27)))</f>
        <v/>
      </c>
      <c r="BW28" s="5">
        <f>IF(A28="","",N(INDEX(Projects[Misc],27)))</f>
        <v/>
      </c>
      <c r="BX28" s="5">
        <f>IF(A28="","",SUM(BJ28:BW28))</f>
        <v/>
      </c>
      <c r="BY28" s="5">
        <f>IF(A28="","",IFERROR(IF(ISNUMBER(U28),U28,VALUE(SUBSTITUTE(SUBSTITUTE(SUBSTITUTE(UPPER(TRIM(U28)),"M",""),",","")," ",""))),0))</f>
        <v/>
      </c>
      <c r="BZ28" s="5">
        <f>INDEX(Projects[Solution Type],27)&amp;""</f>
        <v/>
      </c>
      <c r="CA28" s="5">
        <f>INDEX(Projects[Client / Region],27)&amp;""</f>
        <v/>
      </c>
      <c r="CB28" s="5">
        <f>INDEX(Projects[Year],27)</f>
        <v/>
      </c>
      <c r="CC28" s="5">
        <f>INDEX(Projects[Won?],27)&amp;""</f>
        <v/>
      </c>
      <c r="CD28" s="5">
        <f>INDEX(Projects[Value (USD M)],27)</f>
        <v/>
      </c>
    </row>
    <row r="29" ht="15" customHeight="1" s="74">
      <c r="A29" s="66">
        <f>INDEX(Projects[Project ID *],28)&amp;""</f>
        <v/>
      </c>
      <c r="B29" s="66">
        <f>INDEX(Projects[Project Name *],28)&amp;""</f>
        <v/>
      </c>
      <c r="C29" s="66">
        <f>INDEX(Projects[MS Shuttles],28)</f>
        <v/>
      </c>
      <c r="D29" s="66">
        <f>INDEX(Projects[MS Tote Locations],28)</f>
        <v/>
      </c>
      <c r="E29" s="66">
        <f>INDEX(Projects[AS Robots],28)</f>
        <v/>
      </c>
      <c r="F29" s="66">
        <f>INDEX(Projects[AS Tote Locations],28)</f>
        <v/>
      </c>
      <c r="G29" s="66">
        <f>INDEX(Projects[PS Shuttles],28)</f>
        <v/>
      </c>
      <c r="H29" s="66">
        <f>INDEX(Projects[PS Pallet Locations],28)</f>
        <v/>
      </c>
      <c r="I29" s="66">
        <f>INDEX(Projects[SRM Cranes],28)</f>
        <v/>
      </c>
      <c r="J29" s="66">
        <f>INDEX(Projects[SRM Pallet Locations],28)</f>
        <v/>
      </c>
      <c r="K29" s="66">
        <f>INDEX(Projects[Case Conv (m)],28)</f>
        <v/>
      </c>
      <c r="L29" s="66">
        <f>INDEX(Projects[Pallet Conv (m)],28)</f>
        <v/>
      </c>
      <c r="M29" s="66">
        <f>INDEX(Projects[Mech Eng (wks)],28)</f>
        <v/>
      </c>
      <c r="N29" s="66">
        <f>INDEX(Projects[Controls Eng (wks)],28)</f>
        <v/>
      </c>
      <c r="O29" s="66">
        <f>INDEX(Projects[Systems Eng (wks)],28)</f>
        <v/>
      </c>
      <c r="P29" s="66">
        <f>INDEX(Projects[Software Eng (wks)],28)</f>
        <v/>
      </c>
      <c r="Q29" s="66">
        <f>INDEX(Projects[M&amp;E Installation (wks)],28)</f>
        <v/>
      </c>
      <c r="R29" s="66">
        <f>INDEX(Projects[Commissioning (wks)],28)</f>
        <v/>
      </c>
      <c r="S29" s="66">
        <f>INDEX(Projects[Total Timeline (wks)],28)</f>
        <v/>
      </c>
      <c r="T29" s="66">
        <f>INDEX(Projects[Currency],28)&amp;""</f>
        <v/>
      </c>
      <c r="U29" s="67">
        <f>INDEX(Projects[Value (M)],28)</f>
        <v/>
      </c>
      <c r="V29" s="66">
        <f>IF('Smart Search'!B13=1,IFERROR(1/'Smart Search'!H13,0),0)</f>
        <v/>
      </c>
      <c r="W29" s="66">
        <f>IF('Smart Search'!B13=1,IFERROR(1/'Smart Search'!H13,0),0)</f>
        <v/>
      </c>
      <c r="X29" s="66">
        <f>IF('Smart Search'!C13=1,IFERROR(1/'Smart Search'!H13,0),0)</f>
        <v/>
      </c>
      <c r="Y29" s="66">
        <f>IF('Smart Search'!C13=1,IFERROR(1/'Smart Search'!H13,0),0)</f>
        <v/>
      </c>
      <c r="Z29" s="66">
        <f>IF('Smart Search'!D13=1,IFERROR(1/'Smart Search'!H13,0),0)</f>
        <v/>
      </c>
      <c r="AA29" s="66">
        <f>IF('Smart Search'!D13=1,IFERROR(1/'Smart Search'!H13,0),0)</f>
        <v/>
      </c>
      <c r="AB29" s="66">
        <f>IF('Smart Search'!E13=1,IFERROR(1/'Smart Search'!H13,0),0)</f>
        <v/>
      </c>
      <c r="AC29" s="66">
        <f>IF('Smart Search'!E13=1,IFERROR(1/'Smart Search'!H13,0),0)</f>
        <v/>
      </c>
      <c r="AD29" s="66">
        <f>IF('Smart Search'!F13=1,IFERROR(1/'Smart Search'!H13,0),0)</f>
        <v/>
      </c>
      <c r="AE29" s="66">
        <f>IF('Smart Search'!F13=1,IFERROR(1/'Smart Search'!H13,0),0)</f>
        <v/>
      </c>
      <c r="AF29" s="66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66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66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66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66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66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66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66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66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66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66">
        <f>AF29*V29</f>
        <v/>
      </c>
      <c r="AQ29" s="66">
        <f>AG29*W29</f>
        <v/>
      </c>
      <c r="AR29" s="66">
        <f>AH29*X29</f>
        <v/>
      </c>
      <c r="AS29" s="66">
        <f>AI29*Y29</f>
        <v/>
      </c>
      <c r="AT29" s="66">
        <f>AJ29*Z29</f>
        <v/>
      </c>
      <c r="AU29" s="66">
        <f>AK29*AA29</f>
        <v/>
      </c>
      <c r="AV29" s="66">
        <f>AL29*AB29</f>
        <v/>
      </c>
      <c r="AW29" s="66">
        <f>AM29*AC29</f>
        <v/>
      </c>
      <c r="AX29" s="66">
        <f>AN29*AD29</f>
        <v/>
      </c>
      <c r="AY29" s="66">
        <f>AO29*AE29</f>
        <v/>
      </c>
      <c r="AZ29" s="66">
        <f>INDEX(Projects[Automation Equipment],28)&amp;""</f>
        <v/>
      </c>
      <c r="BA29" s="66">
        <f>IF(OR(A29="",'Smart Search'!H13=0),"",MAX(0,BE29*BF29*MAX(0,1-BG29)))</f>
        <v/>
      </c>
      <c r="BB29" s="66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66">
        <f>IF('Smart Search'!G13=1,IFERROR(1/'Smart Search'!H13,0),0)</f>
        <v/>
      </c>
      <c r="BD29" s="66">
        <f>BB29*BC29</f>
        <v/>
      </c>
      <c r="BE29" s="66">
        <f>AP29+AQ29+AR29+AS29+AT29+AU29+AV29+AW29+AX29+AY29+BD29</f>
        <v/>
      </c>
      <c r="BF29" s="5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5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5">
        <f>IF(AND(A29&lt;&gt;"",OR('Smart Search'!$L$5="",'Smart Search'!$L$5="All",TRIM(BZ29)=TRIM('Smart Search'!$L$5)),OR(TRIM('Smart Search'!$L$6)="",TRIM('Smart Search'!$L$6)="All",ISNUMBER(SEARCH(SUBSTITUTE(SUBSTITUTE(SUBSTITUTE(TRIM('Smart Search'!$L$6),"~","~~"),"*","~*"),"?","~?"),CA29))),OR('Smart Search'!$L$7="",AND(CB29&lt;&gt;0,CB29='Smart Search'!$L$7)),OR('Smart Search'!$L$8="",'Smart Search'!$L$8="All",TRIM(CC29)=TRIM('Smart Search'!$L$8))),IF(BA29="","",BA29+ROW()*0.0000000001),"")</f>
        <v/>
      </c>
      <c r="BI29" s="5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5">
        <f>IF(A29="","",N(INDEX(Projects[Mech Inst],28)))</f>
        <v/>
      </c>
      <c r="BK29" s="5">
        <f>IF(A29="","",N(INDEX(Projects[Elec Inst],28)))</f>
        <v/>
      </c>
      <c r="BL29" s="5">
        <f>IF(A29="","",N(INDEX(Projects[Project Management],28)))</f>
        <v/>
      </c>
      <c r="BM29" s="5">
        <f>IF(A29="","",N(INDEX(Projects[Systems Eng],28)))</f>
        <v/>
      </c>
      <c r="BN29" s="5">
        <f>IF(A29="","",N(INDEX(Projects[Mechanical Eng],28)))</f>
        <v/>
      </c>
      <c r="BO29" s="5">
        <f>IF(A29="","",N(INDEX(Projects[Structural Engineering],28)))</f>
        <v/>
      </c>
      <c r="BP29" s="5">
        <f>IF(A29="","",N(INDEX(Projects[Site Sup],28)))</f>
        <v/>
      </c>
      <c r="BQ29" s="5">
        <f>IF(A29="","",N(INDEX(Projects[Controls Commissioning],28)))</f>
        <v/>
      </c>
      <c r="BR29" s="5">
        <f>IF(A29="","",N(INDEX(Projects[Systems Commissioning],28)))</f>
        <v/>
      </c>
      <c r="BS29" s="5">
        <f>IF(A29="","",N(INDEX(Projects[Service Commissioning],28)))</f>
        <v/>
      </c>
      <c r="BT29" s="5">
        <f>IF(A29="","",N(INDEX(Projects[Controls Eng],28)))</f>
        <v/>
      </c>
      <c r="BU29" s="5">
        <f>IF(A29="","",N(INDEX(Projects[Controls Purchase],28)))</f>
        <v/>
      </c>
      <c r="BV29" s="5">
        <f>IF(A29="","",N(INDEX(Projects[Software Eng],28)))</f>
        <v/>
      </c>
      <c r="BW29" s="5">
        <f>IF(A29="","",N(INDEX(Projects[Misc],28)))</f>
        <v/>
      </c>
      <c r="BX29" s="5">
        <f>IF(A29="","",SUM(BJ29:BW29))</f>
        <v/>
      </c>
      <c r="BY29" s="5">
        <f>IF(A29="","",IFERROR(IF(ISNUMBER(U29),U29,VALUE(SUBSTITUTE(SUBSTITUTE(SUBSTITUTE(UPPER(TRIM(U29)),"M",""),",","")," ",""))),0))</f>
        <v/>
      </c>
      <c r="BZ29" s="5">
        <f>INDEX(Projects[Solution Type],28)&amp;""</f>
        <v/>
      </c>
      <c r="CA29" s="5">
        <f>INDEX(Projects[Client / Region],28)&amp;""</f>
        <v/>
      </c>
      <c r="CB29" s="5">
        <f>INDEX(Projects[Year],28)</f>
        <v/>
      </c>
      <c r="CC29" s="5">
        <f>INDEX(Projects[Won?],28)&amp;""</f>
        <v/>
      </c>
      <c r="CD29" s="5">
        <f>INDEX(Projects[Value (USD M)],28)</f>
        <v/>
      </c>
    </row>
    <row r="30" ht="15" customHeight="1" s="74">
      <c r="A30" s="66">
        <f>INDEX(Projects[Project ID *],29)&amp;""</f>
        <v/>
      </c>
      <c r="B30" s="66">
        <f>INDEX(Projects[Project Name *],29)&amp;""</f>
        <v/>
      </c>
      <c r="C30" s="66">
        <f>INDEX(Projects[MS Shuttles],29)</f>
        <v/>
      </c>
      <c r="D30" s="66">
        <f>INDEX(Projects[MS Tote Locations],29)</f>
        <v/>
      </c>
      <c r="E30" s="66">
        <f>INDEX(Projects[AS Robots],29)</f>
        <v/>
      </c>
      <c r="F30" s="66">
        <f>INDEX(Projects[AS Tote Locations],29)</f>
        <v/>
      </c>
      <c r="G30" s="66">
        <f>INDEX(Projects[PS Shuttles],29)</f>
        <v/>
      </c>
      <c r="H30" s="66">
        <f>INDEX(Projects[PS Pallet Locations],29)</f>
        <v/>
      </c>
      <c r="I30" s="66">
        <f>INDEX(Projects[SRM Cranes],29)</f>
        <v/>
      </c>
      <c r="J30" s="66">
        <f>INDEX(Projects[SRM Pallet Locations],29)</f>
        <v/>
      </c>
      <c r="K30" s="66">
        <f>INDEX(Projects[Case Conv (m)],29)</f>
        <v/>
      </c>
      <c r="L30" s="66">
        <f>INDEX(Projects[Pallet Conv (m)],29)</f>
        <v/>
      </c>
      <c r="M30" s="66">
        <f>INDEX(Projects[Mech Eng (wks)],29)</f>
        <v/>
      </c>
      <c r="N30" s="66">
        <f>INDEX(Projects[Controls Eng (wks)],29)</f>
        <v/>
      </c>
      <c r="O30" s="66">
        <f>INDEX(Projects[Systems Eng (wks)],29)</f>
        <v/>
      </c>
      <c r="P30" s="66">
        <f>INDEX(Projects[Software Eng (wks)],29)</f>
        <v/>
      </c>
      <c r="Q30" s="66">
        <f>INDEX(Projects[M&amp;E Installation (wks)],29)</f>
        <v/>
      </c>
      <c r="R30" s="66">
        <f>INDEX(Projects[Commissioning (wks)],29)</f>
        <v/>
      </c>
      <c r="S30" s="66">
        <f>INDEX(Projects[Total Timeline (wks)],29)</f>
        <v/>
      </c>
      <c r="T30" s="66">
        <f>INDEX(Projects[Currency],29)&amp;""</f>
        <v/>
      </c>
      <c r="U30" s="67">
        <f>INDEX(Projects[Value (M)],29)</f>
        <v/>
      </c>
      <c r="V30" s="66">
        <f>IF('Smart Search'!B13=1,IFERROR(1/'Smart Search'!H13,0),0)</f>
        <v/>
      </c>
      <c r="W30" s="66">
        <f>IF('Smart Search'!B13=1,IFERROR(1/'Smart Search'!H13,0),0)</f>
        <v/>
      </c>
      <c r="X30" s="66">
        <f>IF('Smart Search'!C13=1,IFERROR(1/'Smart Search'!H13,0),0)</f>
        <v/>
      </c>
      <c r="Y30" s="66">
        <f>IF('Smart Search'!C13=1,IFERROR(1/'Smart Search'!H13,0),0)</f>
        <v/>
      </c>
      <c r="Z30" s="66">
        <f>IF('Smart Search'!D13=1,IFERROR(1/'Smart Search'!H13,0),0)</f>
        <v/>
      </c>
      <c r="AA30" s="66">
        <f>IF('Smart Search'!D13=1,IFERROR(1/'Smart Search'!H13,0),0)</f>
        <v/>
      </c>
      <c r="AB30" s="66">
        <f>IF('Smart Search'!E13=1,IFERROR(1/'Smart Search'!H13,0),0)</f>
        <v/>
      </c>
      <c r="AC30" s="66">
        <f>IF('Smart Search'!E13=1,IFERROR(1/'Smart Search'!H13,0),0)</f>
        <v/>
      </c>
      <c r="AD30" s="66">
        <f>IF('Smart Search'!F13=1,IFERROR(1/'Smart Search'!H13,0),0)</f>
        <v/>
      </c>
      <c r="AE30" s="66">
        <f>IF('Smart Search'!F13=1,IFERROR(1/'Smart Search'!H13,0),0)</f>
        <v/>
      </c>
      <c r="AF30" s="66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66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66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66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66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66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66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66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66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66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66">
        <f>AF30*V30</f>
        <v/>
      </c>
      <c r="AQ30" s="66">
        <f>AG30*W30</f>
        <v/>
      </c>
      <c r="AR30" s="66">
        <f>AH30*X30</f>
        <v/>
      </c>
      <c r="AS30" s="66">
        <f>AI30*Y30</f>
        <v/>
      </c>
      <c r="AT30" s="66">
        <f>AJ30*Z30</f>
        <v/>
      </c>
      <c r="AU30" s="66">
        <f>AK30*AA30</f>
        <v/>
      </c>
      <c r="AV30" s="66">
        <f>AL30*AB30</f>
        <v/>
      </c>
      <c r="AW30" s="66">
        <f>AM30*AC30</f>
        <v/>
      </c>
      <c r="AX30" s="66">
        <f>AN30*AD30</f>
        <v/>
      </c>
      <c r="AY30" s="66">
        <f>AO30*AE30</f>
        <v/>
      </c>
      <c r="AZ30" s="66">
        <f>INDEX(Projects[Automation Equipment],29)&amp;""</f>
        <v/>
      </c>
      <c r="BA30" s="66">
        <f>IF(OR(A30="",'Smart Search'!H13=0),"",MAX(0,BE30*BF30*MAX(0,1-BG30)))</f>
        <v/>
      </c>
      <c r="BB30" s="66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66">
        <f>IF('Smart Search'!G13=1,IFERROR(1/'Smart Search'!H13,0),0)</f>
        <v/>
      </c>
      <c r="BD30" s="66">
        <f>BB30*BC30</f>
        <v/>
      </c>
      <c r="BE30" s="66">
        <f>AP30+AQ30+AR30+AS30+AT30+AU30+AV30+AW30+AX30+AY30+BD30</f>
        <v/>
      </c>
      <c r="BF30" s="5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5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5">
        <f>IF(AND(A30&lt;&gt;"",OR('Smart Search'!$L$5="",'Smart Search'!$L$5="All",TRIM(BZ30)=TRIM('Smart Search'!$L$5)),OR(TRIM('Smart Search'!$L$6)="",TRIM('Smart Search'!$L$6)="All",ISNUMBER(SEARCH(SUBSTITUTE(SUBSTITUTE(SUBSTITUTE(TRIM('Smart Search'!$L$6),"~","~~"),"*","~*"),"?","~?"),CA30))),OR('Smart Search'!$L$7="",AND(CB30&lt;&gt;0,CB30='Smart Search'!$L$7)),OR('Smart Search'!$L$8="",'Smart Search'!$L$8="All",TRIM(CC30)=TRIM('Smart Search'!$L$8))),IF(BA30="","",BA30+ROW()*0.0000000001),"")</f>
        <v/>
      </c>
      <c r="BI30" s="5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5">
        <f>IF(A30="","",N(INDEX(Projects[Mech Inst],29)))</f>
        <v/>
      </c>
      <c r="BK30" s="5">
        <f>IF(A30="","",N(INDEX(Projects[Elec Inst],29)))</f>
        <v/>
      </c>
      <c r="BL30" s="5">
        <f>IF(A30="","",N(INDEX(Projects[Project Management],29)))</f>
        <v/>
      </c>
      <c r="BM30" s="5">
        <f>IF(A30="","",N(INDEX(Projects[Systems Eng],29)))</f>
        <v/>
      </c>
      <c r="BN30" s="5">
        <f>IF(A30="","",N(INDEX(Projects[Mechanical Eng],29)))</f>
        <v/>
      </c>
      <c r="BO30" s="5">
        <f>IF(A30="","",N(INDEX(Projects[Structural Engineering],29)))</f>
        <v/>
      </c>
      <c r="BP30" s="5">
        <f>IF(A30="","",N(INDEX(Projects[Site Sup],29)))</f>
        <v/>
      </c>
      <c r="BQ30" s="5">
        <f>IF(A30="","",N(INDEX(Projects[Controls Commissioning],29)))</f>
        <v/>
      </c>
      <c r="BR30" s="5">
        <f>IF(A30="","",N(INDEX(Projects[Systems Commissioning],29)))</f>
        <v/>
      </c>
      <c r="BS30" s="5">
        <f>IF(A30="","",N(INDEX(Projects[Service Commissioning],29)))</f>
        <v/>
      </c>
      <c r="BT30" s="5">
        <f>IF(A30="","",N(INDEX(Projects[Controls Eng],29)))</f>
        <v/>
      </c>
      <c r="BU30" s="5">
        <f>IF(A30="","",N(INDEX(Projects[Controls Purchase],29)))</f>
        <v/>
      </c>
      <c r="BV30" s="5">
        <f>IF(A30="","",N(INDEX(Projects[Software Eng],29)))</f>
        <v/>
      </c>
      <c r="BW30" s="5">
        <f>IF(A30="","",N(INDEX(Projects[Misc],29)))</f>
        <v/>
      </c>
      <c r="BX30" s="5">
        <f>IF(A30="","",SUM(BJ30:BW30))</f>
        <v/>
      </c>
      <c r="BY30" s="5">
        <f>IF(A30="","",IFERROR(IF(ISNUMBER(U30),U30,VALUE(SUBSTITUTE(SUBSTITUTE(SUBSTITUTE(UPPER(TRIM(U30)),"M",""),",","")," ",""))),0))</f>
        <v/>
      </c>
      <c r="BZ30" s="5">
        <f>INDEX(Projects[Solution Type],29)&amp;""</f>
        <v/>
      </c>
      <c r="CA30" s="5">
        <f>INDEX(Projects[Client / Region],29)&amp;""</f>
        <v/>
      </c>
      <c r="CB30" s="5">
        <f>INDEX(Projects[Year],29)</f>
        <v/>
      </c>
      <c r="CC30" s="5">
        <f>INDEX(Projects[Won?],29)&amp;""</f>
        <v/>
      </c>
      <c r="CD30" s="5">
        <f>INDEX(Projects[Value (USD M)],29)</f>
        <v/>
      </c>
    </row>
    <row r="31" ht="15" customHeight="1" s="74">
      <c r="A31" s="66">
        <f>INDEX(Projects[Project ID *],30)&amp;""</f>
        <v/>
      </c>
      <c r="B31" s="66">
        <f>INDEX(Projects[Project Name *],30)&amp;""</f>
        <v/>
      </c>
      <c r="C31" s="66">
        <f>INDEX(Projects[MS Shuttles],30)</f>
        <v/>
      </c>
      <c r="D31" s="66">
        <f>INDEX(Projects[MS Tote Locations],30)</f>
        <v/>
      </c>
      <c r="E31" s="66">
        <f>INDEX(Projects[AS Robots],30)</f>
        <v/>
      </c>
      <c r="F31" s="66">
        <f>INDEX(Projects[AS Tote Locations],30)</f>
        <v/>
      </c>
      <c r="G31" s="66">
        <f>INDEX(Projects[PS Shuttles],30)</f>
        <v/>
      </c>
      <c r="H31" s="66">
        <f>INDEX(Projects[PS Pallet Locations],30)</f>
        <v/>
      </c>
      <c r="I31" s="66">
        <f>INDEX(Projects[SRM Cranes],30)</f>
        <v/>
      </c>
      <c r="J31" s="66">
        <f>INDEX(Projects[SRM Pallet Locations],30)</f>
        <v/>
      </c>
      <c r="K31" s="66">
        <f>INDEX(Projects[Case Conv (m)],30)</f>
        <v/>
      </c>
      <c r="L31" s="66">
        <f>INDEX(Projects[Pallet Conv (m)],30)</f>
        <v/>
      </c>
      <c r="M31" s="66">
        <f>INDEX(Projects[Mech Eng (wks)],30)</f>
        <v/>
      </c>
      <c r="N31" s="66">
        <f>INDEX(Projects[Controls Eng (wks)],30)</f>
        <v/>
      </c>
      <c r="O31" s="66">
        <f>INDEX(Projects[Systems Eng (wks)],30)</f>
        <v/>
      </c>
      <c r="P31" s="66">
        <f>INDEX(Projects[Software Eng (wks)],30)</f>
        <v/>
      </c>
      <c r="Q31" s="66">
        <f>INDEX(Projects[M&amp;E Installation (wks)],30)</f>
        <v/>
      </c>
      <c r="R31" s="66">
        <f>INDEX(Projects[Commissioning (wks)],30)</f>
        <v/>
      </c>
      <c r="S31" s="66">
        <f>INDEX(Projects[Total Timeline (wks)],30)</f>
        <v/>
      </c>
      <c r="T31" s="66">
        <f>INDEX(Projects[Currency],30)&amp;""</f>
        <v/>
      </c>
      <c r="U31" s="67">
        <f>INDEX(Projects[Value (M)],30)</f>
        <v/>
      </c>
      <c r="V31" s="66">
        <f>IF('Smart Search'!B13=1,IFERROR(1/'Smart Search'!H13,0),0)</f>
        <v/>
      </c>
      <c r="W31" s="66">
        <f>IF('Smart Search'!B13=1,IFERROR(1/'Smart Search'!H13,0),0)</f>
        <v/>
      </c>
      <c r="X31" s="66">
        <f>IF('Smart Search'!C13=1,IFERROR(1/'Smart Search'!H13,0),0)</f>
        <v/>
      </c>
      <c r="Y31" s="66">
        <f>IF('Smart Search'!C13=1,IFERROR(1/'Smart Search'!H13,0),0)</f>
        <v/>
      </c>
      <c r="Z31" s="66">
        <f>IF('Smart Search'!D13=1,IFERROR(1/'Smart Search'!H13,0),0)</f>
        <v/>
      </c>
      <c r="AA31" s="66">
        <f>IF('Smart Search'!D13=1,IFERROR(1/'Smart Search'!H13,0),0)</f>
        <v/>
      </c>
      <c r="AB31" s="66">
        <f>IF('Smart Search'!E13=1,IFERROR(1/'Smart Search'!H13,0),0)</f>
        <v/>
      </c>
      <c r="AC31" s="66">
        <f>IF('Smart Search'!E13=1,IFERROR(1/'Smart Search'!H13,0),0)</f>
        <v/>
      </c>
      <c r="AD31" s="66">
        <f>IF('Smart Search'!F13=1,IFERROR(1/'Smart Search'!H13,0),0)</f>
        <v/>
      </c>
      <c r="AE31" s="66">
        <f>IF('Smart Search'!F13=1,IFERROR(1/'Smart Search'!H13,0),0)</f>
        <v/>
      </c>
      <c r="AF31" s="66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66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66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66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66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66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66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66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66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66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66">
        <f>AF31*V31</f>
        <v/>
      </c>
      <c r="AQ31" s="66">
        <f>AG31*W31</f>
        <v/>
      </c>
      <c r="AR31" s="66">
        <f>AH31*X31</f>
        <v/>
      </c>
      <c r="AS31" s="66">
        <f>AI31*Y31</f>
        <v/>
      </c>
      <c r="AT31" s="66">
        <f>AJ31*Z31</f>
        <v/>
      </c>
      <c r="AU31" s="66">
        <f>AK31*AA31</f>
        <v/>
      </c>
      <c r="AV31" s="66">
        <f>AL31*AB31</f>
        <v/>
      </c>
      <c r="AW31" s="66">
        <f>AM31*AC31</f>
        <v/>
      </c>
      <c r="AX31" s="66">
        <f>AN31*AD31</f>
        <v/>
      </c>
      <c r="AY31" s="66">
        <f>AO31*AE31</f>
        <v/>
      </c>
      <c r="AZ31" s="66">
        <f>INDEX(Projects[Automation Equipment],30)&amp;""</f>
        <v/>
      </c>
      <c r="BA31" s="66">
        <f>IF(OR(A31="",'Smart Search'!H13=0),"",MAX(0,BE31*BF31*MAX(0,1-BG31)))</f>
        <v/>
      </c>
      <c r="BB31" s="66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66">
        <f>IF('Smart Search'!G13=1,IFERROR(1/'Smart Search'!H13,0),0)</f>
        <v/>
      </c>
      <c r="BD31" s="66">
        <f>BB31*BC31</f>
        <v/>
      </c>
      <c r="BE31" s="66">
        <f>AP31+AQ31+AR31+AS31+AT31+AU31+AV31+AW31+AX31+AY31+BD31</f>
        <v/>
      </c>
      <c r="BF31" s="5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5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5">
        <f>IF(AND(A31&lt;&gt;"",OR('Smart Search'!$L$5="",'Smart Search'!$L$5="All",TRIM(BZ31)=TRIM('Smart Search'!$L$5)),OR(TRIM('Smart Search'!$L$6)="",TRIM('Smart Search'!$L$6)="All",ISNUMBER(SEARCH(SUBSTITUTE(SUBSTITUTE(SUBSTITUTE(TRIM('Smart Search'!$L$6),"~","~~"),"*","~*"),"?","~?"),CA31))),OR('Smart Search'!$L$7="",AND(CB31&lt;&gt;0,CB31='Smart Search'!$L$7)),OR('Smart Search'!$L$8="",'Smart Search'!$L$8="All",TRIM(CC31)=TRIM('Smart Search'!$L$8))),IF(BA31="","",BA31+ROW()*0.0000000001),"")</f>
        <v/>
      </c>
      <c r="BI31" s="5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5">
        <f>IF(A31="","",N(INDEX(Projects[Mech Inst],30)))</f>
        <v/>
      </c>
      <c r="BK31" s="5">
        <f>IF(A31="","",N(INDEX(Projects[Elec Inst],30)))</f>
        <v/>
      </c>
      <c r="BL31" s="5">
        <f>IF(A31="","",N(INDEX(Projects[Project Management],30)))</f>
        <v/>
      </c>
      <c r="BM31" s="5">
        <f>IF(A31="","",N(INDEX(Projects[Systems Eng],30)))</f>
        <v/>
      </c>
      <c r="BN31" s="5">
        <f>IF(A31="","",N(INDEX(Projects[Mechanical Eng],30)))</f>
        <v/>
      </c>
      <c r="BO31" s="5">
        <f>IF(A31="","",N(INDEX(Projects[Structural Engineering],30)))</f>
        <v/>
      </c>
      <c r="BP31" s="5">
        <f>IF(A31="","",N(INDEX(Projects[Site Sup],30)))</f>
        <v/>
      </c>
      <c r="BQ31" s="5">
        <f>IF(A31="","",N(INDEX(Projects[Controls Commissioning],30)))</f>
        <v/>
      </c>
      <c r="BR31" s="5">
        <f>IF(A31="","",N(INDEX(Projects[Systems Commissioning],30)))</f>
        <v/>
      </c>
      <c r="BS31" s="5">
        <f>IF(A31="","",N(INDEX(Projects[Service Commissioning],30)))</f>
        <v/>
      </c>
      <c r="BT31" s="5">
        <f>IF(A31="","",N(INDEX(Projects[Controls Eng],30)))</f>
        <v/>
      </c>
      <c r="BU31" s="5">
        <f>IF(A31="","",N(INDEX(Projects[Controls Purchase],30)))</f>
        <v/>
      </c>
      <c r="BV31" s="5">
        <f>IF(A31="","",N(INDEX(Projects[Software Eng],30)))</f>
        <v/>
      </c>
      <c r="BW31" s="5">
        <f>IF(A31="","",N(INDEX(Projects[Misc],30)))</f>
        <v/>
      </c>
      <c r="BX31" s="5">
        <f>IF(A31="","",SUM(BJ31:BW31))</f>
        <v/>
      </c>
      <c r="BY31" s="5">
        <f>IF(A31="","",IFERROR(IF(ISNUMBER(U31),U31,VALUE(SUBSTITUTE(SUBSTITUTE(SUBSTITUTE(UPPER(TRIM(U31)),"M",""),",","")," ",""))),0))</f>
        <v/>
      </c>
      <c r="BZ31" s="5">
        <f>INDEX(Projects[Solution Type],30)&amp;""</f>
        <v/>
      </c>
      <c r="CA31" s="5">
        <f>INDEX(Projects[Client / Region],30)&amp;""</f>
        <v/>
      </c>
      <c r="CB31" s="5">
        <f>INDEX(Projects[Year],30)</f>
        <v/>
      </c>
      <c r="CC31" s="5">
        <f>INDEX(Projects[Won?],30)&amp;""</f>
        <v/>
      </c>
      <c r="CD31" s="5">
        <f>INDEX(Projects[Value (USD M)],30)</f>
        <v/>
      </c>
    </row>
    <row r="32" ht="15" customHeight="1" s="74">
      <c r="A32" s="66">
        <f>INDEX(Projects[Project ID *],31)&amp;""</f>
        <v/>
      </c>
      <c r="B32" s="66">
        <f>INDEX(Projects[Project Name *],31)&amp;""</f>
        <v/>
      </c>
      <c r="C32" s="66">
        <f>INDEX(Projects[MS Shuttles],31)</f>
        <v/>
      </c>
      <c r="D32" s="66">
        <f>INDEX(Projects[MS Tote Locations],31)</f>
        <v/>
      </c>
      <c r="E32" s="66">
        <f>INDEX(Projects[AS Robots],31)</f>
        <v/>
      </c>
      <c r="F32" s="66">
        <f>INDEX(Projects[AS Tote Locations],31)</f>
        <v/>
      </c>
      <c r="G32" s="66">
        <f>INDEX(Projects[PS Shuttles],31)</f>
        <v/>
      </c>
      <c r="H32" s="66">
        <f>INDEX(Projects[PS Pallet Locations],31)</f>
        <v/>
      </c>
      <c r="I32" s="66">
        <f>INDEX(Projects[SRM Cranes],31)</f>
        <v/>
      </c>
      <c r="J32" s="66">
        <f>INDEX(Projects[SRM Pallet Locations],31)</f>
        <v/>
      </c>
      <c r="K32" s="66">
        <f>INDEX(Projects[Case Conv (m)],31)</f>
        <v/>
      </c>
      <c r="L32" s="66">
        <f>INDEX(Projects[Pallet Conv (m)],31)</f>
        <v/>
      </c>
      <c r="M32" s="66">
        <f>INDEX(Projects[Mech Eng (wks)],31)</f>
        <v/>
      </c>
      <c r="N32" s="66">
        <f>INDEX(Projects[Controls Eng (wks)],31)</f>
        <v/>
      </c>
      <c r="O32" s="66">
        <f>INDEX(Projects[Systems Eng (wks)],31)</f>
        <v/>
      </c>
      <c r="P32" s="66">
        <f>INDEX(Projects[Software Eng (wks)],31)</f>
        <v/>
      </c>
      <c r="Q32" s="66">
        <f>INDEX(Projects[M&amp;E Installation (wks)],31)</f>
        <v/>
      </c>
      <c r="R32" s="66">
        <f>INDEX(Projects[Commissioning (wks)],31)</f>
        <v/>
      </c>
      <c r="S32" s="66">
        <f>INDEX(Projects[Total Timeline (wks)],31)</f>
        <v/>
      </c>
      <c r="T32" s="66">
        <f>INDEX(Projects[Currency],31)&amp;""</f>
        <v/>
      </c>
      <c r="U32" s="67">
        <f>INDEX(Projects[Value (M)],31)</f>
        <v/>
      </c>
      <c r="V32" s="66">
        <f>IF('Smart Search'!B13=1,IFERROR(1/'Smart Search'!H13,0),0)</f>
        <v/>
      </c>
      <c r="W32" s="66">
        <f>IF('Smart Search'!B13=1,IFERROR(1/'Smart Search'!H13,0),0)</f>
        <v/>
      </c>
      <c r="X32" s="66">
        <f>IF('Smart Search'!C13=1,IFERROR(1/'Smart Search'!H13,0),0)</f>
        <v/>
      </c>
      <c r="Y32" s="66">
        <f>IF('Smart Search'!C13=1,IFERROR(1/'Smart Search'!H13,0),0)</f>
        <v/>
      </c>
      <c r="Z32" s="66">
        <f>IF('Smart Search'!D13=1,IFERROR(1/'Smart Search'!H13,0),0)</f>
        <v/>
      </c>
      <c r="AA32" s="66">
        <f>IF('Smart Search'!D13=1,IFERROR(1/'Smart Search'!H13,0),0)</f>
        <v/>
      </c>
      <c r="AB32" s="66">
        <f>IF('Smart Search'!E13=1,IFERROR(1/'Smart Search'!H13,0),0)</f>
        <v/>
      </c>
      <c r="AC32" s="66">
        <f>IF('Smart Search'!E13=1,IFERROR(1/'Smart Search'!H13,0),0)</f>
        <v/>
      </c>
      <c r="AD32" s="66">
        <f>IF('Smart Search'!F13=1,IFERROR(1/'Smart Search'!H13,0),0)</f>
        <v/>
      </c>
      <c r="AE32" s="66">
        <f>IF('Smart Search'!F13=1,IFERROR(1/'Smart Search'!H13,0),0)</f>
        <v/>
      </c>
      <c r="AF32" s="66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66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66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66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66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66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66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66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66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66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66">
        <f>AF32*V32</f>
        <v/>
      </c>
      <c r="AQ32" s="66">
        <f>AG32*W32</f>
        <v/>
      </c>
      <c r="AR32" s="66">
        <f>AH32*X32</f>
        <v/>
      </c>
      <c r="AS32" s="66">
        <f>AI32*Y32</f>
        <v/>
      </c>
      <c r="AT32" s="66">
        <f>AJ32*Z32</f>
        <v/>
      </c>
      <c r="AU32" s="66">
        <f>AK32*AA32</f>
        <v/>
      </c>
      <c r="AV32" s="66">
        <f>AL32*AB32</f>
        <v/>
      </c>
      <c r="AW32" s="66">
        <f>AM32*AC32</f>
        <v/>
      </c>
      <c r="AX32" s="66">
        <f>AN32*AD32</f>
        <v/>
      </c>
      <c r="AY32" s="66">
        <f>AO32*AE32</f>
        <v/>
      </c>
      <c r="AZ32" s="66">
        <f>INDEX(Projects[Automation Equipment],31)&amp;""</f>
        <v/>
      </c>
      <c r="BA32" s="66">
        <f>IF(OR(A32="",'Smart Search'!H13=0),"",MAX(0,BE32*BF32*MAX(0,1-BG32)))</f>
        <v/>
      </c>
      <c r="BB32" s="66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66">
        <f>IF('Smart Search'!G13=1,IFERROR(1/'Smart Search'!H13,0),0)</f>
        <v/>
      </c>
      <c r="BD32" s="66">
        <f>BB32*BC32</f>
        <v/>
      </c>
      <c r="BE32" s="66">
        <f>AP32+AQ32+AR32+AS32+AT32+AU32+AV32+AW32+AX32+AY32+BD32</f>
        <v/>
      </c>
      <c r="BF32" s="5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5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5">
        <f>IF(AND(A32&lt;&gt;"",OR('Smart Search'!$L$5="",'Smart Search'!$L$5="All",TRIM(BZ32)=TRIM('Smart Search'!$L$5)),OR(TRIM('Smart Search'!$L$6)="",TRIM('Smart Search'!$L$6)="All",ISNUMBER(SEARCH(SUBSTITUTE(SUBSTITUTE(SUBSTITUTE(TRIM('Smart Search'!$L$6),"~","~~"),"*","~*"),"?","~?"),CA32))),OR('Smart Search'!$L$7="",AND(CB32&lt;&gt;0,CB32='Smart Search'!$L$7)),OR('Smart Search'!$L$8="",'Smart Search'!$L$8="All",TRIM(CC32)=TRIM('Smart Search'!$L$8))),IF(BA32="","",BA32+ROW()*0.0000000001),"")</f>
        <v/>
      </c>
      <c r="BI32" s="5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5">
        <f>IF(A32="","",N(INDEX(Projects[Mech Inst],31)))</f>
        <v/>
      </c>
      <c r="BK32" s="5">
        <f>IF(A32="","",N(INDEX(Projects[Elec Inst],31)))</f>
        <v/>
      </c>
      <c r="BL32" s="5">
        <f>IF(A32="","",N(INDEX(Projects[Project Management],31)))</f>
        <v/>
      </c>
      <c r="BM32" s="5">
        <f>IF(A32="","",N(INDEX(Projects[Systems Eng],31)))</f>
        <v/>
      </c>
      <c r="BN32" s="5">
        <f>IF(A32="","",N(INDEX(Projects[Mechanical Eng],31)))</f>
        <v/>
      </c>
      <c r="BO32" s="5">
        <f>IF(A32="","",N(INDEX(Projects[Structural Engineering],31)))</f>
        <v/>
      </c>
      <c r="BP32" s="5">
        <f>IF(A32="","",N(INDEX(Projects[Site Sup],31)))</f>
        <v/>
      </c>
      <c r="BQ32" s="5">
        <f>IF(A32="","",N(INDEX(Projects[Controls Commissioning],31)))</f>
        <v/>
      </c>
      <c r="BR32" s="5">
        <f>IF(A32="","",N(INDEX(Projects[Systems Commissioning],31)))</f>
        <v/>
      </c>
      <c r="BS32" s="5">
        <f>IF(A32="","",N(INDEX(Projects[Service Commissioning],31)))</f>
        <v/>
      </c>
      <c r="BT32" s="5">
        <f>IF(A32="","",N(INDEX(Projects[Controls Eng],31)))</f>
        <v/>
      </c>
      <c r="BU32" s="5">
        <f>IF(A32="","",N(INDEX(Projects[Controls Purchase],31)))</f>
        <v/>
      </c>
      <c r="BV32" s="5">
        <f>IF(A32="","",N(INDEX(Projects[Software Eng],31)))</f>
        <v/>
      </c>
      <c r="BW32" s="5">
        <f>IF(A32="","",N(INDEX(Projects[Misc],31)))</f>
        <v/>
      </c>
      <c r="BX32" s="5">
        <f>IF(A32="","",SUM(BJ32:BW32))</f>
        <v/>
      </c>
      <c r="BY32" s="5">
        <f>IF(A32="","",IFERROR(IF(ISNUMBER(U32),U32,VALUE(SUBSTITUTE(SUBSTITUTE(SUBSTITUTE(UPPER(TRIM(U32)),"M",""),",","")," ",""))),0))</f>
        <v/>
      </c>
      <c r="BZ32" s="5">
        <f>INDEX(Projects[Solution Type],31)&amp;""</f>
        <v/>
      </c>
      <c r="CA32" s="5">
        <f>INDEX(Projects[Client / Region],31)&amp;""</f>
        <v/>
      </c>
      <c r="CB32" s="5">
        <f>INDEX(Projects[Year],31)</f>
        <v/>
      </c>
      <c r="CC32" s="5">
        <f>INDEX(Projects[Won?],31)&amp;""</f>
        <v/>
      </c>
      <c r="CD32" s="5">
        <f>INDEX(Projects[Value (USD M)],31)</f>
        <v/>
      </c>
    </row>
    <row r="33" ht="15" customHeight="1" s="74">
      <c r="A33" s="66">
        <f>INDEX(Projects[Project ID *],32)&amp;""</f>
        <v/>
      </c>
      <c r="B33" s="66">
        <f>INDEX(Projects[Project Name *],32)&amp;""</f>
        <v/>
      </c>
      <c r="C33" s="66">
        <f>INDEX(Projects[MS Shuttles],32)</f>
        <v/>
      </c>
      <c r="D33" s="66">
        <f>INDEX(Projects[MS Tote Locations],32)</f>
        <v/>
      </c>
      <c r="E33" s="66">
        <f>INDEX(Projects[AS Robots],32)</f>
        <v/>
      </c>
      <c r="F33" s="66">
        <f>INDEX(Projects[AS Tote Locations],32)</f>
        <v/>
      </c>
      <c r="G33" s="66">
        <f>INDEX(Projects[PS Shuttles],32)</f>
        <v/>
      </c>
      <c r="H33" s="66">
        <f>INDEX(Projects[PS Pallet Locations],32)</f>
        <v/>
      </c>
      <c r="I33" s="66">
        <f>INDEX(Projects[SRM Cranes],32)</f>
        <v/>
      </c>
      <c r="J33" s="66">
        <f>INDEX(Projects[SRM Pallet Locations],32)</f>
        <v/>
      </c>
      <c r="K33" s="66">
        <f>INDEX(Projects[Case Conv (m)],32)</f>
        <v/>
      </c>
      <c r="L33" s="66">
        <f>INDEX(Projects[Pallet Conv (m)],32)</f>
        <v/>
      </c>
      <c r="M33" s="66">
        <f>INDEX(Projects[Mech Eng (wks)],32)</f>
        <v/>
      </c>
      <c r="N33" s="66">
        <f>INDEX(Projects[Controls Eng (wks)],32)</f>
        <v/>
      </c>
      <c r="O33" s="66">
        <f>INDEX(Projects[Systems Eng (wks)],32)</f>
        <v/>
      </c>
      <c r="P33" s="66">
        <f>INDEX(Projects[Software Eng (wks)],32)</f>
        <v/>
      </c>
      <c r="Q33" s="66">
        <f>INDEX(Projects[M&amp;E Installation (wks)],32)</f>
        <v/>
      </c>
      <c r="R33" s="66">
        <f>INDEX(Projects[Commissioning (wks)],32)</f>
        <v/>
      </c>
      <c r="S33" s="66">
        <f>INDEX(Projects[Total Timeline (wks)],32)</f>
        <v/>
      </c>
      <c r="T33" s="66">
        <f>INDEX(Projects[Currency],32)&amp;""</f>
        <v/>
      </c>
      <c r="U33" s="67">
        <f>INDEX(Projects[Value (M)],32)</f>
        <v/>
      </c>
      <c r="V33" s="66">
        <f>IF('Smart Search'!B13=1,IFERROR(1/'Smart Search'!H13,0),0)</f>
        <v/>
      </c>
      <c r="W33" s="66">
        <f>IF('Smart Search'!B13=1,IFERROR(1/'Smart Search'!H13,0),0)</f>
        <v/>
      </c>
      <c r="X33" s="66">
        <f>IF('Smart Search'!C13=1,IFERROR(1/'Smart Search'!H13,0),0)</f>
        <v/>
      </c>
      <c r="Y33" s="66">
        <f>IF('Smart Search'!C13=1,IFERROR(1/'Smart Search'!H13,0),0)</f>
        <v/>
      </c>
      <c r="Z33" s="66">
        <f>IF('Smart Search'!D13=1,IFERROR(1/'Smart Search'!H13,0),0)</f>
        <v/>
      </c>
      <c r="AA33" s="66">
        <f>IF('Smart Search'!D13=1,IFERROR(1/'Smart Search'!H13,0),0)</f>
        <v/>
      </c>
      <c r="AB33" s="66">
        <f>IF('Smart Search'!E13=1,IFERROR(1/'Smart Search'!H13,0),0)</f>
        <v/>
      </c>
      <c r="AC33" s="66">
        <f>IF('Smart Search'!E13=1,IFERROR(1/'Smart Search'!H13,0),0)</f>
        <v/>
      </c>
      <c r="AD33" s="66">
        <f>IF('Smart Search'!F13=1,IFERROR(1/'Smart Search'!H13,0),0)</f>
        <v/>
      </c>
      <c r="AE33" s="66">
        <f>IF('Smart Search'!F13=1,IFERROR(1/'Smart Search'!H13,0),0)</f>
        <v/>
      </c>
      <c r="AF33" s="66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66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66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66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66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66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66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66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66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66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66">
        <f>AF33*V33</f>
        <v/>
      </c>
      <c r="AQ33" s="66">
        <f>AG33*W33</f>
        <v/>
      </c>
      <c r="AR33" s="66">
        <f>AH33*X33</f>
        <v/>
      </c>
      <c r="AS33" s="66">
        <f>AI33*Y33</f>
        <v/>
      </c>
      <c r="AT33" s="66">
        <f>AJ33*Z33</f>
        <v/>
      </c>
      <c r="AU33" s="66">
        <f>AK33*AA33</f>
        <v/>
      </c>
      <c r="AV33" s="66">
        <f>AL33*AB33</f>
        <v/>
      </c>
      <c r="AW33" s="66">
        <f>AM33*AC33</f>
        <v/>
      </c>
      <c r="AX33" s="66">
        <f>AN33*AD33</f>
        <v/>
      </c>
      <c r="AY33" s="66">
        <f>AO33*AE33</f>
        <v/>
      </c>
      <c r="AZ33" s="66">
        <f>INDEX(Projects[Automation Equipment],32)&amp;""</f>
        <v/>
      </c>
      <c r="BA33" s="66">
        <f>IF(OR(A33="",'Smart Search'!H13=0),"",MAX(0,BE33*BF33*MAX(0,1-BG33)))</f>
        <v/>
      </c>
      <c r="BB33" s="66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66">
        <f>IF('Smart Search'!G13=1,IFERROR(1/'Smart Search'!H13,0),0)</f>
        <v/>
      </c>
      <c r="BD33" s="66">
        <f>BB33*BC33</f>
        <v/>
      </c>
      <c r="BE33" s="66">
        <f>AP33+AQ33+AR33+AS33+AT33+AU33+AV33+AW33+AX33+AY33+BD33</f>
        <v/>
      </c>
      <c r="BF33" s="5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5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5">
        <f>IF(AND(A33&lt;&gt;"",OR('Smart Search'!$L$5="",'Smart Search'!$L$5="All",TRIM(BZ33)=TRIM('Smart Search'!$L$5)),OR(TRIM('Smart Search'!$L$6)="",TRIM('Smart Search'!$L$6)="All",ISNUMBER(SEARCH(SUBSTITUTE(SUBSTITUTE(SUBSTITUTE(TRIM('Smart Search'!$L$6),"~","~~"),"*","~*"),"?","~?"),CA33))),OR('Smart Search'!$L$7="",AND(CB33&lt;&gt;0,CB33='Smart Search'!$L$7)),OR('Smart Search'!$L$8="",'Smart Search'!$L$8="All",TRIM(CC33)=TRIM('Smart Search'!$L$8))),IF(BA33="","",BA33+ROW()*0.0000000001),"")</f>
        <v/>
      </c>
      <c r="BI33" s="5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5">
        <f>IF(A33="","",N(INDEX(Projects[Mech Inst],32)))</f>
        <v/>
      </c>
      <c r="BK33" s="5">
        <f>IF(A33="","",N(INDEX(Projects[Elec Inst],32)))</f>
        <v/>
      </c>
      <c r="BL33" s="5">
        <f>IF(A33="","",N(INDEX(Projects[Project Management],32)))</f>
        <v/>
      </c>
      <c r="BM33" s="5">
        <f>IF(A33="","",N(INDEX(Projects[Systems Eng],32)))</f>
        <v/>
      </c>
      <c r="BN33" s="5">
        <f>IF(A33="","",N(INDEX(Projects[Mechanical Eng],32)))</f>
        <v/>
      </c>
      <c r="BO33" s="5">
        <f>IF(A33="","",N(INDEX(Projects[Structural Engineering],32)))</f>
        <v/>
      </c>
      <c r="BP33" s="5">
        <f>IF(A33="","",N(INDEX(Projects[Site Sup],32)))</f>
        <v/>
      </c>
      <c r="BQ33" s="5">
        <f>IF(A33="","",N(INDEX(Projects[Controls Commissioning],32)))</f>
        <v/>
      </c>
      <c r="BR33" s="5">
        <f>IF(A33="","",N(INDEX(Projects[Systems Commissioning],32)))</f>
        <v/>
      </c>
      <c r="BS33" s="5">
        <f>IF(A33="","",N(INDEX(Projects[Service Commissioning],32)))</f>
        <v/>
      </c>
      <c r="BT33" s="5">
        <f>IF(A33="","",N(INDEX(Projects[Controls Eng],32)))</f>
        <v/>
      </c>
      <c r="BU33" s="5">
        <f>IF(A33="","",N(INDEX(Projects[Controls Purchase],32)))</f>
        <v/>
      </c>
      <c r="BV33" s="5">
        <f>IF(A33="","",N(INDEX(Projects[Software Eng],32)))</f>
        <v/>
      </c>
      <c r="BW33" s="5">
        <f>IF(A33="","",N(INDEX(Projects[Misc],32)))</f>
        <v/>
      </c>
      <c r="BX33" s="5">
        <f>IF(A33="","",SUM(BJ33:BW33))</f>
        <v/>
      </c>
      <c r="BY33" s="5">
        <f>IF(A33="","",IFERROR(IF(ISNUMBER(U33),U33,VALUE(SUBSTITUTE(SUBSTITUTE(SUBSTITUTE(UPPER(TRIM(U33)),"M",""),",","")," ",""))),0))</f>
        <v/>
      </c>
      <c r="BZ33" s="5">
        <f>INDEX(Projects[Solution Type],32)&amp;""</f>
        <v/>
      </c>
      <c r="CA33" s="5">
        <f>INDEX(Projects[Client / Region],32)&amp;""</f>
        <v/>
      </c>
      <c r="CB33" s="5">
        <f>INDEX(Projects[Year],32)</f>
        <v/>
      </c>
      <c r="CC33" s="5">
        <f>INDEX(Projects[Won?],32)&amp;""</f>
        <v/>
      </c>
      <c r="CD33" s="5">
        <f>INDEX(Projects[Value (USD M)],32)</f>
        <v/>
      </c>
    </row>
    <row r="34" ht="15" customHeight="1" s="74">
      <c r="A34" s="66">
        <f>INDEX(Projects[Project ID *],33)&amp;""</f>
        <v/>
      </c>
      <c r="B34" s="66">
        <f>INDEX(Projects[Project Name *],33)&amp;""</f>
        <v/>
      </c>
      <c r="C34" s="66">
        <f>INDEX(Projects[MS Shuttles],33)</f>
        <v/>
      </c>
      <c r="D34" s="66">
        <f>INDEX(Projects[MS Tote Locations],33)</f>
        <v/>
      </c>
      <c r="E34" s="66">
        <f>INDEX(Projects[AS Robots],33)</f>
        <v/>
      </c>
      <c r="F34" s="66">
        <f>INDEX(Projects[AS Tote Locations],33)</f>
        <v/>
      </c>
      <c r="G34" s="66">
        <f>INDEX(Projects[PS Shuttles],33)</f>
        <v/>
      </c>
      <c r="H34" s="66">
        <f>INDEX(Projects[PS Pallet Locations],33)</f>
        <v/>
      </c>
      <c r="I34" s="66">
        <f>INDEX(Projects[SRM Cranes],33)</f>
        <v/>
      </c>
      <c r="J34" s="66">
        <f>INDEX(Projects[SRM Pallet Locations],33)</f>
        <v/>
      </c>
      <c r="K34" s="66">
        <f>INDEX(Projects[Case Conv (m)],33)</f>
        <v/>
      </c>
      <c r="L34" s="66">
        <f>INDEX(Projects[Pallet Conv (m)],33)</f>
        <v/>
      </c>
      <c r="M34" s="66">
        <f>INDEX(Projects[Mech Eng (wks)],33)</f>
        <v/>
      </c>
      <c r="N34" s="66">
        <f>INDEX(Projects[Controls Eng (wks)],33)</f>
        <v/>
      </c>
      <c r="O34" s="66">
        <f>INDEX(Projects[Systems Eng (wks)],33)</f>
        <v/>
      </c>
      <c r="P34" s="66">
        <f>INDEX(Projects[Software Eng (wks)],33)</f>
        <v/>
      </c>
      <c r="Q34" s="66">
        <f>INDEX(Projects[M&amp;E Installation (wks)],33)</f>
        <v/>
      </c>
      <c r="R34" s="66">
        <f>INDEX(Projects[Commissioning (wks)],33)</f>
        <v/>
      </c>
      <c r="S34" s="66">
        <f>INDEX(Projects[Total Timeline (wks)],33)</f>
        <v/>
      </c>
      <c r="T34" s="66">
        <f>INDEX(Projects[Currency],33)&amp;""</f>
        <v/>
      </c>
      <c r="U34" s="67">
        <f>INDEX(Projects[Value (M)],33)</f>
        <v/>
      </c>
      <c r="V34" s="66">
        <f>IF('Smart Search'!B13=1,IFERROR(1/'Smart Search'!H13,0),0)</f>
        <v/>
      </c>
      <c r="W34" s="66">
        <f>IF('Smart Search'!B13=1,IFERROR(1/'Smart Search'!H13,0),0)</f>
        <v/>
      </c>
      <c r="X34" s="66">
        <f>IF('Smart Search'!C13=1,IFERROR(1/'Smart Search'!H13,0),0)</f>
        <v/>
      </c>
      <c r="Y34" s="66">
        <f>IF('Smart Search'!C13=1,IFERROR(1/'Smart Search'!H13,0),0)</f>
        <v/>
      </c>
      <c r="Z34" s="66">
        <f>IF('Smart Search'!D13=1,IFERROR(1/'Smart Search'!H13,0),0)</f>
        <v/>
      </c>
      <c r="AA34" s="66">
        <f>IF('Smart Search'!D13=1,IFERROR(1/'Smart Search'!H13,0),0)</f>
        <v/>
      </c>
      <c r="AB34" s="66">
        <f>IF('Smart Search'!E13=1,IFERROR(1/'Smart Search'!H13,0),0)</f>
        <v/>
      </c>
      <c r="AC34" s="66">
        <f>IF('Smart Search'!E13=1,IFERROR(1/'Smart Search'!H13,0),0)</f>
        <v/>
      </c>
      <c r="AD34" s="66">
        <f>IF('Smart Search'!F13=1,IFERROR(1/'Smart Search'!H13,0),0)</f>
        <v/>
      </c>
      <c r="AE34" s="66">
        <f>IF('Smart Search'!F13=1,IFERROR(1/'Smart Search'!H13,0),0)</f>
        <v/>
      </c>
      <c r="AF34" s="66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66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66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66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66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66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66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66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66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66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66">
        <f>AF34*V34</f>
        <v/>
      </c>
      <c r="AQ34" s="66">
        <f>AG34*W34</f>
        <v/>
      </c>
      <c r="AR34" s="66">
        <f>AH34*X34</f>
        <v/>
      </c>
      <c r="AS34" s="66">
        <f>AI34*Y34</f>
        <v/>
      </c>
      <c r="AT34" s="66">
        <f>AJ34*Z34</f>
        <v/>
      </c>
      <c r="AU34" s="66">
        <f>AK34*AA34</f>
        <v/>
      </c>
      <c r="AV34" s="66">
        <f>AL34*AB34</f>
        <v/>
      </c>
      <c r="AW34" s="66">
        <f>AM34*AC34</f>
        <v/>
      </c>
      <c r="AX34" s="66">
        <f>AN34*AD34</f>
        <v/>
      </c>
      <c r="AY34" s="66">
        <f>AO34*AE34</f>
        <v/>
      </c>
      <c r="AZ34" s="66">
        <f>INDEX(Projects[Automation Equipment],33)&amp;""</f>
        <v/>
      </c>
      <c r="BA34" s="66">
        <f>IF(OR(A34="",'Smart Search'!H13=0),"",MAX(0,BE34*BF34*MAX(0,1-BG34)))</f>
        <v/>
      </c>
      <c r="BB34" s="66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66">
        <f>IF('Smart Search'!G13=1,IFERROR(1/'Smart Search'!H13,0),0)</f>
        <v/>
      </c>
      <c r="BD34" s="66">
        <f>BB34*BC34</f>
        <v/>
      </c>
      <c r="BE34" s="66">
        <f>AP34+AQ34+AR34+AS34+AT34+AU34+AV34+AW34+AX34+AY34+BD34</f>
        <v/>
      </c>
      <c r="BF34" s="5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5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5">
        <f>IF(AND(A34&lt;&gt;"",OR('Smart Search'!$L$5="",'Smart Search'!$L$5="All",TRIM(BZ34)=TRIM('Smart Search'!$L$5)),OR(TRIM('Smart Search'!$L$6)="",TRIM('Smart Search'!$L$6)="All",ISNUMBER(SEARCH(SUBSTITUTE(SUBSTITUTE(SUBSTITUTE(TRIM('Smart Search'!$L$6),"~","~~"),"*","~*"),"?","~?"),CA34))),OR('Smart Search'!$L$7="",AND(CB34&lt;&gt;0,CB34='Smart Search'!$L$7)),OR('Smart Search'!$L$8="",'Smart Search'!$L$8="All",TRIM(CC34)=TRIM('Smart Search'!$L$8))),IF(BA34="","",BA34+ROW()*0.0000000001),"")</f>
        <v/>
      </c>
      <c r="BI34" s="5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5">
        <f>IF(A34="","",N(INDEX(Projects[Mech Inst],33)))</f>
        <v/>
      </c>
      <c r="BK34" s="5">
        <f>IF(A34="","",N(INDEX(Projects[Elec Inst],33)))</f>
        <v/>
      </c>
      <c r="BL34" s="5">
        <f>IF(A34="","",N(INDEX(Projects[Project Management],33)))</f>
        <v/>
      </c>
      <c r="BM34" s="5">
        <f>IF(A34="","",N(INDEX(Projects[Systems Eng],33)))</f>
        <v/>
      </c>
      <c r="BN34" s="5">
        <f>IF(A34="","",N(INDEX(Projects[Mechanical Eng],33)))</f>
        <v/>
      </c>
      <c r="BO34" s="5">
        <f>IF(A34="","",N(INDEX(Projects[Structural Engineering],33)))</f>
        <v/>
      </c>
      <c r="BP34" s="5">
        <f>IF(A34="","",N(INDEX(Projects[Site Sup],33)))</f>
        <v/>
      </c>
      <c r="BQ34" s="5">
        <f>IF(A34="","",N(INDEX(Projects[Controls Commissioning],33)))</f>
        <v/>
      </c>
      <c r="BR34" s="5">
        <f>IF(A34="","",N(INDEX(Projects[Systems Commissioning],33)))</f>
        <v/>
      </c>
      <c r="BS34" s="5">
        <f>IF(A34="","",N(INDEX(Projects[Service Commissioning],33)))</f>
        <v/>
      </c>
      <c r="BT34" s="5">
        <f>IF(A34="","",N(INDEX(Projects[Controls Eng],33)))</f>
        <v/>
      </c>
      <c r="BU34" s="5">
        <f>IF(A34="","",N(INDEX(Projects[Controls Purchase],33)))</f>
        <v/>
      </c>
      <c r="BV34" s="5">
        <f>IF(A34="","",N(INDEX(Projects[Software Eng],33)))</f>
        <v/>
      </c>
      <c r="BW34" s="5">
        <f>IF(A34="","",N(INDEX(Projects[Misc],33)))</f>
        <v/>
      </c>
      <c r="BX34" s="5">
        <f>IF(A34="","",SUM(BJ34:BW34))</f>
        <v/>
      </c>
      <c r="BY34" s="5">
        <f>IF(A34="","",IFERROR(IF(ISNUMBER(U34),U34,VALUE(SUBSTITUTE(SUBSTITUTE(SUBSTITUTE(UPPER(TRIM(U34)),"M",""),",","")," ",""))),0))</f>
        <v/>
      </c>
      <c r="BZ34" s="5">
        <f>INDEX(Projects[Solution Type],33)&amp;""</f>
        <v/>
      </c>
      <c r="CA34" s="5">
        <f>INDEX(Projects[Client / Region],33)&amp;""</f>
        <v/>
      </c>
      <c r="CB34" s="5">
        <f>INDEX(Projects[Year],33)</f>
        <v/>
      </c>
      <c r="CC34" s="5">
        <f>INDEX(Projects[Won?],33)&amp;""</f>
        <v/>
      </c>
      <c r="CD34" s="5">
        <f>INDEX(Projects[Value (USD M)],33)</f>
        <v/>
      </c>
    </row>
    <row r="35" ht="15" customHeight="1" s="74">
      <c r="A35" s="66">
        <f>INDEX(Projects[Project ID *],34)&amp;""</f>
        <v/>
      </c>
      <c r="B35" s="66">
        <f>INDEX(Projects[Project Name *],34)&amp;""</f>
        <v/>
      </c>
      <c r="C35" s="66">
        <f>INDEX(Projects[MS Shuttles],34)</f>
        <v/>
      </c>
      <c r="D35" s="66">
        <f>INDEX(Projects[MS Tote Locations],34)</f>
        <v/>
      </c>
      <c r="E35" s="66">
        <f>INDEX(Projects[AS Robots],34)</f>
        <v/>
      </c>
      <c r="F35" s="66">
        <f>INDEX(Projects[AS Tote Locations],34)</f>
        <v/>
      </c>
      <c r="G35" s="66">
        <f>INDEX(Projects[PS Shuttles],34)</f>
        <v/>
      </c>
      <c r="H35" s="66">
        <f>INDEX(Projects[PS Pallet Locations],34)</f>
        <v/>
      </c>
      <c r="I35" s="66">
        <f>INDEX(Projects[SRM Cranes],34)</f>
        <v/>
      </c>
      <c r="J35" s="66">
        <f>INDEX(Projects[SRM Pallet Locations],34)</f>
        <v/>
      </c>
      <c r="K35" s="66">
        <f>INDEX(Projects[Case Conv (m)],34)</f>
        <v/>
      </c>
      <c r="L35" s="66">
        <f>INDEX(Projects[Pallet Conv (m)],34)</f>
        <v/>
      </c>
      <c r="M35" s="66">
        <f>INDEX(Projects[Mech Eng (wks)],34)</f>
        <v/>
      </c>
      <c r="N35" s="66">
        <f>INDEX(Projects[Controls Eng (wks)],34)</f>
        <v/>
      </c>
      <c r="O35" s="66">
        <f>INDEX(Projects[Systems Eng (wks)],34)</f>
        <v/>
      </c>
      <c r="P35" s="66">
        <f>INDEX(Projects[Software Eng (wks)],34)</f>
        <v/>
      </c>
      <c r="Q35" s="66">
        <f>INDEX(Projects[M&amp;E Installation (wks)],34)</f>
        <v/>
      </c>
      <c r="R35" s="66">
        <f>INDEX(Projects[Commissioning (wks)],34)</f>
        <v/>
      </c>
      <c r="S35" s="66">
        <f>INDEX(Projects[Total Timeline (wks)],34)</f>
        <v/>
      </c>
      <c r="T35" s="66">
        <f>INDEX(Projects[Currency],34)&amp;""</f>
        <v/>
      </c>
      <c r="U35" s="67">
        <f>INDEX(Projects[Value (M)],34)</f>
        <v/>
      </c>
      <c r="V35" s="66">
        <f>IF('Smart Search'!B13=1,IFERROR(1/'Smart Search'!H13,0),0)</f>
        <v/>
      </c>
      <c r="W35" s="66">
        <f>IF('Smart Search'!B13=1,IFERROR(1/'Smart Search'!H13,0),0)</f>
        <v/>
      </c>
      <c r="X35" s="66">
        <f>IF('Smart Search'!C13=1,IFERROR(1/'Smart Search'!H13,0),0)</f>
        <v/>
      </c>
      <c r="Y35" s="66">
        <f>IF('Smart Search'!C13=1,IFERROR(1/'Smart Search'!H13,0),0)</f>
        <v/>
      </c>
      <c r="Z35" s="66">
        <f>IF('Smart Search'!D13=1,IFERROR(1/'Smart Search'!H13,0),0)</f>
        <v/>
      </c>
      <c r="AA35" s="66">
        <f>IF('Smart Search'!D13=1,IFERROR(1/'Smart Search'!H13,0),0)</f>
        <v/>
      </c>
      <c r="AB35" s="66">
        <f>IF('Smart Search'!E13=1,IFERROR(1/'Smart Search'!H13,0),0)</f>
        <v/>
      </c>
      <c r="AC35" s="66">
        <f>IF('Smart Search'!E13=1,IFERROR(1/'Smart Search'!H13,0),0)</f>
        <v/>
      </c>
      <c r="AD35" s="66">
        <f>IF('Smart Search'!F13=1,IFERROR(1/'Smart Search'!H13,0),0)</f>
        <v/>
      </c>
      <c r="AE35" s="66">
        <f>IF('Smart Search'!F13=1,IFERROR(1/'Smart Search'!H13,0),0)</f>
        <v/>
      </c>
      <c r="AF35" s="66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66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66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66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66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66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66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66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66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66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66">
        <f>AF35*V35</f>
        <v/>
      </c>
      <c r="AQ35" s="66">
        <f>AG35*W35</f>
        <v/>
      </c>
      <c r="AR35" s="66">
        <f>AH35*X35</f>
        <v/>
      </c>
      <c r="AS35" s="66">
        <f>AI35*Y35</f>
        <v/>
      </c>
      <c r="AT35" s="66">
        <f>AJ35*Z35</f>
        <v/>
      </c>
      <c r="AU35" s="66">
        <f>AK35*AA35</f>
        <v/>
      </c>
      <c r="AV35" s="66">
        <f>AL35*AB35</f>
        <v/>
      </c>
      <c r="AW35" s="66">
        <f>AM35*AC35</f>
        <v/>
      </c>
      <c r="AX35" s="66">
        <f>AN35*AD35</f>
        <v/>
      </c>
      <c r="AY35" s="66">
        <f>AO35*AE35</f>
        <v/>
      </c>
      <c r="AZ35" s="66">
        <f>INDEX(Projects[Automation Equipment],34)&amp;""</f>
        <v/>
      </c>
      <c r="BA35" s="66">
        <f>IF(OR(A35="",'Smart Search'!H13=0),"",MAX(0,BE35*BF35*MAX(0,1-BG35)))</f>
        <v/>
      </c>
      <c r="BB35" s="66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66">
        <f>IF('Smart Search'!G13=1,IFERROR(1/'Smart Search'!H13,0),0)</f>
        <v/>
      </c>
      <c r="BD35" s="66">
        <f>BB35*BC35</f>
        <v/>
      </c>
      <c r="BE35" s="66">
        <f>AP35+AQ35+AR35+AS35+AT35+AU35+AV35+AW35+AX35+AY35+BD35</f>
        <v/>
      </c>
      <c r="BF35" s="5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5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5">
        <f>IF(AND(A35&lt;&gt;"",OR('Smart Search'!$L$5="",'Smart Search'!$L$5="All",TRIM(BZ35)=TRIM('Smart Search'!$L$5)),OR(TRIM('Smart Search'!$L$6)="",TRIM('Smart Search'!$L$6)="All",ISNUMBER(SEARCH(SUBSTITUTE(SUBSTITUTE(SUBSTITUTE(TRIM('Smart Search'!$L$6),"~","~~"),"*","~*"),"?","~?"),CA35))),OR('Smart Search'!$L$7="",AND(CB35&lt;&gt;0,CB35='Smart Search'!$L$7)),OR('Smart Search'!$L$8="",'Smart Search'!$L$8="All",TRIM(CC35)=TRIM('Smart Search'!$L$8))),IF(BA35="","",BA35+ROW()*0.0000000001),"")</f>
        <v/>
      </c>
      <c r="BI35" s="5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5">
        <f>IF(A35="","",N(INDEX(Projects[Mech Inst],34)))</f>
        <v/>
      </c>
      <c r="BK35" s="5">
        <f>IF(A35="","",N(INDEX(Projects[Elec Inst],34)))</f>
        <v/>
      </c>
      <c r="BL35" s="5">
        <f>IF(A35="","",N(INDEX(Projects[Project Management],34)))</f>
        <v/>
      </c>
      <c r="BM35" s="5">
        <f>IF(A35="","",N(INDEX(Projects[Systems Eng],34)))</f>
        <v/>
      </c>
      <c r="BN35" s="5">
        <f>IF(A35="","",N(INDEX(Projects[Mechanical Eng],34)))</f>
        <v/>
      </c>
      <c r="BO35" s="5">
        <f>IF(A35="","",N(INDEX(Projects[Structural Engineering],34)))</f>
        <v/>
      </c>
      <c r="BP35" s="5">
        <f>IF(A35="","",N(INDEX(Projects[Site Sup],34)))</f>
        <v/>
      </c>
      <c r="BQ35" s="5">
        <f>IF(A35="","",N(INDEX(Projects[Controls Commissioning],34)))</f>
        <v/>
      </c>
      <c r="BR35" s="5">
        <f>IF(A35="","",N(INDEX(Projects[Systems Commissioning],34)))</f>
        <v/>
      </c>
      <c r="BS35" s="5">
        <f>IF(A35="","",N(INDEX(Projects[Service Commissioning],34)))</f>
        <v/>
      </c>
      <c r="BT35" s="5">
        <f>IF(A35="","",N(INDEX(Projects[Controls Eng],34)))</f>
        <v/>
      </c>
      <c r="BU35" s="5">
        <f>IF(A35="","",N(INDEX(Projects[Controls Purchase],34)))</f>
        <v/>
      </c>
      <c r="BV35" s="5">
        <f>IF(A35="","",N(INDEX(Projects[Software Eng],34)))</f>
        <v/>
      </c>
      <c r="BW35" s="5">
        <f>IF(A35="","",N(INDEX(Projects[Misc],34)))</f>
        <v/>
      </c>
      <c r="BX35" s="5">
        <f>IF(A35="","",SUM(BJ35:BW35))</f>
        <v/>
      </c>
      <c r="BY35" s="5">
        <f>IF(A35="","",IFERROR(IF(ISNUMBER(U35),U35,VALUE(SUBSTITUTE(SUBSTITUTE(SUBSTITUTE(UPPER(TRIM(U35)),"M",""),",","")," ",""))),0))</f>
        <v/>
      </c>
      <c r="BZ35" s="5">
        <f>INDEX(Projects[Solution Type],34)&amp;""</f>
        <v/>
      </c>
      <c r="CA35" s="5">
        <f>INDEX(Projects[Client / Region],34)&amp;""</f>
        <v/>
      </c>
      <c r="CB35" s="5">
        <f>INDEX(Projects[Year],34)</f>
        <v/>
      </c>
      <c r="CC35" s="5">
        <f>INDEX(Projects[Won?],34)&amp;""</f>
        <v/>
      </c>
      <c r="CD35" s="5">
        <f>INDEX(Projects[Value (USD M)],34)</f>
        <v/>
      </c>
    </row>
    <row r="36" ht="15" customHeight="1" s="74">
      <c r="A36" s="66">
        <f>INDEX(Projects[Project ID *],35)&amp;""</f>
        <v/>
      </c>
      <c r="B36" s="66">
        <f>INDEX(Projects[Project Name *],35)&amp;""</f>
        <v/>
      </c>
      <c r="C36" s="66">
        <f>INDEX(Projects[MS Shuttles],35)</f>
        <v/>
      </c>
      <c r="D36" s="66">
        <f>INDEX(Projects[MS Tote Locations],35)</f>
        <v/>
      </c>
      <c r="E36" s="66">
        <f>INDEX(Projects[AS Robots],35)</f>
        <v/>
      </c>
      <c r="F36" s="66">
        <f>INDEX(Projects[AS Tote Locations],35)</f>
        <v/>
      </c>
      <c r="G36" s="66">
        <f>INDEX(Projects[PS Shuttles],35)</f>
        <v/>
      </c>
      <c r="H36" s="66">
        <f>INDEX(Projects[PS Pallet Locations],35)</f>
        <v/>
      </c>
      <c r="I36" s="66">
        <f>INDEX(Projects[SRM Cranes],35)</f>
        <v/>
      </c>
      <c r="J36" s="66">
        <f>INDEX(Projects[SRM Pallet Locations],35)</f>
        <v/>
      </c>
      <c r="K36" s="66">
        <f>INDEX(Projects[Case Conv (m)],35)</f>
        <v/>
      </c>
      <c r="L36" s="66">
        <f>INDEX(Projects[Pallet Conv (m)],35)</f>
        <v/>
      </c>
      <c r="M36" s="66">
        <f>INDEX(Projects[Mech Eng (wks)],35)</f>
        <v/>
      </c>
      <c r="N36" s="66">
        <f>INDEX(Projects[Controls Eng (wks)],35)</f>
        <v/>
      </c>
      <c r="O36" s="66">
        <f>INDEX(Projects[Systems Eng (wks)],35)</f>
        <v/>
      </c>
      <c r="P36" s="66">
        <f>INDEX(Projects[Software Eng (wks)],35)</f>
        <v/>
      </c>
      <c r="Q36" s="66">
        <f>INDEX(Projects[M&amp;E Installation (wks)],35)</f>
        <v/>
      </c>
      <c r="R36" s="66">
        <f>INDEX(Projects[Commissioning (wks)],35)</f>
        <v/>
      </c>
      <c r="S36" s="66">
        <f>INDEX(Projects[Total Timeline (wks)],35)</f>
        <v/>
      </c>
      <c r="T36" s="66">
        <f>INDEX(Projects[Currency],35)&amp;""</f>
        <v/>
      </c>
      <c r="U36" s="67">
        <f>INDEX(Projects[Value (M)],35)</f>
        <v/>
      </c>
      <c r="V36" s="66">
        <f>IF('Smart Search'!B13=1,IFERROR(1/'Smart Search'!H13,0),0)</f>
        <v/>
      </c>
      <c r="W36" s="66">
        <f>IF('Smart Search'!B13=1,IFERROR(1/'Smart Search'!H13,0),0)</f>
        <v/>
      </c>
      <c r="X36" s="66">
        <f>IF('Smart Search'!C13=1,IFERROR(1/'Smart Search'!H13,0),0)</f>
        <v/>
      </c>
      <c r="Y36" s="66">
        <f>IF('Smart Search'!C13=1,IFERROR(1/'Smart Search'!H13,0),0)</f>
        <v/>
      </c>
      <c r="Z36" s="66">
        <f>IF('Smart Search'!D13=1,IFERROR(1/'Smart Search'!H13,0),0)</f>
        <v/>
      </c>
      <c r="AA36" s="66">
        <f>IF('Smart Search'!D13=1,IFERROR(1/'Smart Search'!H13,0),0)</f>
        <v/>
      </c>
      <c r="AB36" s="66">
        <f>IF('Smart Search'!E13=1,IFERROR(1/'Smart Search'!H13,0),0)</f>
        <v/>
      </c>
      <c r="AC36" s="66">
        <f>IF('Smart Search'!E13=1,IFERROR(1/'Smart Search'!H13,0),0)</f>
        <v/>
      </c>
      <c r="AD36" s="66">
        <f>IF('Smart Search'!F13=1,IFERROR(1/'Smart Search'!H13,0),0)</f>
        <v/>
      </c>
      <c r="AE36" s="66">
        <f>IF('Smart Search'!F13=1,IFERROR(1/'Smart Search'!H13,0),0)</f>
        <v/>
      </c>
      <c r="AF36" s="66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66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66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66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66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66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66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66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66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66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66">
        <f>AF36*V36</f>
        <v/>
      </c>
      <c r="AQ36" s="66">
        <f>AG36*W36</f>
        <v/>
      </c>
      <c r="AR36" s="66">
        <f>AH36*X36</f>
        <v/>
      </c>
      <c r="AS36" s="66">
        <f>AI36*Y36</f>
        <v/>
      </c>
      <c r="AT36" s="66">
        <f>AJ36*Z36</f>
        <v/>
      </c>
      <c r="AU36" s="66">
        <f>AK36*AA36</f>
        <v/>
      </c>
      <c r="AV36" s="66">
        <f>AL36*AB36</f>
        <v/>
      </c>
      <c r="AW36" s="66">
        <f>AM36*AC36</f>
        <v/>
      </c>
      <c r="AX36" s="66">
        <f>AN36*AD36</f>
        <v/>
      </c>
      <c r="AY36" s="66">
        <f>AO36*AE36</f>
        <v/>
      </c>
      <c r="AZ36" s="66">
        <f>INDEX(Projects[Automation Equipment],35)&amp;""</f>
        <v/>
      </c>
      <c r="BA36" s="66">
        <f>IF(OR(A36="",'Smart Search'!H13=0),"",MAX(0,BE36*BF36*MAX(0,1-BG36)))</f>
        <v/>
      </c>
      <c r="BB36" s="66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66">
        <f>IF('Smart Search'!G13=1,IFERROR(1/'Smart Search'!H13,0),0)</f>
        <v/>
      </c>
      <c r="BD36" s="66">
        <f>BB36*BC36</f>
        <v/>
      </c>
      <c r="BE36" s="66">
        <f>AP36+AQ36+AR36+AS36+AT36+AU36+AV36+AW36+AX36+AY36+BD36</f>
        <v/>
      </c>
      <c r="BF36" s="5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5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5">
        <f>IF(AND(A36&lt;&gt;"",OR('Smart Search'!$L$5="",'Smart Search'!$L$5="All",TRIM(BZ36)=TRIM('Smart Search'!$L$5)),OR(TRIM('Smart Search'!$L$6)="",TRIM('Smart Search'!$L$6)="All",ISNUMBER(SEARCH(SUBSTITUTE(SUBSTITUTE(SUBSTITUTE(TRIM('Smart Search'!$L$6),"~","~~"),"*","~*"),"?","~?"),CA36))),OR('Smart Search'!$L$7="",AND(CB36&lt;&gt;0,CB36='Smart Search'!$L$7)),OR('Smart Search'!$L$8="",'Smart Search'!$L$8="All",TRIM(CC36)=TRIM('Smart Search'!$L$8))),IF(BA36="","",BA36+ROW()*0.0000000001),"")</f>
        <v/>
      </c>
      <c r="BI36" s="5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5">
        <f>IF(A36="","",N(INDEX(Projects[Mech Inst],35)))</f>
        <v/>
      </c>
      <c r="BK36" s="5">
        <f>IF(A36="","",N(INDEX(Projects[Elec Inst],35)))</f>
        <v/>
      </c>
      <c r="BL36" s="5">
        <f>IF(A36="","",N(INDEX(Projects[Project Management],35)))</f>
        <v/>
      </c>
      <c r="BM36" s="5">
        <f>IF(A36="","",N(INDEX(Projects[Systems Eng],35)))</f>
        <v/>
      </c>
      <c r="BN36" s="5">
        <f>IF(A36="","",N(INDEX(Projects[Mechanical Eng],35)))</f>
        <v/>
      </c>
      <c r="BO36" s="5">
        <f>IF(A36="","",N(INDEX(Projects[Structural Engineering],35)))</f>
        <v/>
      </c>
      <c r="BP36" s="5">
        <f>IF(A36="","",N(INDEX(Projects[Site Sup],35)))</f>
        <v/>
      </c>
      <c r="BQ36" s="5">
        <f>IF(A36="","",N(INDEX(Projects[Controls Commissioning],35)))</f>
        <v/>
      </c>
      <c r="BR36" s="5">
        <f>IF(A36="","",N(INDEX(Projects[Systems Commissioning],35)))</f>
        <v/>
      </c>
      <c r="BS36" s="5">
        <f>IF(A36="","",N(INDEX(Projects[Service Commissioning],35)))</f>
        <v/>
      </c>
      <c r="BT36" s="5">
        <f>IF(A36="","",N(INDEX(Projects[Controls Eng],35)))</f>
        <v/>
      </c>
      <c r="BU36" s="5">
        <f>IF(A36="","",N(INDEX(Projects[Controls Purchase],35)))</f>
        <v/>
      </c>
      <c r="BV36" s="5">
        <f>IF(A36="","",N(INDEX(Projects[Software Eng],35)))</f>
        <v/>
      </c>
      <c r="BW36" s="5">
        <f>IF(A36="","",N(INDEX(Projects[Misc],35)))</f>
        <v/>
      </c>
      <c r="BX36" s="5">
        <f>IF(A36="","",SUM(BJ36:BW36))</f>
        <v/>
      </c>
      <c r="BY36" s="5">
        <f>IF(A36="","",IFERROR(IF(ISNUMBER(U36),U36,VALUE(SUBSTITUTE(SUBSTITUTE(SUBSTITUTE(UPPER(TRIM(U36)),"M",""),",","")," ",""))),0))</f>
        <v/>
      </c>
      <c r="BZ36" s="5">
        <f>INDEX(Projects[Solution Type],35)&amp;""</f>
        <v/>
      </c>
      <c r="CA36" s="5">
        <f>INDEX(Projects[Client / Region],35)&amp;""</f>
        <v/>
      </c>
      <c r="CB36" s="5">
        <f>INDEX(Projects[Year],35)</f>
        <v/>
      </c>
      <c r="CC36" s="5">
        <f>INDEX(Projects[Won?],35)&amp;""</f>
        <v/>
      </c>
      <c r="CD36" s="5">
        <f>INDEX(Projects[Value (USD M)],35)</f>
        <v/>
      </c>
    </row>
    <row r="37" ht="15" customHeight="1" s="74">
      <c r="A37" s="66">
        <f>INDEX(Projects[Project ID *],36)&amp;""</f>
        <v/>
      </c>
      <c r="B37" s="66">
        <f>INDEX(Projects[Project Name *],36)&amp;""</f>
        <v/>
      </c>
      <c r="C37" s="66">
        <f>INDEX(Projects[MS Shuttles],36)</f>
        <v/>
      </c>
      <c r="D37" s="66">
        <f>INDEX(Projects[MS Tote Locations],36)</f>
        <v/>
      </c>
      <c r="E37" s="66">
        <f>INDEX(Projects[AS Robots],36)</f>
        <v/>
      </c>
      <c r="F37" s="66">
        <f>INDEX(Projects[AS Tote Locations],36)</f>
        <v/>
      </c>
      <c r="G37" s="66">
        <f>INDEX(Projects[PS Shuttles],36)</f>
        <v/>
      </c>
      <c r="H37" s="66">
        <f>INDEX(Projects[PS Pallet Locations],36)</f>
        <v/>
      </c>
      <c r="I37" s="66">
        <f>INDEX(Projects[SRM Cranes],36)</f>
        <v/>
      </c>
      <c r="J37" s="66">
        <f>INDEX(Projects[SRM Pallet Locations],36)</f>
        <v/>
      </c>
      <c r="K37" s="66">
        <f>INDEX(Projects[Case Conv (m)],36)</f>
        <v/>
      </c>
      <c r="L37" s="66">
        <f>INDEX(Projects[Pallet Conv (m)],36)</f>
        <v/>
      </c>
      <c r="M37" s="66">
        <f>INDEX(Projects[Mech Eng (wks)],36)</f>
        <v/>
      </c>
      <c r="N37" s="66">
        <f>INDEX(Projects[Controls Eng (wks)],36)</f>
        <v/>
      </c>
      <c r="O37" s="66">
        <f>INDEX(Projects[Systems Eng (wks)],36)</f>
        <v/>
      </c>
      <c r="P37" s="66">
        <f>INDEX(Projects[Software Eng (wks)],36)</f>
        <v/>
      </c>
      <c r="Q37" s="66">
        <f>INDEX(Projects[M&amp;E Installation (wks)],36)</f>
        <v/>
      </c>
      <c r="R37" s="66">
        <f>INDEX(Projects[Commissioning (wks)],36)</f>
        <v/>
      </c>
      <c r="S37" s="66">
        <f>INDEX(Projects[Total Timeline (wks)],36)</f>
        <v/>
      </c>
      <c r="T37" s="66">
        <f>INDEX(Projects[Currency],36)&amp;""</f>
        <v/>
      </c>
      <c r="U37" s="67">
        <f>INDEX(Projects[Value (M)],36)</f>
        <v/>
      </c>
      <c r="V37" s="66">
        <f>IF('Smart Search'!B13=1,IFERROR(1/'Smart Search'!H13,0),0)</f>
        <v/>
      </c>
      <c r="W37" s="66">
        <f>IF('Smart Search'!B13=1,IFERROR(1/'Smart Search'!H13,0),0)</f>
        <v/>
      </c>
      <c r="X37" s="66">
        <f>IF('Smart Search'!C13=1,IFERROR(1/'Smart Search'!H13,0),0)</f>
        <v/>
      </c>
      <c r="Y37" s="66">
        <f>IF('Smart Search'!C13=1,IFERROR(1/'Smart Search'!H13,0),0)</f>
        <v/>
      </c>
      <c r="Z37" s="66">
        <f>IF('Smart Search'!D13=1,IFERROR(1/'Smart Search'!H13,0),0)</f>
        <v/>
      </c>
      <c r="AA37" s="66">
        <f>IF('Smart Search'!D13=1,IFERROR(1/'Smart Search'!H13,0),0)</f>
        <v/>
      </c>
      <c r="AB37" s="66">
        <f>IF('Smart Search'!E13=1,IFERROR(1/'Smart Search'!H13,0),0)</f>
        <v/>
      </c>
      <c r="AC37" s="66">
        <f>IF('Smart Search'!E13=1,IFERROR(1/'Smart Search'!H13,0),0)</f>
        <v/>
      </c>
      <c r="AD37" s="66">
        <f>IF('Smart Search'!F13=1,IFERROR(1/'Smart Search'!H13,0),0)</f>
        <v/>
      </c>
      <c r="AE37" s="66">
        <f>IF('Smart Search'!F13=1,IFERROR(1/'Smart Search'!H13,0),0)</f>
        <v/>
      </c>
      <c r="AF37" s="66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66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66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66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66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66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66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66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66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66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66">
        <f>AF37*V37</f>
        <v/>
      </c>
      <c r="AQ37" s="66">
        <f>AG37*W37</f>
        <v/>
      </c>
      <c r="AR37" s="66">
        <f>AH37*X37</f>
        <v/>
      </c>
      <c r="AS37" s="66">
        <f>AI37*Y37</f>
        <v/>
      </c>
      <c r="AT37" s="66">
        <f>AJ37*Z37</f>
        <v/>
      </c>
      <c r="AU37" s="66">
        <f>AK37*AA37</f>
        <v/>
      </c>
      <c r="AV37" s="66">
        <f>AL37*AB37</f>
        <v/>
      </c>
      <c r="AW37" s="66">
        <f>AM37*AC37</f>
        <v/>
      </c>
      <c r="AX37" s="66">
        <f>AN37*AD37</f>
        <v/>
      </c>
      <c r="AY37" s="66">
        <f>AO37*AE37</f>
        <v/>
      </c>
      <c r="AZ37" s="66">
        <f>INDEX(Projects[Automation Equipment],36)&amp;""</f>
        <v/>
      </c>
      <c r="BA37" s="66">
        <f>IF(OR(A37="",'Smart Search'!H13=0),"",MAX(0,BE37*BF37*MAX(0,1-BG37)))</f>
        <v/>
      </c>
      <c r="BB37" s="66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66">
        <f>IF('Smart Search'!G13=1,IFERROR(1/'Smart Search'!H13,0),0)</f>
        <v/>
      </c>
      <c r="BD37" s="66">
        <f>BB37*BC37</f>
        <v/>
      </c>
      <c r="BE37" s="66">
        <f>AP37+AQ37+AR37+AS37+AT37+AU37+AV37+AW37+AX37+AY37+BD37</f>
        <v/>
      </c>
      <c r="BF37" s="5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5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5">
        <f>IF(AND(A37&lt;&gt;"",OR('Smart Search'!$L$5="",'Smart Search'!$L$5="All",TRIM(BZ37)=TRIM('Smart Search'!$L$5)),OR(TRIM('Smart Search'!$L$6)="",TRIM('Smart Search'!$L$6)="All",ISNUMBER(SEARCH(SUBSTITUTE(SUBSTITUTE(SUBSTITUTE(TRIM('Smart Search'!$L$6),"~","~~"),"*","~*"),"?","~?"),CA37))),OR('Smart Search'!$L$7="",AND(CB37&lt;&gt;0,CB37='Smart Search'!$L$7)),OR('Smart Search'!$L$8="",'Smart Search'!$L$8="All",TRIM(CC37)=TRIM('Smart Search'!$L$8))),IF(BA37="","",BA37+ROW()*0.0000000001),"")</f>
        <v/>
      </c>
      <c r="BI37" s="5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5">
        <f>IF(A37="","",N(INDEX(Projects[Mech Inst],36)))</f>
        <v/>
      </c>
      <c r="BK37" s="5">
        <f>IF(A37="","",N(INDEX(Projects[Elec Inst],36)))</f>
        <v/>
      </c>
      <c r="BL37" s="5">
        <f>IF(A37="","",N(INDEX(Projects[Project Management],36)))</f>
        <v/>
      </c>
      <c r="BM37" s="5">
        <f>IF(A37="","",N(INDEX(Projects[Systems Eng],36)))</f>
        <v/>
      </c>
      <c r="BN37" s="5">
        <f>IF(A37="","",N(INDEX(Projects[Mechanical Eng],36)))</f>
        <v/>
      </c>
      <c r="BO37" s="5">
        <f>IF(A37="","",N(INDEX(Projects[Structural Engineering],36)))</f>
        <v/>
      </c>
      <c r="BP37" s="5">
        <f>IF(A37="","",N(INDEX(Projects[Site Sup],36)))</f>
        <v/>
      </c>
      <c r="BQ37" s="5">
        <f>IF(A37="","",N(INDEX(Projects[Controls Commissioning],36)))</f>
        <v/>
      </c>
      <c r="BR37" s="5">
        <f>IF(A37="","",N(INDEX(Projects[Systems Commissioning],36)))</f>
        <v/>
      </c>
      <c r="BS37" s="5">
        <f>IF(A37="","",N(INDEX(Projects[Service Commissioning],36)))</f>
        <v/>
      </c>
      <c r="BT37" s="5">
        <f>IF(A37="","",N(INDEX(Projects[Controls Eng],36)))</f>
        <v/>
      </c>
      <c r="BU37" s="5">
        <f>IF(A37="","",N(INDEX(Projects[Controls Purchase],36)))</f>
        <v/>
      </c>
      <c r="BV37" s="5">
        <f>IF(A37="","",N(INDEX(Projects[Software Eng],36)))</f>
        <v/>
      </c>
      <c r="BW37" s="5">
        <f>IF(A37="","",N(INDEX(Projects[Misc],36)))</f>
        <v/>
      </c>
      <c r="BX37" s="5">
        <f>IF(A37="","",SUM(BJ37:BW37))</f>
        <v/>
      </c>
      <c r="BY37" s="5">
        <f>IF(A37="","",IFERROR(IF(ISNUMBER(U37),U37,VALUE(SUBSTITUTE(SUBSTITUTE(SUBSTITUTE(UPPER(TRIM(U37)),"M",""),",","")," ",""))),0))</f>
        <v/>
      </c>
      <c r="BZ37" s="5">
        <f>INDEX(Projects[Solution Type],36)&amp;""</f>
        <v/>
      </c>
      <c r="CA37" s="5">
        <f>INDEX(Projects[Client / Region],36)&amp;""</f>
        <v/>
      </c>
      <c r="CB37" s="5">
        <f>INDEX(Projects[Year],36)</f>
        <v/>
      </c>
      <c r="CC37" s="5">
        <f>INDEX(Projects[Won?],36)&amp;""</f>
        <v/>
      </c>
      <c r="CD37" s="5">
        <f>INDEX(Projects[Value (USD M)],36)</f>
        <v/>
      </c>
    </row>
    <row r="38" ht="15" customHeight="1" s="74">
      <c r="A38" s="66">
        <f>INDEX(Projects[Project ID *],37)&amp;""</f>
        <v/>
      </c>
      <c r="B38" s="66">
        <f>INDEX(Projects[Project Name *],37)&amp;""</f>
        <v/>
      </c>
      <c r="C38" s="66">
        <f>INDEX(Projects[MS Shuttles],37)</f>
        <v/>
      </c>
      <c r="D38" s="66">
        <f>INDEX(Projects[MS Tote Locations],37)</f>
        <v/>
      </c>
      <c r="E38" s="66">
        <f>INDEX(Projects[AS Robots],37)</f>
        <v/>
      </c>
      <c r="F38" s="66">
        <f>INDEX(Projects[AS Tote Locations],37)</f>
        <v/>
      </c>
      <c r="G38" s="66">
        <f>INDEX(Projects[PS Shuttles],37)</f>
        <v/>
      </c>
      <c r="H38" s="66">
        <f>INDEX(Projects[PS Pallet Locations],37)</f>
        <v/>
      </c>
      <c r="I38" s="66">
        <f>INDEX(Projects[SRM Cranes],37)</f>
        <v/>
      </c>
      <c r="J38" s="66">
        <f>INDEX(Projects[SRM Pallet Locations],37)</f>
        <v/>
      </c>
      <c r="K38" s="66">
        <f>INDEX(Projects[Case Conv (m)],37)</f>
        <v/>
      </c>
      <c r="L38" s="66">
        <f>INDEX(Projects[Pallet Conv (m)],37)</f>
        <v/>
      </c>
      <c r="M38" s="66">
        <f>INDEX(Projects[Mech Eng (wks)],37)</f>
        <v/>
      </c>
      <c r="N38" s="66">
        <f>INDEX(Projects[Controls Eng (wks)],37)</f>
        <v/>
      </c>
      <c r="O38" s="66">
        <f>INDEX(Projects[Systems Eng (wks)],37)</f>
        <v/>
      </c>
      <c r="P38" s="66">
        <f>INDEX(Projects[Software Eng (wks)],37)</f>
        <v/>
      </c>
      <c r="Q38" s="66">
        <f>INDEX(Projects[M&amp;E Installation (wks)],37)</f>
        <v/>
      </c>
      <c r="R38" s="66">
        <f>INDEX(Projects[Commissioning (wks)],37)</f>
        <v/>
      </c>
      <c r="S38" s="66">
        <f>INDEX(Projects[Total Timeline (wks)],37)</f>
        <v/>
      </c>
      <c r="T38" s="66">
        <f>INDEX(Projects[Currency],37)&amp;""</f>
        <v/>
      </c>
      <c r="U38" s="67">
        <f>INDEX(Projects[Value (M)],37)</f>
        <v/>
      </c>
      <c r="V38" s="66">
        <f>IF('Smart Search'!B13=1,IFERROR(1/'Smart Search'!H13,0),0)</f>
        <v/>
      </c>
      <c r="W38" s="66">
        <f>IF('Smart Search'!B13=1,IFERROR(1/'Smart Search'!H13,0),0)</f>
        <v/>
      </c>
      <c r="X38" s="66">
        <f>IF('Smart Search'!C13=1,IFERROR(1/'Smart Search'!H13,0),0)</f>
        <v/>
      </c>
      <c r="Y38" s="66">
        <f>IF('Smart Search'!C13=1,IFERROR(1/'Smart Search'!H13,0),0)</f>
        <v/>
      </c>
      <c r="Z38" s="66">
        <f>IF('Smart Search'!D13=1,IFERROR(1/'Smart Search'!H13,0),0)</f>
        <v/>
      </c>
      <c r="AA38" s="66">
        <f>IF('Smart Search'!D13=1,IFERROR(1/'Smart Search'!H13,0),0)</f>
        <v/>
      </c>
      <c r="AB38" s="66">
        <f>IF('Smart Search'!E13=1,IFERROR(1/'Smart Search'!H13,0),0)</f>
        <v/>
      </c>
      <c r="AC38" s="66">
        <f>IF('Smart Search'!E13=1,IFERROR(1/'Smart Search'!H13,0),0)</f>
        <v/>
      </c>
      <c r="AD38" s="66">
        <f>IF('Smart Search'!F13=1,IFERROR(1/'Smart Search'!H13,0),0)</f>
        <v/>
      </c>
      <c r="AE38" s="66">
        <f>IF('Smart Search'!F13=1,IFERROR(1/'Smart Search'!H13,0),0)</f>
        <v/>
      </c>
      <c r="AF38" s="66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66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66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66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66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66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66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66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66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66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66">
        <f>AF38*V38</f>
        <v/>
      </c>
      <c r="AQ38" s="66">
        <f>AG38*W38</f>
        <v/>
      </c>
      <c r="AR38" s="66">
        <f>AH38*X38</f>
        <v/>
      </c>
      <c r="AS38" s="66">
        <f>AI38*Y38</f>
        <v/>
      </c>
      <c r="AT38" s="66">
        <f>AJ38*Z38</f>
        <v/>
      </c>
      <c r="AU38" s="66">
        <f>AK38*AA38</f>
        <v/>
      </c>
      <c r="AV38" s="66">
        <f>AL38*AB38</f>
        <v/>
      </c>
      <c r="AW38" s="66">
        <f>AM38*AC38</f>
        <v/>
      </c>
      <c r="AX38" s="66">
        <f>AN38*AD38</f>
        <v/>
      </c>
      <c r="AY38" s="66">
        <f>AO38*AE38</f>
        <v/>
      </c>
      <c r="AZ38" s="66">
        <f>INDEX(Projects[Automation Equipment],37)&amp;""</f>
        <v/>
      </c>
      <c r="BA38" s="66">
        <f>IF(OR(A38="",'Smart Search'!H13=0),"",MAX(0,BE38*BF38*MAX(0,1-BG38)))</f>
        <v/>
      </c>
      <c r="BB38" s="66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66">
        <f>IF('Smart Search'!G13=1,IFERROR(1/'Smart Search'!H13,0),0)</f>
        <v/>
      </c>
      <c r="BD38" s="66">
        <f>BB38*BC38</f>
        <v/>
      </c>
      <c r="BE38" s="66">
        <f>AP38+AQ38+AR38+AS38+AT38+AU38+AV38+AW38+AX38+AY38+BD38</f>
        <v/>
      </c>
      <c r="BF38" s="5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5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5">
        <f>IF(AND(A38&lt;&gt;"",OR('Smart Search'!$L$5="",'Smart Search'!$L$5="All",TRIM(BZ38)=TRIM('Smart Search'!$L$5)),OR(TRIM('Smart Search'!$L$6)="",TRIM('Smart Search'!$L$6)="All",ISNUMBER(SEARCH(SUBSTITUTE(SUBSTITUTE(SUBSTITUTE(TRIM('Smart Search'!$L$6),"~","~~"),"*","~*"),"?","~?"),CA38))),OR('Smart Search'!$L$7="",AND(CB38&lt;&gt;0,CB38='Smart Search'!$L$7)),OR('Smart Search'!$L$8="",'Smart Search'!$L$8="All",TRIM(CC38)=TRIM('Smart Search'!$L$8))),IF(BA38="","",BA38+ROW()*0.0000000001),"")</f>
        <v/>
      </c>
      <c r="BI38" s="5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5">
        <f>IF(A38="","",N(INDEX(Projects[Mech Inst],37)))</f>
        <v/>
      </c>
      <c r="BK38" s="5">
        <f>IF(A38="","",N(INDEX(Projects[Elec Inst],37)))</f>
        <v/>
      </c>
      <c r="BL38" s="5">
        <f>IF(A38="","",N(INDEX(Projects[Project Management],37)))</f>
        <v/>
      </c>
      <c r="BM38" s="5">
        <f>IF(A38="","",N(INDEX(Projects[Systems Eng],37)))</f>
        <v/>
      </c>
      <c r="BN38" s="5">
        <f>IF(A38="","",N(INDEX(Projects[Mechanical Eng],37)))</f>
        <v/>
      </c>
      <c r="BO38" s="5">
        <f>IF(A38="","",N(INDEX(Projects[Structural Engineering],37)))</f>
        <v/>
      </c>
      <c r="BP38" s="5">
        <f>IF(A38="","",N(INDEX(Projects[Site Sup],37)))</f>
        <v/>
      </c>
      <c r="BQ38" s="5">
        <f>IF(A38="","",N(INDEX(Projects[Controls Commissioning],37)))</f>
        <v/>
      </c>
      <c r="BR38" s="5">
        <f>IF(A38="","",N(INDEX(Projects[Systems Commissioning],37)))</f>
        <v/>
      </c>
      <c r="BS38" s="5">
        <f>IF(A38="","",N(INDEX(Projects[Service Commissioning],37)))</f>
        <v/>
      </c>
      <c r="BT38" s="5">
        <f>IF(A38="","",N(INDEX(Projects[Controls Eng],37)))</f>
        <v/>
      </c>
      <c r="BU38" s="5">
        <f>IF(A38="","",N(INDEX(Projects[Controls Purchase],37)))</f>
        <v/>
      </c>
      <c r="BV38" s="5">
        <f>IF(A38="","",N(INDEX(Projects[Software Eng],37)))</f>
        <v/>
      </c>
      <c r="BW38" s="5">
        <f>IF(A38="","",N(INDEX(Projects[Misc],37)))</f>
        <v/>
      </c>
      <c r="BX38" s="5">
        <f>IF(A38="","",SUM(BJ38:BW38))</f>
        <v/>
      </c>
      <c r="BY38" s="5">
        <f>IF(A38="","",IFERROR(IF(ISNUMBER(U38),U38,VALUE(SUBSTITUTE(SUBSTITUTE(SUBSTITUTE(UPPER(TRIM(U38)),"M",""),",","")," ",""))),0))</f>
        <v/>
      </c>
      <c r="BZ38" s="5">
        <f>INDEX(Projects[Solution Type],37)&amp;""</f>
        <v/>
      </c>
      <c r="CA38" s="5">
        <f>INDEX(Projects[Client / Region],37)&amp;""</f>
        <v/>
      </c>
      <c r="CB38" s="5">
        <f>INDEX(Projects[Year],37)</f>
        <v/>
      </c>
      <c r="CC38" s="5">
        <f>INDEX(Projects[Won?],37)&amp;""</f>
        <v/>
      </c>
      <c r="CD38" s="5">
        <f>INDEX(Projects[Value (USD M)],37)</f>
        <v/>
      </c>
    </row>
    <row r="39" ht="15" customHeight="1" s="74">
      <c r="A39" s="66">
        <f>INDEX(Projects[Project ID *],38)&amp;""</f>
        <v/>
      </c>
      <c r="B39" s="66">
        <f>INDEX(Projects[Project Name *],38)&amp;""</f>
        <v/>
      </c>
      <c r="C39" s="66">
        <f>INDEX(Projects[MS Shuttles],38)</f>
        <v/>
      </c>
      <c r="D39" s="66">
        <f>INDEX(Projects[MS Tote Locations],38)</f>
        <v/>
      </c>
      <c r="E39" s="66">
        <f>INDEX(Projects[AS Robots],38)</f>
        <v/>
      </c>
      <c r="F39" s="66">
        <f>INDEX(Projects[AS Tote Locations],38)</f>
        <v/>
      </c>
      <c r="G39" s="66">
        <f>INDEX(Projects[PS Shuttles],38)</f>
        <v/>
      </c>
      <c r="H39" s="66">
        <f>INDEX(Projects[PS Pallet Locations],38)</f>
        <v/>
      </c>
      <c r="I39" s="66">
        <f>INDEX(Projects[SRM Cranes],38)</f>
        <v/>
      </c>
      <c r="J39" s="66">
        <f>INDEX(Projects[SRM Pallet Locations],38)</f>
        <v/>
      </c>
      <c r="K39" s="66">
        <f>INDEX(Projects[Case Conv (m)],38)</f>
        <v/>
      </c>
      <c r="L39" s="66">
        <f>INDEX(Projects[Pallet Conv (m)],38)</f>
        <v/>
      </c>
      <c r="M39" s="66">
        <f>INDEX(Projects[Mech Eng (wks)],38)</f>
        <v/>
      </c>
      <c r="N39" s="66">
        <f>INDEX(Projects[Controls Eng (wks)],38)</f>
        <v/>
      </c>
      <c r="O39" s="66">
        <f>INDEX(Projects[Systems Eng (wks)],38)</f>
        <v/>
      </c>
      <c r="P39" s="66">
        <f>INDEX(Projects[Software Eng (wks)],38)</f>
        <v/>
      </c>
      <c r="Q39" s="66">
        <f>INDEX(Projects[M&amp;E Installation (wks)],38)</f>
        <v/>
      </c>
      <c r="R39" s="66">
        <f>INDEX(Projects[Commissioning (wks)],38)</f>
        <v/>
      </c>
      <c r="S39" s="66">
        <f>INDEX(Projects[Total Timeline (wks)],38)</f>
        <v/>
      </c>
      <c r="T39" s="66">
        <f>INDEX(Projects[Currency],38)&amp;""</f>
        <v/>
      </c>
      <c r="U39" s="67">
        <f>INDEX(Projects[Value (M)],38)</f>
        <v/>
      </c>
      <c r="V39" s="66">
        <f>IF('Smart Search'!B13=1,IFERROR(1/'Smart Search'!H13,0),0)</f>
        <v/>
      </c>
      <c r="W39" s="66">
        <f>IF('Smart Search'!B13=1,IFERROR(1/'Smart Search'!H13,0),0)</f>
        <v/>
      </c>
      <c r="X39" s="66">
        <f>IF('Smart Search'!C13=1,IFERROR(1/'Smart Search'!H13,0),0)</f>
        <v/>
      </c>
      <c r="Y39" s="66">
        <f>IF('Smart Search'!C13=1,IFERROR(1/'Smart Search'!H13,0),0)</f>
        <v/>
      </c>
      <c r="Z39" s="66">
        <f>IF('Smart Search'!D13=1,IFERROR(1/'Smart Search'!H13,0),0)</f>
        <v/>
      </c>
      <c r="AA39" s="66">
        <f>IF('Smart Search'!D13=1,IFERROR(1/'Smart Search'!H13,0),0)</f>
        <v/>
      </c>
      <c r="AB39" s="66">
        <f>IF('Smart Search'!E13=1,IFERROR(1/'Smart Search'!H13,0),0)</f>
        <v/>
      </c>
      <c r="AC39" s="66">
        <f>IF('Smart Search'!E13=1,IFERROR(1/'Smart Search'!H13,0),0)</f>
        <v/>
      </c>
      <c r="AD39" s="66">
        <f>IF('Smart Search'!F13=1,IFERROR(1/'Smart Search'!H13,0),0)</f>
        <v/>
      </c>
      <c r="AE39" s="66">
        <f>IF('Smart Search'!F13=1,IFERROR(1/'Smart Search'!H13,0),0)</f>
        <v/>
      </c>
      <c r="AF39" s="66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66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66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66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66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66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66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66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66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66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66">
        <f>AF39*V39</f>
        <v/>
      </c>
      <c r="AQ39" s="66">
        <f>AG39*W39</f>
        <v/>
      </c>
      <c r="AR39" s="66">
        <f>AH39*X39</f>
        <v/>
      </c>
      <c r="AS39" s="66">
        <f>AI39*Y39</f>
        <v/>
      </c>
      <c r="AT39" s="66">
        <f>AJ39*Z39</f>
        <v/>
      </c>
      <c r="AU39" s="66">
        <f>AK39*AA39</f>
        <v/>
      </c>
      <c r="AV39" s="66">
        <f>AL39*AB39</f>
        <v/>
      </c>
      <c r="AW39" s="66">
        <f>AM39*AC39</f>
        <v/>
      </c>
      <c r="AX39" s="66">
        <f>AN39*AD39</f>
        <v/>
      </c>
      <c r="AY39" s="66">
        <f>AO39*AE39</f>
        <v/>
      </c>
      <c r="AZ39" s="66">
        <f>INDEX(Projects[Automation Equipment],38)&amp;""</f>
        <v/>
      </c>
      <c r="BA39" s="66">
        <f>IF(OR(A39="",'Smart Search'!H13=0),"",MAX(0,BE39*BF39*MAX(0,1-BG39)))</f>
        <v/>
      </c>
      <c r="BB39" s="66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66">
        <f>IF('Smart Search'!G13=1,IFERROR(1/'Smart Search'!H13,0),0)</f>
        <v/>
      </c>
      <c r="BD39" s="66">
        <f>BB39*BC39</f>
        <v/>
      </c>
      <c r="BE39" s="66">
        <f>AP39+AQ39+AR39+AS39+AT39+AU39+AV39+AW39+AX39+AY39+BD39</f>
        <v/>
      </c>
      <c r="BF39" s="5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5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5">
        <f>IF(AND(A39&lt;&gt;"",OR('Smart Search'!$L$5="",'Smart Search'!$L$5="All",TRIM(BZ39)=TRIM('Smart Search'!$L$5)),OR(TRIM('Smart Search'!$L$6)="",TRIM('Smart Search'!$L$6)="All",ISNUMBER(SEARCH(SUBSTITUTE(SUBSTITUTE(SUBSTITUTE(TRIM('Smart Search'!$L$6),"~","~~"),"*","~*"),"?","~?"),CA39))),OR('Smart Search'!$L$7="",AND(CB39&lt;&gt;0,CB39='Smart Search'!$L$7)),OR('Smart Search'!$L$8="",'Smart Search'!$L$8="All",TRIM(CC39)=TRIM('Smart Search'!$L$8))),IF(BA39="","",BA39+ROW()*0.0000000001),"")</f>
        <v/>
      </c>
      <c r="BI39" s="5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5">
        <f>IF(A39="","",N(INDEX(Projects[Mech Inst],38)))</f>
        <v/>
      </c>
      <c r="BK39" s="5">
        <f>IF(A39="","",N(INDEX(Projects[Elec Inst],38)))</f>
        <v/>
      </c>
      <c r="BL39" s="5">
        <f>IF(A39="","",N(INDEX(Projects[Project Management],38)))</f>
        <v/>
      </c>
      <c r="BM39" s="5">
        <f>IF(A39="","",N(INDEX(Projects[Systems Eng],38)))</f>
        <v/>
      </c>
      <c r="BN39" s="5">
        <f>IF(A39="","",N(INDEX(Projects[Mechanical Eng],38)))</f>
        <v/>
      </c>
      <c r="BO39" s="5">
        <f>IF(A39="","",N(INDEX(Projects[Structural Engineering],38)))</f>
        <v/>
      </c>
      <c r="BP39" s="5">
        <f>IF(A39="","",N(INDEX(Projects[Site Sup],38)))</f>
        <v/>
      </c>
      <c r="BQ39" s="5">
        <f>IF(A39="","",N(INDEX(Projects[Controls Commissioning],38)))</f>
        <v/>
      </c>
      <c r="BR39" s="5">
        <f>IF(A39="","",N(INDEX(Projects[Systems Commissioning],38)))</f>
        <v/>
      </c>
      <c r="BS39" s="5">
        <f>IF(A39="","",N(INDEX(Projects[Service Commissioning],38)))</f>
        <v/>
      </c>
      <c r="BT39" s="5">
        <f>IF(A39="","",N(INDEX(Projects[Controls Eng],38)))</f>
        <v/>
      </c>
      <c r="BU39" s="5">
        <f>IF(A39="","",N(INDEX(Projects[Controls Purchase],38)))</f>
        <v/>
      </c>
      <c r="BV39" s="5">
        <f>IF(A39="","",N(INDEX(Projects[Software Eng],38)))</f>
        <v/>
      </c>
      <c r="BW39" s="5">
        <f>IF(A39="","",N(INDEX(Projects[Misc],38)))</f>
        <v/>
      </c>
      <c r="BX39" s="5">
        <f>IF(A39="","",SUM(BJ39:BW39))</f>
        <v/>
      </c>
      <c r="BY39" s="5">
        <f>IF(A39="","",IFERROR(IF(ISNUMBER(U39),U39,VALUE(SUBSTITUTE(SUBSTITUTE(SUBSTITUTE(UPPER(TRIM(U39)),"M",""),",","")," ",""))),0))</f>
        <v/>
      </c>
      <c r="BZ39" s="5">
        <f>INDEX(Projects[Solution Type],38)&amp;""</f>
        <v/>
      </c>
      <c r="CA39" s="5">
        <f>INDEX(Projects[Client / Region],38)&amp;""</f>
        <v/>
      </c>
      <c r="CB39" s="5">
        <f>INDEX(Projects[Year],38)</f>
        <v/>
      </c>
      <c r="CC39" s="5">
        <f>INDEX(Projects[Won?],38)&amp;""</f>
        <v/>
      </c>
      <c r="CD39" s="5">
        <f>INDEX(Projects[Value (USD M)],38)</f>
        <v/>
      </c>
    </row>
    <row r="40" ht="15" customHeight="1" s="74">
      <c r="A40" s="66">
        <f>INDEX(Projects[Project ID *],39)&amp;""</f>
        <v/>
      </c>
      <c r="B40" s="66">
        <f>INDEX(Projects[Project Name *],39)&amp;""</f>
        <v/>
      </c>
      <c r="C40" s="66">
        <f>INDEX(Projects[MS Shuttles],39)</f>
        <v/>
      </c>
      <c r="D40" s="66">
        <f>INDEX(Projects[MS Tote Locations],39)</f>
        <v/>
      </c>
      <c r="E40" s="66">
        <f>INDEX(Projects[AS Robots],39)</f>
        <v/>
      </c>
      <c r="F40" s="66">
        <f>INDEX(Projects[AS Tote Locations],39)</f>
        <v/>
      </c>
      <c r="G40" s="66">
        <f>INDEX(Projects[PS Shuttles],39)</f>
        <v/>
      </c>
      <c r="H40" s="66">
        <f>INDEX(Projects[PS Pallet Locations],39)</f>
        <v/>
      </c>
      <c r="I40" s="66">
        <f>INDEX(Projects[SRM Cranes],39)</f>
        <v/>
      </c>
      <c r="J40" s="66">
        <f>INDEX(Projects[SRM Pallet Locations],39)</f>
        <v/>
      </c>
      <c r="K40" s="66">
        <f>INDEX(Projects[Case Conv (m)],39)</f>
        <v/>
      </c>
      <c r="L40" s="66">
        <f>INDEX(Projects[Pallet Conv (m)],39)</f>
        <v/>
      </c>
      <c r="M40" s="66">
        <f>INDEX(Projects[Mech Eng (wks)],39)</f>
        <v/>
      </c>
      <c r="N40" s="66">
        <f>INDEX(Projects[Controls Eng (wks)],39)</f>
        <v/>
      </c>
      <c r="O40" s="66">
        <f>INDEX(Projects[Systems Eng (wks)],39)</f>
        <v/>
      </c>
      <c r="P40" s="66">
        <f>INDEX(Projects[Software Eng (wks)],39)</f>
        <v/>
      </c>
      <c r="Q40" s="66">
        <f>INDEX(Projects[M&amp;E Installation (wks)],39)</f>
        <v/>
      </c>
      <c r="R40" s="66">
        <f>INDEX(Projects[Commissioning (wks)],39)</f>
        <v/>
      </c>
      <c r="S40" s="66">
        <f>INDEX(Projects[Total Timeline (wks)],39)</f>
        <v/>
      </c>
      <c r="T40" s="66">
        <f>INDEX(Projects[Currency],39)&amp;""</f>
        <v/>
      </c>
      <c r="U40" s="67">
        <f>INDEX(Projects[Value (M)],39)</f>
        <v/>
      </c>
      <c r="V40" s="66">
        <f>IF('Smart Search'!B13=1,IFERROR(1/'Smart Search'!H13,0),0)</f>
        <v/>
      </c>
      <c r="W40" s="66">
        <f>IF('Smart Search'!B13=1,IFERROR(1/'Smart Search'!H13,0),0)</f>
        <v/>
      </c>
      <c r="X40" s="66">
        <f>IF('Smart Search'!C13=1,IFERROR(1/'Smart Search'!H13,0),0)</f>
        <v/>
      </c>
      <c r="Y40" s="66">
        <f>IF('Smart Search'!C13=1,IFERROR(1/'Smart Search'!H13,0),0)</f>
        <v/>
      </c>
      <c r="Z40" s="66">
        <f>IF('Smart Search'!D13=1,IFERROR(1/'Smart Search'!H13,0),0)</f>
        <v/>
      </c>
      <c r="AA40" s="66">
        <f>IF('Smart Search'!D13=1,IFERROR(1/'Smart Search'!H13,0),0)</f>
        <v/>
      </c>
      <c r="AB40" s="66">
        <f>IF('Smart Search'!E13=1,IFERROR(1/'Smart Search'!H13,0),0)</f>
        <v/>
      </c>
      <c r="AC40" s="66">
        <f>IF('Smart Search'!E13=1,IFERROR(1/'Smart Search'!H13,0),0)</f>
        <v/>
      </c>
      <c r="AD40" s="66">
        <f>IF('Smart Search'!F13=1,IFERROR(1/'Smart Search'!H13,0),0)</f>
        <v/>
      </c>
      <c r="AE40" s="66">
        <f>IF('Smart Search'!F13=1,IFERROR(1/'Smart Search'!H13,0),0)</f>
        <v/>
      </c>
      <c r="AF40" s="66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66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66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66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66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66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66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66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66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66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66">
        <f>AF40*V40</f>
        <v/>
      </c>
      <c r="AQ40" s="66">
        <f>AG40*W40</f>
        <v/>
      </c>
      <c r="AR40" s="66">
        <f>AH40*X40</f>
        <v/>
      </c>
      <c r="AS40" s="66">
        <f>AI40*Y40</f>
        <v/>
      </c>
      <c r="AT40" s="66">
        <f>AJ40*Z40</f>
        <v/>
      </c>
      <c r="AU40" s="66">
        <f>AK40*AA40</f>
        <v/>
      </c>
      <c r="AV40" s="66">
        <f>AL40*AB40</f>
        <v/>
      </c>
      <c r="AW40" s="66">
        <f>AM40*AC40</f>
        <v/>
      </c>
      <c r="AX40" s="66">
        <f>AN40*AD40</f>
        <v/>
      </c>
      <c r="AY40" s="66">
        <f>AO40*AE40</f>
        <v/>
      </c>
      <c r="AZ40" s="66">
        <f>INDEX(Projects[Automation Equipment],39)&amp;""</f>
        <v/>
      </c>
      <c r="BA40" s="66">
        <f>IF(OR(A40="",'Smart Search'!H13=0),"",MAX(0,BE40*BF40*MAX(0,1-BG40)))</f>
        <v/>
      </c>
      <c r="BB40" s="66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66">
        <f>IF('Smart Search'!G13=1,IFERROR(1/'Smart Search'!H13,0),0)</f>
        <v/>
      </c>
      <c r="BD40" s="66">
        <f>BB40*BC40</f>
        <v/>
      </c>
      <c r="BE40" s="66">
        <f>AP40+AQ40+AR40+AS40+AT40+AU40+AV40+AW40+AX40+AY40+BD40</f>
        <v/>
      </c>
      <c r="BF40" s="5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5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5">
        <f>IF(AND(A40&lt;&gt;"",OR('Smart Search'!$L$5="",'Smart Search'!$L$5="All",TRIM(BZ40)=TRIM('Smart Search'!$L$5)),OR(TRIM('Smart Search'!$L$6)="",TRIM('Smart Search'!$L$6)="All",ISNUMBER(SEARCH(SUBSTITUTE(SUBSTITUTE(SUBSTITUTE(TRIM('Smart Search'!$L$6),"~","~~"),"*","~*"),"?","~?"),CA40))),OR('Smart Search'!$L$7="",AND(CB40&lt;&gt;0,CB40='Smart Search'!$L$7)),OR('Smart Search'!$L$8="",'Smart Search'!$L$8="All",TRIM(CC40)=TRIM('Smart Search'!$L$8))),IF(BA40="","",BA40+ROW()*0.0000000001),"")</f>
        <v/>
      </c>
      <c r="BI40" s="5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5">
        <f>IF(A40="","",N(INDEX(Projects[Mech Inst],39)))</f>
        <v/>
      </c>
      <c r="BK40" s="5">
        <f>IF(A40="","",N(INDEX(Projects[Elec Inst],39)))</f>
        <v/>
      </c>
      <c r="BL40" s="5">
        <f>IF(A40="","",N(INDEX(Projects[Project Management],39)))</f>
        <v/>
      </c>
      <c r="BM40" s="5">
        <f>IF(A40="","",N(INDEX(Projects[Systems Eng],39)))</f>
        <v/>
      </c>
      <c r="BN40" s="5">
        <f>IF(A40="","",N(INDEX(Projects[Mechanical Eng],39)))</f>
        <v/>
      </c>
      <c r="BO40" s="5">
        <f>IF(A40="","",N(INDEX(Projects[Structural Engineering],39)))</f>
        <v/>
      </c>
      <c r="BP40" s="5">
        <f>IF(A40="","",N(INDEX(Projects[Site Sup],39)))</f>
        <v/>
      </c>
      <c r="BQ40" s="5">
        <f>IF(A40="","",N(INDEX(Projects[Controls Commissioning],39)))</f>
        <v/>
      </c>
      <c r="BR40" s="5">
        <f>IF(A40="","",N(INDEX(Projects[Systems Commissioning],39)))</f>
        <v/>
      </c>
      <c r="BS40" s="5">
        <f>IF(A40="","",N(INDEX(Projects[Service Commissioning],39)))</f>
        <v/>
      </c>
      <c r="BT40" s="5">
        <f>IF(A40="","",N(INDEX(Projects[Controls Eng],39)))</f>
        <v/>
      </c>
      <c r="BU40" s="5">
        <f>IF(A40="","",N(INDEX(Projects[Controls Purchase],39)))</f>
        <v/>
      </c>
      <c r="BV40" s="5">
        <f>IF(A40="","",N(INDEX(Projects[Software Eng],39)))</f>
        <v/>
      </c>
      <c r="BW40" s="5">
        <f>IF(A40="","",N(INDEX(Projects[Misc],39)))</f>
        <v/>
      </c>
      <c r="BX40" s="5">
        <f>IF(A40="","",SUM(BJ40:BW40))</f>
        <v/>
      </c>
      <c r="BY40" s="5">
        <f>IF(A40="","",IFERROR(IF(ISNUMBER(U40),U40,VALUE(SUBSTITUTE(SUBSTITUTE(SUBSTITUTE(UPPER(TRIM(U40)),"M",""),",","")," ",""))),0))</f>
        <v/>
      </c>
      <c r="BZ40" s="5">
        <f>INDEX(Projects[Solution Type],39)&amp;""</f>
        <v/>
      </c>
      <c r="CA40" s="5">
        <f>INDEX(Projects[Client / Region],39)&amp;""</f>
        <v/>
      </c>
      <c r="CB40" s="5">
        <f>INDEX(Projects[Year],39)</f>
        <v/>
      </c>
      <c r="CC40" s="5">
        <f>INDEX(Projects[Won?],39)&amp;""</f>
        <v/>
      </c>
      <c r="CD40" s="5">
        <f>INDEX(Projects[Value (USD M)],39)</f>
        <v/>
      </c>
    </row>
    <row r="41" ht="15" customHeight="1" s="74">
      <c r="A41" s="66">
        <f>INDEX(Projects[Project ID *],40)&amp;""</f>
        <v/>
      </c>
      <c r="B41" s="66">
        <f>INDEX(Projects[Project Name *],40)&amp;""</f>
        <v/>
      </c>
      <c r="C41" s="66">
        <f>INDEX(Projects[MS Shuttles],40)</f>
        <v/>
      </c>
      <c r="D41" s="66">
        <f>INDEX(Projects[MS Tote Locations],40)</f>
        <v/>
      </c>
      <c r="E41" s="66">
        <f>INDEX(Projects[AS Robots],40)</f>
        <v/>
      </c>
      <c r="F41" s="66">
        <f>INDEX(Projects[AS Tote Locations],40)</f>
        <v/>
      </c>
      <c r="G41" s="66">
        <f>INDEX(Projects[PS Shuttles],40)</f>
        <v/>
      </c>
      <c r="H41" s="66">
        <f>INDEX(Projects[PS Pallet Locations],40)</f>
        <v/>
      </c>
      <c r="I41" s="66">
        <f>INDEX(Projects[SRM Cranes],40)</f>
        <v/>
      </c>
      <c r="J41" s="66">
        <f>INDEX(Projects[SRM Pallet Locations],40)</f>
        <v/>
      </c>
      <c r="K41" s="66">
        <f>INDEX(Projects[Case Conv (m)],40)</f>
        <v/>
      </c>
      <c r="L41" s="66">
        <f>INDEX(Projects[Pallet Conv (m)],40)</f>
        <v/>
      </c>
      <c r="M41" s="66">
        <f>INDEX(Projects[Mech Eng (wks)],40)</f>
        <v/>
      </c>
      <c r="N41" s="66">
        <f>INDEX(Projects[Controls Eng (wks)],40)</f>
        <v/>
      </c>
      <c r="O41" s="66">
        <f>INDEX(Projects[Systems Eng (wks)],40)</f>
        <v/>
      </c>
      <c r="P41" s="66">
        <f>INDEX(Projects[Software Eng (wks)],40)</f>
        <v/>
      </c>
      <c r="Q41" s="66">
        <f>INDEX(Projects[M&amp;E Installation (wks)],40)</f>
        <v/>
      </c>
      <c r="R41" s="66">
        <f>INDEX(Projects[Commissioning (wks)],40)</f>
        <v/>
      </c>
      <c r="S41" s="66">
        <f>INDEX(Projects[Total Timeline (wks)],40)</f>
        <v/>
      </c>
      <c r="T41" s="66">
        <f>INDEX(Projects[Currency],40)&amp;""</f>
        <v/>
      </c>
      <c r="U41" s="67">
        <f>INDEX(Projects[Value (M)],40)</f>
        <v/>
      </c>
      <c r="V41" s="66">
        <f>IF('Smart Search'!B13=1,IFERROR(1/'Smart Search'!H13,0),0)</f>
        <v/>
      </c>
      <c r="W41" s="66">
        <f>IF('Smart Search'!B13=1,IFERROR(1/'Smart Search'!H13,0),0)</f>
        <v/>
      </c>
      <c r="X41" s="66">
        <f>IF('Smart Search'!C13=1,IFERROR(1/'Smart Search'!H13,0),0)</f>
        <v/>
      </c>
      <c r="Y41" s="66">
        <f>IF('Smart Search'!C13=1,IFERROR(1/'Smart Search'!H13,0),0)</f>
        <v/>
      </c>
      <c r="Z41" s="66">
        <f>IF('Smart Search'!D13=1,IFERROR(1/'Smart Search'!H13,0),0)</f>
        <v/>
      </c>
      <c r="AA41" s="66">
        <f>IF('Smart Search'!D13=1,IFERROR(1/'Smart Search'!H13,0),0)</f>
        <v/>
      </c>
      <c r="AB41" s="66">
        <f>IF('Smart Search'!E13=1,IFERROR(1/'Smart Search'!H13,0),0)</f>
        <v/>
      </c>
      <c r="AC41" s="66">
        <f>IF('Smart Search'!E13=1,IFERROR(1/'Smart Search'!H13,0),0)</f>
        <v/>
      </c>
      <c r="AD41" s="66">
        <f>IF('Smart Search'!F13=1,IFERROR(1/'Smart Search'!H13,0),0)</f>
        <v/>
      </c>
      <c r="AE41" s="66">
        <f>IF('Smart Search'!F13=1,IFERROR(1/'Smart Search'!H13,0),0)</f>
        <v/>
      </c>
      <c r="AF41" s="66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66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66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66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66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66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66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66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66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66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66">
        <f>AF41*V41</f>
        <v/>
      </c>
      <c r="AQ41" s="66">
        <f>AG41*W41</f>
        <v/>
      </c>
      <c r="AR41" s="66">
        <f>AH41*X41</f>
        <v/>
      </c>
      <c r="AS41" s="66">
        <f>AI41*Y41</f>
        <v/>
      </c>
      <c r="AT41" s="66">
        <f>AJ41*Z41</f>
        <v/>
      </c>
      <c r="AU41" s="66">
        <f>AK41*AA41</f>
        <v/>
      </c>
      <c r="AV41" s="66">
        <f>AL41*AB41</f>
        <v/>
      </c>
      <c r="AW41" s="66">
        <f>AM41*AC41</f>
        <v/>
      </c>
      <c r="AX41" s="66">
        <f>AN41*AD41</f>
        <v/>
      </c>
      <c r="AY41" s="66">
        <f>AO41*AE41</f>
        <v/>
      </c>
      <c r="AZ41" s="66">
        <f>INDEX(Projects[Automation Equipment],40)&amp;""</f>
        <v/>
      </c>
      <c r="BA41" s="66">
        <f>IF(OR(A41="",'Smart Search'!H13=0),"",MAX(0,BE41*BF41*MAX(0,1-BG41)))</f>
        <v/>
      </c>
      <c r="BB41" s="66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66">
        <f>IF('Smart Search'!G13=1,IFERROR(1/'Smart Search'!H13,0),0)</f>
        <v/>
      </c>
      <c r="BD41" s="66">
        <f>BB41*BC41</f>
        <v/>
      </c>
      <c r="BE41" s="66">
        <f>AP41+AQ41+AR41+AS41+AT41+AU41+AV41+AW41+AX41+AY41+BD41</f>
        <v/>
      </c>
      <c r="BF41" s="5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5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5">
        <f>IF(AND(A41&lt;&gt;"",OR('Smart Search'!$L$5="",'Smart Search'!$L$5="All",TRIM(BZ41)=TRIM('Smart Search'!$L$5)),OR(TRIM('Smart Search'!$L$6)="",TRIM('Smart Search'!$L$6)="All",ISNUMBER(SEARCH(SUBSTITUTE(SUBSTITUTE(SUBSTITUTE(TRIM('Smart Search'!$L$6),"~","~~"),"*","~*"),"?","~?"),CA41))),OR('Smart Search'!$L$7="",AND(CB41&lt;&gt;0,CB41='Smart Search'!$L$7)),OR('Smart Search'!$L$8="",'Smart Search'!$L$8="All",TRIM(CC41)=TRIM('Smart Search'!$L$8))),IF(BA41="","",BA41+ROW()*0.0000000001),"")</f>
        <v/>
      </c>
      <c r="BI41" s="5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5">
        <f>IF(A41="","",N(INDEX(Projects[Mech Inst],40)))</f>
        <v/>
      </c>
      <c r="BK41" s="5">
        <f>IF(A41="","",N(INDEX(Projects[Elec Inst],40)))</f>
        <v/>
      </c>
      <c r="BL41" s="5">
        <f>IF(A41="","",N(INDEX(Projects[Project Management],40)))</f>
        <v/>
      </c>
      <c r="BM41" s="5">
        <f>IF(A41="","",N(INDEX(Projects[Systems Eng],40)))</f>
        <v/>
      </c>
      <c r="BN41" s="5">
        <f>IF(A41="","",N(INDEX(Projects[Mechanical Eng],40)))</f>
        <v/>
      </c>
      <c r="BO41" s="5">
        <f>IF(A41="","",N(INDEX(Projects[Structural Engineering],40)))</f>
        <v/>
      </c>
      <c r="BP41" s="5">
        <f>IF(A41="","",N(INDEX(Projects[Site Sup],40)))</f>
        <v/>
      </c>
      <c r="BQ41" s="5">
        <f>IF(A41="","",N(INDEX(Projects[Controls Commissioning],40)))</f>
        <v/>
      </c>
      <c r="BR41" s="5">
        <f>IF(A41="","",N(INDEX(Projects[Systems Commissioning],40)))</f>
        <v/>
      </c>
      <c r="BS41" s="5">
        <f>IF(A41="","",N(INDEX(Projects[Service Commissioning],40)))</f>
        <v/>
      </c>
      <c r="BT41" s="5">
        <f>IF(A41="","",N(INDEX(Projects[Controls Eng],40)))</f>
        <v/>
      </c>
      <c r="BU41" s="5">
        <f>IF(A41="","",N(INDEX(Projects[Controls Purchase],40)))</f>
        <v/>
      </c>
      <c r="BV41" s="5">
        <f>IF(A41="","",N(INDEX(Projects[Software Eng],40)))</f>
        <v/>
      </c>
      <c r="BW41" s="5">
        <f>IF(A41="","",N(INDEX(Projects[Misc],40)))</f>
        <v/>
      </c>
      <c r="BX41" s="5">
        <f>IF(A41="","",SUM(BJ41:BW41))</f>
        <v/>
      </c>
      <c r="BY41" s="5">
        <f>IF(A41="","",IFERROR(IF(ISNUMBER(U41),U41,VALUE(SUBSTITUTE(SUBSTITUTE(SUBSTITUTE(UPPER(TRIM(U41)),"M",""),",","")," ",""))),0))</f>
        <v/>
      </c>
      <c r="BZ41" s="5">
        <f>INDEX(Projects[Solution Type],40)&amp;""</f>
        <v/>
      </c>
      <c r="CA41" s="5">
        <f>INDEX(Projects[Client / Region],40)&amp;""</f>
        <v/>
      </c>
      <c r="CB41" s="5">
        <f>INDEX(Projects[Year],40)</f>
        <v/>
      </c>
      <c r="CC41" s="5">
        <f>INDEX(Projects[Won?],40)&amp;""</f>
        <v/>
      </c>
      <c r="CD41" s="5">
        <f>INDEX(Projects[Value (USD M)],40)</f>
        <v/>
      </c>
    </row>
    <row r="42" ht="15" customHeight="1" s="74">
      <c r="A42" s="66">
        <f>INDEX(Projects[Project ID *],41)&amp;""</f>
        <v/>
      </c>
      <c r="B42" s="66">
        <f>INDEX(Projects[Project Name *],41)&amp;""</f>
        <v/>
      </c>
      <c r="C42" s="66">
        <f>INDEX(Projects[MS Shuttles],41)</f>
        <v/>
      </c>
      <c r="D42" s="66">
        <f>INDEX(Projects[MS Tote Locations],41)</f>
        <v/>
      </c>
      <c r="E42" s="66">
        <f>INDEX(Projects[AS Robots],41)</f>
        <v/>
      </c>
      <c r="F42" s="66">
        <f>INDEX(Projects[AS Tote Locations],41)</f>
        <v/>
      </c>
      <c r="G42" s="66">
        <f>INDEX(Projects[PS Shuttles],41)</f>
        <v/>
      </c>
      <c r="H42" s="66">
        <f>INDEX(Projects[PS Pallet Locations],41)</f>
        <v/>
      </c>
      <c r="I42" s="66">
        <f>INDEX(Projects[SRM Cranes],41)</f>
        <v/>
      </c>
      <c r="J42" s="66">
        <f>INDEX(Projects[SRM Pallet Locations],41)</f>
        <v/>
      </c>
      <c r="K42" s="66">
        <f>INDEX(Projects[Case Conv (m)],41)</f>
        <v/>
      </c>
      <c r="L42" s="66">
        <f>INDEX(Projects[Pallet Conv (m)],41)</f>
        <v/>
      </c>
      <c r="M42" s="66">
        <f>INDEX(Projects[Mech Eng (wks)],41)</f>
        <v/>
      </c>
      <c r="N42" s="66">
        <f>INDEX(Projects[Controls Eng (wks)],41)</f>
        <v/>
      </c>
      <c r="O42" s="66">
        <f>INDEX(Projects[Systems Eng (wks)],41)</f>
        <v/>
      </c>
      <c r="P42" s="66">
        <f>INDEX(Projects[Software Eng (wks)],41)</f>
        <v/>
      </c>
      <c r="Q42" s="66">
        <f>INDEX(Projects[M&amp;E Installation (wks)],41)</f>
        <v/>
      </c>
      <c r="R42" s="66">
        <f>INDEX(Projects[Commissioning (wks)],41)</f>
        <v/>
      </c>
      <c r="S42" s="66">
        <f>INDEX(Projects[Total Timeline (wks)],41)</f>
        <v/>
      </c>
      <c r="T42" s="66">
        <f>INDEX(Projects[Currency],41)&amp;""</f>
        <v/>
      </c>
      <c r="U42" s="67">
        <f>INDEX(Projects[Value (M)],41)</f>
        <v/>
      </c>
      <c r="V42" s="66">
        <f>IF('Smart Search'!B13=1,IFERROR(1/'Smart Search'!H13,0),0)</f>
        <v/>
      </c>
      <c r="W42" s="66">
        <f>IF('Smart Search'!B13=1,IFERROR(1/'Smart Search'!H13,0),0)</f>
        <v/>
      </c>
      <c r="X42" s="66">
        <f>IF('Smart Search'!C13=1,IFERROR(1/'Smart Search'!H13,0),0)</f>
        <v/>
      </c>
      <c r="Y42" s="66">
        <f>IF('Smart Search'!C13=1,IFERROR(1/'Smart Search'!H13,0),0)</f>
        <v/>
      </c>
      <c r="Z42" s="66">
        <f>IF('Smart Search'!D13=1,IFERROR(1/'Smart Search'!H13,0),0)</f>
        <v/>
      </c>
      <c r="AA42" s="66">
        <f>IF('Smart Search'!D13=1,IFERROR(1/'Smart Search'!H13,0),0)</f>
        <v/>
      </c>
      <c r="AB42" s="66">
        <f>IF('Smart Search'!E13=1,IFERROR(1/'Smart Search'!H13,0),0)</f>
        <v/>
      </c>
      <c r="AC42" s="66">
        <f>IF('Smart Search'!E13=1,IFERROR(1/'Smart Search'!H13,0),0)</f>
        <v/>
      </c>
      <c r="AD42" s="66">
        <f>IF('Smart Search'!F13=1,IFERROR(1/'Smart Search'!H13,0),0)</f>
        <v/>
      </c>
      <c r="AE42" s="66">
        <f>IF('Smart Search'!F13=1,IFERROR(1/'Smart Search'!H13,0),0)</f>
        <v/>
      </c>
      <c r="AF42" s="66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66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66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66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66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66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66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66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66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66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66">
        <f>AF42*V42</f>
        <v/>
      </c>
      <c r="AQ42" s="66">
        <f>AG42*W42</f>
        <v/>
      </c>
      <c r="AR42" s="66">
        <f>AH42*X42</f>
        <v/>
      </c>
      <c r="AS42" s="66">
        <f>AI42*Y42</f>
        <v/>
      </c>
      <c r="AT42" s="66">
        <f>AJ42*Z42</f>
        <v/>
      </c>
      <c r="AU42" s="66">
        <f>AK42*AA42</f>
        <v/>
      </c>
      <c r="AV42" s="66">
        <f>AL42*AB42</f>
        <v/>
      </c>
      <c r="AW42" s="66">
        <f>AM42*AC42</f>
        <v/>
      </c>
      <c r="AX42" s="66">
        <f>AN42*AD42</f>
        <v/>
      </c>
      <c r="AY42" s="66">
        <f>AO42*AE42</f>
        <v/>
      </c>
      <c r="AZ42" s="66">
        <f>INDEX(Projects[Automation Equipment],41)&amp;""</f>
        <v/>
      </c>
      <c r="BA42" s="66">
        <f>IF(OR(A42="",'Smart Search'!H13=0),"",MAX(0,BE42*BF42*MAX(0,1-BG42)))</f>
        <v/>
      </c>
      <c r="BB42" s="66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66">
        <f>IF('Smart Search'!G13=1,IFERROR(1/'Smart Search'!H13,0),0)</f>
        <v/>
      </c>
      <c r="BD42" s="66">
        <f>BB42*BC42</f>
        <v/>
      </c>
      <c r="BE42" s="66">
        <f>AP42+AQ42+AR42+AS42+AT42+AU42+AV42+AW42+AX42+AY42+BD42</f>
        <v/>
      </c>
      <c r="BF42" s="5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5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5">
        <f>IF(AND(A42&lt;&gt;"",OR('Smart Search'!$L$5="",'Smart Search'!$L$5="All",TRIM(BZ42)=TRIM('Smart Search'!$L$5)),OR(TRIM('Smart Search'!$L$6)="",TRIM('Smart Search'!$L$6)="All",ISNUMBER(SEARCH(SUBSTITUTE(SUBSTITUTE(SUBSTITUTE(TRIM('Smart Search'!$L$6),"~","~~"),"*","~*"),"?","~?"),CA42))),OR('Smart Search'!$L$7="",AND(CB42&lt;&gt;0,CB42='Smart Search'!$L$7)),OR('Smart Search'!$L$8="",'Smart Search'!$L$8="All",TRIM(CC42)=TRIM('Smart Search'!$L$8))),IF(BA42="","",BA42+ROW()*0.0000000001),"")</f>
        <v/>
      </c>
      <c r="BI42" s="5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5">
        <f>IF(A42="","",N(INDEX(Projects[Mech Inst],41)))</f>
        <v/>
      </c>
      <c r="BK42" s="5">
        <f>IF(A42="","",N(INDEX(Projects[Elec Inst],41)))</f>
        <v/>
      </c>
      <c r="BL42" s="5">
        <f>IF(A42="","",N(INDEX(Projects[Project Management],41)))</f>
        <v/>
      </c>
      <c r="BM42" s="5">
        <f>IF(A42="","",N(INDEX(Projects[Systems Eng],41)))</f>
        <v/>
      </c>
      <c r="BN42" s="5">
        <f>IF(A42="","",N(INDEX(Projects[Mechanical Eng],41)))</f>
        <v/>
      </c>
      <c r="BO42" s="5">
        <f>IF(A42="","",N(INDEX(Projects[Structural Engineering],41)))</f>
        <v/>
      </c>
      <c r="BP42" s="5">
        <f>IF(A42="","",N(INDEX(Projects[Site Sup],41)))</f>
        <v/>
      </c>
      <c r="BQ42" s="5">
        <f>IF(A42="","",N(INDEX(Projects[Controls Commissioning],41)))</f>
        <v/>
      </c>
      <c r="BR42" s="5">
        <f>IF(A42="","",N(INDEX(Projects[Systems Commissioning],41)))</f>
        <v/>
      </c>
      <c r="BS42" s="5">
        <f>IF(A42="","",N(INDEX(Projects[Service Commissioning],41)))</f>
        <v/>
      </c>
      <c r="BT42" s="5">
        <f>IF(A42="","",N(INDEX(Projects[Controls Eng],41)))</f>
        <v/>
      </c>
      <c r="BU42" s="5">
        <f>IF(A42="","",N(INDEX(Projects[Controls Purchase],41)))</f>
        <v/>
      </c>
      <c r="BV42" s="5">
        <f>IF(A42="","",N(INDEX(Projects[Software Eng],41)))</f>
        <v/>
      </c>
      <c r="BW42" s="5">
        <f>IF(A42="","",N(INDEX(Projects[Misc],41)))</f>
        <v/>
      </c>
      <c r="BX42" s="5">
        <f>IF(A42="","",SUM(BJ42:BW42))</f>
        <v/>
      </c>
      <c r="BY42" s="5">
        <f>IF(A42="","",IFERROR(IF(ISNUMBER(U42),U42,VALUE(SUBSTITUTE(SUBSTITUTE(SUBSTITUTE(UPPER(TRIM(U42)),"M",""),",","")," ",""))),0))</f>
        <v/>
      </c>
      <c r="BZ42" s="5">
        <f>INDEX(Projects[Solution Type],41)&amp;""</f>
        <v/>
      </c>
      <c r="CA42" s="5">
        <f>INDEX(Projects[Client / Region],41)&amp;""</f>
        <v/>
      </c>
      <c r="CB42" s="5">
        <f>INDEX(Projects[Year],41)</f>
        <v/>
      </c>
      <c r="CC42" s="5">
        <f>INDEX(Projects[Won?],41)&amp;""</f>
        <v/>
      </c>
      <c r="CD42" s="5">
        <f>INDEX(Projects[Value (USD M)],41)</f>
        <v/>
      </c>
    </row>
    <row r="43" ht="15" customHeight="1" s="74">
      <c r="A43" s="66">
        <f>INDEX(Projects[Project ID *],42)&amp;""</f>
        <v/>
      </c>
      <c r="B43" s="66">
        <f>INDEX(Projects[Project Name *],42)&amp;""</f>
        <v/>
      </c>
      <c r="C43" s="66">
        <f>INDEX(Projects[MS Shuttles],42)</f>
        <v/>
      </c>
      <c r="D43" s="66">
        <f>INDEX(Projects[MS Tote Locations],42)</f>
        <v/>
      </c>
      <c r="E43" s="66">
        <f>INDEX(Projects[AS Robots],42)</f>
        <v/>
      </c>
      <c r="F43" s="66">
        <f>INDEX(Projects[AS Tote Locations],42)</f>
        <v/>
      </c>
      <c r="G43" s="66">
        <f>INDEX(Projects[PS Shuttles],42)</f>
        <v/>
      </c>
      <c r="H43" s="66">
        <f>INDEX(Projects[PS Pallet Locations],42)</f>
        <v/>
      </c>
      <c r="I43" s="66">
        <f>INDEX(Projects[SRM Cranes],42)</f>
        <v/>
      </c>
      <c r="J43" s="66">
        <f>INDEX(Projects[SRM Pallet Locations],42)</f>
        <v/>
      </c>
      <c r="K43" s="66">
        <f>INDEX(Projects[Case Conv (m)],42)</f>
        <v/>
      </c>
      <c r="L43" s="66">
        <f>INDEX(Projects[Pallet Conv (m)],42)</f>
        <v/>
      </c>
      <c r="M43" s="66">
        <f>INDEX(Projects[Mech Eng (wks)],42)</f>
        <v/>
      </c>
      <c r="N43" s="66">
        <f>INDEX(Projects[Controls Eng (wks)],42)</f>
        <v/>
      </c>
      <c r="O43" s="66">
        <f>INDEX(Projects[Systems Eng (wks)],42)</f>
        <v/>
      </c>
      <c r="P43" s="66">
        <f>INDEX(Projects[Software Eng (wks)],42)</f>
        <v/>
      </c>
      <c r="Q43" s="66">
        <f>INDEX(Projects[M&amp;E Installation (wks)],42)</f>
        <v/>
      </c>
      <c r="R43" s="66">
        <f>INDEX(Projects[Commissioning (wks)],42)</f>
        <v/>
      </c>
      <c r="S43" s="66">
        <f>INDEX(Projects[Total Timeline (wks)],42)</f>
        <v/>
      </c>
      <c r="T43" s="66">
        <f>INDEX(Projects[Currency],42)&amp;""</f>
        <v/>
      </c>
      <c r="U43" s="67">
        <f>INDEX(Projects[Value (M)],42)</f>
        <v/>
      </c>
      <c r="V43" s="66">
        <f>IF('Smart Search'!B13=1,IFERROR(1/'Smart Search'!H13,0),0)</f>
        <v/>
      </c>
      <c r="W43" s="66">
        <f>IF('Smart Search'!B13=1,IFERROR(1/'Smart Search'!H13,0),0)</f>
        <v/>
      </c>
      <c r="X43" s="66">
        <f>IF('Smart Search'!C13=1,IFERROR(1/'Smart Search'!H13,0),0)</f>
        <v/>
      </c>
      <c r="Y43" s="66">
        <f>IF('Smart Search'!C13=1,IFERROR(1/'Smart Search'!H13,0),0)</f>
        <v/>
      </c>
      <c r="Z43" s="66">
        <f>IF('Smart Search'!D13=1,IFERROR(1/'Smart Search'!H13,0),0)</f>
        <v/>
      </c>
      <c r="AA43" s="66">
        <f>IF('Smart Search'!D13=1,IFERROR(1/'Smart Search'!H13,0),0)</f>
        <v/>
      </c>
      <c r="AB43" s="66">
        <f>IF('Smart Search'!E13=1,IFERROR(1/'Smart Search'!H13,0),0)</f>
        <v/>
      </c>
      <c r="AC43" s="66">
        <f>IF('Smart Search'!E13=1,IFERROR(1/'Smart Search'!H13,0),0)</f>
        <v/>
      </c>
      <c r="AD43" s="66">
        <f>IF('Smart Search'!F13=1,IFERROR(1/'Smart Search'!H13,0),0)</f>
        <v/>
      </c>
      <c r="AE43" s="66">
        <f>IF('Smart Search'!F13=1,IFERROR(1/'Smart Search'!H13,0),0)</f>
        <v/>
      </c>
      <c r="AF43" s="66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66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66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66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66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66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66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66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66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66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66">
        <f>AF43*V43</f>
        <v/>
      </c>
      <c r="AQ43" s="66">
        <f>AG43*W43</f>
        <v/>
      </c>
      <c r="AR43" s="66">
        <f>AH43*X43</f>
        <v/>
      </c>
      <c r="AS43" s="66">
        <f>AI43*Y43</f>
        <v/>
      </c>
      <c r="AT43" s="66">
        <f>AJ43*Z43</f>
        <v/>
      </c>
      <c r="AU43" s="66">
        <f>AK43*AA43</f>
        <v/>
      </c>
      <c r="AV43" s="66">
        <f>AL43*AB43</f>
        <v/>
      </c>
      <c r="AW43" s="66">
        <f>AM43*AC43</f>
        <v/>
      </c>
      <c r="AX43" s="66">
        <f>AN43*AD43</f>
        <v/>
      </c>
      <c r="AY43" s="66">
        <f>AO43*AE43</f>
        <v/>
      </c>
      <c r="AZ43" s="66">
        <f>INDEX(Projects[Automation Equipment],42)&amp;""</f>
        <v/>
      </c>
      <c r="BA43" s="66">
        <f>IF(OR(A43="",'Smart Search'!H13=0),"",MAX(0,BE43*BF43*MAX(0,1-BG43)))</f>
        <v/>
      </c>
      <c r="BB43" s="66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66">
        <f>IF('Smart Search'!G13=1,IFERROR(1/'Smart Search'!H13,0),0)</f>
        <v/>
      </c>
      <c r="BD43" s="66">
        <f>BB43*BC43</f>
        <v/>
      </c>
      <c r="BE43" s="66">
        <f>AP43+AQ43+AR43+AS43+AT43+AU43+AV43+AW43+AX43+AY43+BD43</f>
        <v/>
      </c>
      <c r="BF43" s="5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5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5">
        <f>IF(AND(A43&lt;&gt;"",OR('Smart Search'!$L$5="",'Smart Search'!$L$5="All",TRIM(BZ43)=TRIM('Smart Search'!$L$5)),OR(TRIM('Smart Search'!$L$6)="",TRIM('Smart Search'!$L$6)="All",ISNUMBER(SEARCH(SUBSTITUTE(SUBSTITUTE(SUBSTITUTE(TRIM('Smart Search'!$L$6),"~","~~"),"*","~*"),"?","~?"),CA43))),OR('Smart Search'!$L$7="",AND(CB43&lt;&gt;0,CB43='Smart Search'!$L$7)),OR('Smart Search'!$L$8="",'Smart Search'!$L$8="All",TRIM(CC43)=TRIM('Smart Search'!$L$8))),IF(BA43="","",BA43+ROW()*0.0000000001),"")</f>
        <v/>
      </c>
      <c r="BI43" s="5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5">
        <f>IF(A43="","",N(INDEX(Projects[Mech Inst],42)))</f>
        <v/>
      </c>
      <c r="BK43" s="5">
        <f>IF(A43="","",N(INDEX(Projects[Elec Inst],42)))</f>
        <v/>
      </c>
      <c r="BL43" s="5">
        <f>IF(A43="","",N(INDEX(Projects[Project Management],42)))</f>
        <v/>
      </c>
      <c r="BM43" s="5">
        <f>IF(A43="","",N(INDEX(Projects[Systems Eng],42)))</f>
        <v/>
      </c>
      <c r="BN43" s="5">
        <f>IF(A43="","",N(INDEX(Projects[Mechanical Eng],42)))</f>
        <v/>
      </c>
      <c r="BO43" s="5">
        <f>IF(A43="","",N(INDEX(Projects[Structural Engineering],42)))</f>
        <v/>
      </c>
      <c r="BP43" s="5">
        <f>IF(A43="","",N(INDEX(Projects[Site Sup],42)))</f>
        <v/>
      </c>
      <c r="BQ43" s="5">
        <f>IF(A43="","",N(INDEX(Projects[Controls Commissioning],42)))</f>
        <v/>
      </c>
      <c r="BR43" s="5">
        <f>IF(A43="","",N(INDEX(Projects[Systems Commissioning],42)))</f>
        <v/>
      </c>
      <c r="BS43" s="5">
        <f>IF(A43="","",N(INDEX(Projects[Service Commissioning],42)))</f>
        <v/>
      </c>
      <c r="BT43" s="5">
        <f>IF(A43="","",N(INDEX(Projects[Controls Eng],42)))</f>
        <v/>
      </c>
      <c r="BU43" s="5">
        <f>IF(A43="","",N(INDEX(Projects[Controls Purchase],42)))</f>
        <v/>
      </c>
      <c r="BV43" s="5">
        <f>IF(A43="","",N(INDEX(Projects[Software Eng],42)))</f>
        <v/>
      </c>
      <c r="BW43" s="5">
        <f>IF(A43="","",N(INDEX(Projects[Misc],42)))</f>
        <v/>
      </c>
      <c r="BX43" s="5">
        <f>IF(A43="","",SUM(BJ43:BW43))</f>
        <v/>
      </c>
      <c r="BY43" s="5">
        <f>IF(A43="","",IFERROR(IF(ISNUMBER(U43),U43,VALUE(SUBSTITUTE(SUBSTITUTE(SUBSTITUTE(UPPER(TRIM(U43)),"M",""),",","")," ",""))),0))</f>
        <v/>
      </c>
      <c r="BZ43" s="5">
        <f>INDEX(Projects[Solution Type],42)&amp;""</f>
        <v/>
      </c>
      <c r="CA43" s="5">
        <f>INDEX(Projects[Client / Region],42)&amp;""</f>
        <v/>
      </c>
      <c r="CB43" s="5">
        <f>INDEX(Projects[Year],42)</f>
        <v/>
      </c>
      <c r="CC43" s="5">
        <f>INDEX(Projects[Won?],42)&amp;""</f>
        <v/>
      </c>
      <c r="CD43" s="5">
        <f>INDEX(Projects[Value (USD M)],42)</f>
        <v/>
      </c>
    </row>
    <row r="44" ht="15" customHeight="1" s="74">
      <c r="A44" s="66">
        <f>INDEX(Projects[Project ID *],43)&amp;""</f>
        <v/>
      </c>
      <c r="B44" s="66">
        <f>INDEX(Projects[Project Name *],43)&amp;""</f>
        <v/>
      </c>
      <c r="C44" s="66">
        <f>INDEX(Projects[MS Shuttles],43)</f>
        <v/>
      </c>
      <c r="D44" s="66">
        <f>INDEX(Projects[MS Tote Locations],43)</f>
        <v/>
      </c>
      <c r="E44" s="66">
        <f>INDEX(Projects[AS Robots],43)</f>
        <v/>
      </c>
      <c r="F44" s="66">
        <f>INDEX(Projects[AS Tote Locations],43)</f>
        <v/>
      </c>
      <c r="G44" s="66">
        <f>INDEX(Projects[PS Shuttles],43)</f>
        <v/>
      </c>
      <c r="H44" s="66">
        <f>INDEX(Projects[PS Pallet Locations],43)</f>
        <v/>
      </c>
      <c r="I44" s="66">
        <f>INDEX(Projects[SRM Cranes],43)</f>
        <v/>
      </c>
      <c r="J44" s="66">
        <f>INDEX(Projects[SRM Pallet Locations],43)</f>
        <v/>
      </c>
      <c r="K44" s="66">
        <f>INDEX(Projects[Case Conv (m)],43)</f>
        <v/>
      </c>
      <c r="L44" s="66">
        <f>INDEX(Projects[Pallet Conv (m)],43)</f>
        <v/>
      </c>
      <c r="M44" s="66">
        <f>INDEX(Projects[Mech Eng (wks)],43)</f>
        <v/>
      </c>
      <c r="N44" s="66">
        <f>INDEX(Projects[Controls Eng (wks)],43)</f>
        <v/>
      </c>
      <c r="O44" s="66">
        <f>INDEX(Projects[Systems Eng (wks)],43)</f>
        <v/>
      </c>
      <c r="P44" s="66">
        <f>INDEX(Projects[Software Eng (wks)],43)</f>
        <v/>
      </c>
      <c r="Q44" s="66">
        <f>INDEX(Projects[M&amp;E Installation (wks)],43)</f>
        <v/>
      </c>
      <c r="R44" s="66">
        <f>INDEX(Projects[Commissioning (wks)],43)</f>
        <v/>
      </c>
      <c r="S44" s="66">
        <f>INDEX(Projects[Total Timeline (wks)],43)</f>
        <v/>
      </c>
      <c r="T44" s="66">
        <f>INDEX(Projects[Currency],43)&amp;""</f>
        <v/>
      </c>
      <c r="U44" s="67">
        <f>INDEX(Projects[Value (M)],43)</f>
        <v/>
      </c>
      <c r="V44" s="66">
        <f>IF('Smart Search'!B13=1,IFERROR(1/'Smart Search'!H13,0),0)</f>
        <v/>
      </c>
      <c r="W44" s="66">
        <f>IF('Smart Search'!B13=1,IFERROR(1/'Smart Search'!H13,0),0)</f>
        <v/>
      </c>
      <c r="X44" s="66">
        <f>IF('Smart Search'!C13=1,IFERROR(1/'Smart Search'!H13,0),0)</f>
        <v/>
      </c>
      <c r="Y44" s="66">
        <f>IF('Smart Search'!C13=1,IFERROR(1/'Smart Search'!H13,0),0)</f>
        <v/>
      </c>
      <c r="Z44" s="66">
        <f>IF('Smart Search'!D13=1,IFERROR(1/'Smart Search'!H13,0),0)</f>
        <v/>
      </c>
      <c r="AA44" s="66">
        <f>IF('Smart Search'!D13=1,IFERROR(1/'Smart Search'!H13,0),0)</f>
        <v/>
      </c>
      <c r="AB44" s="66">
        <f>IF('Smart Search'!E13=1,IFERROR(1/'Smart Search'!H13,0),0)</f>
        <v/>
      </c>
      <c r="AC44" s="66">
        <f>IF('Smart Search'!E13=1,IFERROR(1/'Smart Search'!H13,0),0)</f>
        <v/>
      </c>
      <c r="AD44" s="66">
        <f>IF('Smart Search'!F13=1,IFERROR(1/'Smart Search'!H13,0),0)</f>
        <v/>
      </c>
      <c r="AE44" s="66">
        <f>IF('Smart Search'!F13=1,IFERROR(1/'Smart Search'!H13,0),0)</f>
        <v/>
      </c>
      <c r="AF44" s="66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66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66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66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66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66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66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66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66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66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66">
        <f>AF44*V44</f>
        <v/>
      </c>
      <c r="AQ44" s="66">
        <f>AG44*W44</f>
        <v/>
      </c>
      <c r="AR44" s="66">
        <f>AH44*X44</f>
        <v/>
      </c>
      <c r="AS44" s="66">
        <f>AI44*Y44</f>
        <v/>
      </c>
      <c r="AT44" s="66">
        <f>AJ44*Z44</f>
        <v/>
      </c>
      <c r="AU44" s="66">
        <f>AK44*AA44</f>
        <v/>
      </c>
      <c r="AV44" s="66">
        <f>AL44*AB44</f>
        <v/>
      </c>
      <c r="AW44" s="66">
        <f>AM44*AC44</f>
        <v/>
      </c>
      <c r="AX44" s="66">
        <f>AN44*AD44</f>
        <v/>
      </c>
      <c r="AY44" s="66">
        <f>AO44*AE44</f>
        <v/>
      </c>
      <c r="AZ44" s="66">
        <f>INDEX(Projects[Automation Equipment],43)&amp;""</f>
        <v/>
      </c>
      <c r="BA44" s="66">
        <f>IF(OR(A44="",'Smart Search'!H13=0),"",MAX(0,BE44*BF44*MAX(0,1-BG44)))</f>
        <v/>
      </c>
      <c r="BB44" s="66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66">
        <f>IF('Smart Search'!G13=1,IFERROR(1/'Smart Search'!H13,0),0)</f>
        <v/>
      </c>
      <c r="BD44" s="66">
        <f>BB44*BC44</f>
        <v/>
      </c>
      <c r="BE44" s="66">
        <f>AP44+AQ44+AR44+AS44+AT44+AU44+AV44+AW44+AX44+AY44+BD44</f>
        <v/>
      </c>
      <c r="BF44" s="5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5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5">
        <f>IF(AND(A44&lt;&gt;"",OR('Smart Search'!$L$5="",'Smart Search'!$L$5="All",TRIM(BZ44)=TRIM('Smart Search'!$L$5)),OR(TRIM('Smart Search'!$L$6)="",TRIM('Smart Search'!$L$6)="All",ISNUMBER(SEARCH(SUBSTITUTE(SUBSTITUTE(SUBSTITUTE(TRIM('Smart Search'!$L$6),"~","~~"),"*","~*"),"?","~?"),CA44))),OR('Smart Search'!$L$7="",AND(CB44&lt;&gt;0,CB44='Smart Search'!$L$7)),OR('Smart Search'!$L$8="",'Smart Search'!$L$8="All",TRIM(CC44)=TRIM('Smart Search'!$L$8))),IF(BA44="","",BA44+ROW()*0.0000000001),"")</f>
        <v/>
      </c>
      <c r="BI44" s="5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5">
        <f>IF(A44="","",N(INDEX(Projects[Mech Inst],43)))</f>
        <v/>
      </c>
      <c r="BK44" s="5">
        <f>IF(A44="","",N(INDEX(Projects[Elec Inst],43)))</f>
        <v/>
      </c>
      <c r="BL44" s="5">
        <f>IF(A44="","",N(INDEX(Projects[Project Management],43)))</f>
        <v/>
      </c>
      <c r="BM44" s="5">
        <f>IF(A44="","",N(INDEX(Projects[Systems Eng],43)))</f>
        <v/>
      </c>
      <c r="BN44" s="5">
        <f>IF(A44="","",N(INDEX(Projects[Mechanical Eng],43)))</f>
        <v/>
      </c>
      <c r="BO44" s="5">
        <f>IF(A44="","",N(INDEX(Projects[Structural Engineering],43)))</f>
        <v/>
      </c>
      <c r="BP44" s="5">
        <f>IF(A44="","",N(INDEX(Projects[Site Sup],43)))</f>
        <v/>
      </c>
      <c r="BQ44" s="5">
        <f>IF(A44="","",N(INDEX(Projects[Controls Commissioning],43)))</f>
        <v/>
      </c>
      <c r="BR44" s="5">
        <f>IF(A44="","",N(INDEX(Projects[Systems Commissioning],43)))</f>
        <v/>
      </c>
      <c r="BS44" s="5">
        <f>IF(A44="","",N(INDEX(Projects[Service Commissioning],43)))</f>
        <v/>
      </c>
      <c r="BT44" s="5">
        <f>IF(A44="","",N(INDEX(Projects[Controls Eng],43)))</f>
        <v/>
      </c>
      <c r="BU44" s="5">
        <f>IF(A44="","",N(INDEX(Projects[Controls Purchase],43)))</f>
        <v/>
      </c>
      <c r="BV44" s="5">
        <f>IF(A44="","",N(INDEX(Projects[Software Eng],43)))</f>
        <v/>
      </c>
      <c r="BW44" s="5">
        <f>IF(A44="","",N(INDEX(Projects[Misc],43)))</f>
        <v/>
      </c>
      <c r="BX44" s="5">
        <f>IF(A44="","",SUM(BJ44:BW44))</f>
        <v/>
      </c>
      <c r="BY44" s="5">
        <f>IF(A44="","",IFERROR(IF(ISNUMBER(U44),U44,VALUE(SUBSTITUTE(SUBSTITUTE(SUBSTITUTE(UPPER(TRIM(U44)),"M",""),",","")," ",""))),0))</f>
        <v/>
      </c>
      <c r="BZ44" s="5">
        <f>INDEX(Projects[Solution Type],43)&amp;""</f>
        <v/>
      </c>
      <c r="CA44" s="5">
        <f>INDEX(Projects[Client / Region],43)&amp;""</f>
        <v/>
      </c>
      <c r="CB44" s="5">
        <f>INDEX(Projects[Year],43)</f>
        <v/>
      </c>
      <c r="CC44" s="5">
        <f>INDEX(Projects[Won?],43)&amp;""</f>
        <v/>
      </c>
      <c r="CD44" s="5">
        <f>INDEX(Projects[Value (USD M)],43)</f>
        <v/>
      </c>
    </row>
    <row r="45" ht="15" customHeight="1" s="74">
      <c r="A45" s="66">
        <f>INDEX(Projects[Project ID *],44)&amp;""</f>
        <v/>
      </c>
      <c r="B45" s="66">
        <f>INDEX(Projects[Project Name *],44)&amp;""</f>
        <v/>
      </c>
      <c r="C45" s="66">
        <f>INDEX(Projects[MS Shuttles],44)</f>
        <v/>
      </c>
      <c r="D45" s="66">
        <f>INDEX(Projects[MS Tote Locations],44)</f>
        <v/>
      </c>
      <c r="E45" s="66">
        <f>INDEX(Projects[AS Robots],44)</f>
        <v/>
      </c>
      <c r="F45" s="66">
        <f>INDEX(Projects[AS Tote Locations],44)</f>
        <v/>
      </c>
      <c r="G45" s="66">
        <f>INDEX(Projects[PS Shuttles],44)</f>
        <v/>
      </c>
      <c r="H45" s="66">
        <f>INDEX(Projects[PS Pallet Locations],44)</f>
        <v/>
      </c>
      <c r="I45" s="66">
        <f>INDEX(Projects[SRM Cranes],44)</f>
        <v/>
      </c>
      <c r="J45" s="66">
        <f>INDEX(Projects[SRM Pallet Locations],44)</f>
        <v/>
      </c>
      <c r="K45" s="66">
        <f>INDEX(Projects[Case Conv (m)],44)</f>
        <v/>
      </c>
      <c r="L45" s="66">
        <f>INDEX(Projects[Pallet Conv (m)],44)</f>
        <v/>
      </c>
      <c r="M45" s="66">
        <f>INDEX(Projects[Mech Eng (wks)],44)</f>
        <v/>
      </c>
      <c r="N45" s="66">
        <f>INDEX(Projects[Controls Eng (wks)],44)</f>
        <v/>
      </c>
      <c r="O45" s="66">
        <f>INDEX(Projects[Systems Eng (wks)],44)</f>
        <v/>
      </c>
      <c r="P45" s="66">
        <f>INDEX(Projects[Software Eng (wks)],44)</f>
        <v/>
      </c>
      <c r="Q45" s="66">
        <f>INDEX(Projects[M&amp;E Installation (wks)],44)</f>
        <v/>
      </c>
      <c r="R45" s="66">
        <f>INDEX(Projects[Commissioning (wks)],44)</f>
        <v/>
      </c>
      <c r="S45" s="66">
        <f>INDEX(Projects[Total Timeline (wks)],44)</f>
        <v/>
      </c>
      <c r="T45" s="66">
        <f>INDEX(Projects[Currency],44)&amp;""</f>
        <v/>
      </c>
      <c r="U45" s="67">
        <f>INDEX(Projects[Value (M)],44)</f>
        <v/>
      </c>
      <c r="V45" s="66">
        <f>IF('Smart Search'!B13=1,IFERROR(1/'Smart Search'!H13,0),0)</f>
        <v/>
      </c>
      <c r="W45" s="66">
        <f>IF('Smart Search'!B13=1,IFERROR(1/'Smart Search'!H13,0),0)</f>
        <v/>
      </c>
      <c r="X45" s="66">
        <f>IF('Smart Search'!C13=1,IFERROR(1/'Smart Search'!H13,0),0)</f>
        <v/>
      </c>
      <c r="Y45" s="66">
        <f>IF('Smart Search'!C13=1,IFERROR(1/'Smart Search'!H13,0),0)</f>
        <v/>
      </c>
      <c r="Z45" s="66">
        <f>IF('Smart Search'!D13=1,IFERROR(1/'Smart Search'!H13,0),0)</f>
        <v/>
      </c>
      <c r="AA45" s="66">
        <f>IF('Smart Search'!D13=1,IFERROR(1/'Smart Search'!H13,0),0)</f>
        <v/>
      </c>
      <c r="AB45" s="66">
        <f>IF('Smart Search'!E13=1,IFERROR(1/'Smart Search'!H13,0),0)</f>
        <v/>
      </c>
      <c r="AC45" s="66">
        <f>IF('Smart Search'!E13=1,IFERROR(1/'Smart Search'!H13,0),0)</f>
        <v/>
      </c>
      <c r="AD45" s="66">
        <f>IF('Smart Search'!F13=1,IFERROR(1/'Smart Search'!H13,0),0)</f>
        <v/>
      </c>
      <c r="AE45" s="66">
        <f>IF('Smart Search'!F13=1,IFERROR(1/'Smart Search'!H13,0),0)</f>
        <v/>
      </c>
      <c r="AF45" s="66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66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66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66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66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66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66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66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66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66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66">
        <f>AF45*V45</f>
        <v/>
      </c>
      <c r="AQ45" s="66">
        <f>AG45*W45</f>
        <v/>
      </c>
      <c r="AR45" s="66">
        <f>AH45*X45</f>
        <v/>
      </c>
      <c r="AS45" s="66">
        <f>AI45*Y45</f>
        <v/>
      </c>
      <c r="AT45" s="66">
        <f>AJ45*Z45</f>
        <v/>
      </c>
      <c r="AU45" s="66">
        <f>AK45*AA45</f>
        <v/>
      </c>
      <c r="AV45" s="66">
        <f>AL45*AB45</f>
        <v/>
      </c>
      <c r="AW45" s="66">
        <f>AM45*AC45</f>
        <v/>
      </c>
      <c r="AX45" s="66">
        <f>AN45*AD45</f>
        <v/>
      </c>
      <c r="AY45" s="66">
        <f>AO45*AE45</f>
        <v/>
      </c>
      <c r="AZ45" s="66">
        <f>INDEX(Projects[Automation Equipment],44)&amp;""</f>
        <v/>
      </c>
      <c r="BA45" s="66">
        <f>IF(OR(A45="",'Smart Search'!H13=0),"",MAX(0,BE45*BF45*MAX(0,1-BG45)))</f>
        <v/>
      </c>
      <c r="BB45" s="66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66">
        <f>IF('Smart Search'!G13=1,IFERROR(1/'Smart Search'!H13,0),0)</f>
        <v/>
      </c>
      <c r="BD45" s="66">
        <f>BB45*BC45</f>
        <v/>
      </c>
      <c r="BE45" s="66">
        <f>AP45+AQ45+AR45+AS45+AT45+AU45+AV45+AW45+AX45+AY45+BD45</f>
        <v/>
      </c>
      <c r="BF45" s="5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5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5">
        <f>IF(AND(A45&lt;&gt;"",OR('Smart Search'!$L$5="",'Smart Search'!$L$5="All",TRIM(BZ45)=TRIM('Smart Search'!$L$5)),OR(TRIM('Smart Search'!$L$6)="",TRIM('Smart Search'!$L$6)="All",ISNUMBER(SEARCH(SUBSTITUTE(SUBSTITUTE(SUBSTITUTE(TRIM('Smart Search'!$L$6),"~","~~"),"*","~*"),"?","~?"),CA45))),OR('Smart Search'!$L$7="",AND(CB45&lt;&gt;0,CB45='Smart Search'!$L$7)),OR('Smart Search'!$L$8="",'Smart Search'!$L$8="All",TRIM(CC45)=TRIM('Smart Search'!$L$8))),IF(BA45="","",BA45+ROW()*0.0000000001),"")</f>
        <v/>
      </c>
      <c r="BI45" s="5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5">
        <f>IF(A45="","",N(INDEX(Projects[Mech Inst],44)))</f>
        <v/>
      </c>
      <c r="BK45" s="5">
        <f>IF(A45="","",N(INDEX(Projects[Elec Inst],44)))</f>
        <v/>
      </c>
      <c r="BL45" s="5">
        <f>IF(A45="","",N(INDEX(Projects[Project Management],44)))</f>
        <v/>
      </c>
      <c r="BM45" s="5">
        <f>IF(A45="","",N(INDEX(Projects[Systems Eng],44)))</f>
        <v/>
      </c>
      <c r="BN45" s="5">
        <f>IF(A45="","",N(INDEX(Projects[Mechanical Eng],44)))</f>
        <v/>
      </c>
      <c r="BO45" s="5">
        <f>IF(A45="","",N(INDEX(Projects[Structural Engineering],44)))</f>
        <v/>
      </c>
      <c r="BP45" s="5">
        <f>IF(A45="","",N(INDEX(Projects[Site Sup],44)))</f>
        <v/>
      </c>
      <c r="BQ45" s="5">
        <f>IF(A45="","",N(INDEX(Projects[Controls Commissioning],44)))</f>
        <v/>
      </c>
      <c r="BR45" s="5">
        <f>IF(A45="","",N(INDEX(Projects[Systems Commissioning],44)))</f>
        <v/>
      </c>
      <c r="BS45" s="5">
        <f>IF(A45="","",N(INDEX(Projects[Service Commissioning],44)))</f>
        <v/>
      </c>
      <c r="BT45" s="5">
        <f>IF(A45="","",N(INDEX(Projects[Controls Eng],44)))</f>
        <v/>
      </c>
      <c r="BU45" s="5">
        <f>IF(A45="","",N(INDEX(Projects[Controls Purchase],44)))</f>
        <v/>
      </c>
      <c r="BV45" s="5">
        <f>IF(A45="","",N(INDEX(Projects[Software Eng],44)))</f>
        <v/>
      </c>
      <c r="BW45" s="5">
        <f>IF(A45="","",N(INDEX(Projects[Misc],44)))</f>
        <v/>
      </c>
      <c r="BX45" s="5">
        <f>IF(A45="","",SUM(BJ45:BW45))</f>
        <v/>
      </c>
      <c r="BY45" s="5">
        <f>IF(A45="","",IFERROR(IF(ISNUMBER(U45),U45,VALUE(SUBSTITUTE(SUBSTITUTE(SUBSTITUTE(UPPER(TRIM(U45)),"M",""),",","")," ",""))),0))</f>
        <v/>
      </c>
      <c r="BZ45" s="5">
        <f>INDEX(Projects[Solution Type],44)&amp;""</f>
        <v/>
      </c>
      <c r="CA45" s="5">
        <f>INDEX(Projects[Client / Region],44)&amp;""</f>
        <v/>
      </c>
      <c r="CB45" s="5">
        <f>INDEX(Projects[Year],44)</f>
        <v/>
      </c>
      <c r="CC45" s="5">
        <f>INDEX(Projects[Won?],44)&amp;""</f>
        <v/>
      </c>
      <c r="CD45" s="5">
        <f>INDEX(Projects[Value (USD M)],44)</f>
        <v/>
      </c>
    </row>
    <row r="46" ht="15" customHeight="1" s="74">
      <c r="A46" s="66">
        <f>INDEX(Projects[Project ID *],45)&amp;""</f>
        <v/>
      </c>
      <c r="B46" s="66">
        <f>INDEX(Projects[Project Name *],45)&amp;""</f>
        <v/>
      </c>
      <c r="C46" s="66">
        <f>INDEX(Projects[MS Shuttles],45)</f>
        <v/>
      </c>
      <c r="D46" s="66">
        <f>INDEX(Projects[MS Tote Locations],45)</f>
        <v/>
      </c>
      <c r="E46" s="66">
        <f>INDEX(Projects[AS Robots],45)</f>
        <v/>
      </c>
      <c r="F46" s="66">
        <f>INDEX(Projects[AS Tote Locations],45)</f>
        <v/>
      </c>
      <c r="G46" s="66">
        <f>INDEX(Projects[PS Shuttles],45)</f>
        <v/>
      </c>
      <c r="H46" s="66">
        <f>INDEX(Projects[PS Pallet Locations],45)</f>
        <v/>
      </c>
      <c r="I46" s="66">
        <f>INDEX(Projects[SRM Cranes],45)</f>
        <v/>
      </c>
      <c r="J46" s="66">
        <f>INDEX(Projects[SRM Pallet Locations],45)</f>
        <v/>
      </c>
      <c r="K46" s="66">
        <f>INDEX(Projects[Case Conv (m)],45)</f>
        <v/>
      </c>
      <c r="L46" s="66">
        <f>INDEX(Projects[Pallet Conv (m)],45)</f>
        <v/>
      </c>
      <c r="M46" s="66">
        <f>INDEX(Projects[Mech Eng (wks)],45)</f>
        <v/>
      </c>
      <c r="N46" s="66">
        <f>INDEX(Projects[Controls Eng (wks)],45)</f>
        <v/>
      </c>
      <c r="O46" s="66">
        <f>INDEX(Projects[Systems Eng (wks)],45)</f>
        <v/>
      </c>
      <c r="P46" s="66">
        <f>INDEX(Projects[Software Eng (wks)],45)</f>
        <v/>
      </c>
      <c r="Q46" s="66">
        <f>INDEX(Projects[M&amp;E Installation (wks)],45)</f>
        <v/>
      </c>
      <c r="R46" s="66">
        <f>INDEX(Projects[Commissioning (wks)],45)</f>
        <v/>
      </c>
      <c r="S46" s="66">
        <f>INDEX(Projects[Total Timeline (wks)],45)</f>
        <v/>
      </c>
      <c r="T46" s="66">
        <f>INDEX(Projects[Currency],45)&amp;""</f>
        <v/>
      </c>
      <c r="U46" s="67">
        <f>INDEX(Projects[Value (M)],45)</f>
        <v/>
      </c>
      <c r="V46" s="66">
        <f>IF('Smart Search'!B13=1,IFERROR(1/'Smart Search'!H13,0),0)</f>
        <v/>
      </c>
      <c r="W46" s="66">
        <f>IF('Smart Search'!B13=1,IFERROR(1/'Smart Search'!H13,0),0)</f>
        <v/>
      </c>
      <c r="X46" s="66">
        <f>IF('Smart Search'!C13=1,IFERROR(1/'Smart Search'!H13,0),0)</f>
        <v/>
      </c>
      <c r="Y46" s="66">
        <f>IF('Smart Search'!C13=1,IFERROR(1/'Smart Search'!H13,0),0)</f>
        <v/>
      </c>
      <c r="Z46" s="66">
        <f>IF('Smart Search'!D13=1,IFERROR(1/'Smart Search'!H13,0),0)</f>
        <v/>
      </c>
      <c r="AA46" s="66">
        <f>IF('Smart Search'!D13=1,IFERROR(1/'Smart Search'!H13,0),0)</f>
        <v/>
      </c>
      <c r="AB46" s="66">
        <f>IF('Smart Search'!E13=1,IFERROR(1/'Smart Search'!H13,0),0)</f>
        <v/>
      </c>
      <c r="AC46" s="66">
        <f>IF('Smart Search'!E13=1,IFERROR(1/'Smart Search'!H13,0),0)</f>
        <v/>
      </c>
      <c r="AD46" s="66">
        <f>IF('Smart Search'!F13=1,IFERROR(1/'Smart Search'!H13,0),0)</f>
        <v/>
      </c>
      <c r="AE46" s="66">
        <f>IF('Smart Search'!F13=1,IFERROR(1/'Smart Search'!H13,0),0)</f>
        <v/>
      </c>
      <c r="AF46" s="66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66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66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66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66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66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66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66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66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66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66">
        <f>AF46*V46</f>
        <v/>
      </c>
      <c r="AQ46" s="66">
        <f>AG46*W46</f>
        <v/>
      </c>
      <c r="AR46" s="66">
        <f>AH46*X46</f>
        <v/>
      </c>
      <c r="AS46" s="66">
        <f>AI46*Y46</f>
        <v/>
      </c>
      <c r="AT46" s="66">
        <f>AJ46*Z46</f>
        <v/>
      </c>
      <c r="AU46" s="66">
        <f>AK46*AA46</f>
        <v/>
      </c>
      <c r="AV46" s="66">
        <f>AL46*AB46</f>
        <v/>
      </c>
      <c r="AW46" s="66">
        <f>AM46*AC46</f>
        <v/>
      </c>
      <c r="AX46" s="66">
        <f>AN46*AD46</f>
        <v/>
      </c>
      <c r="AY46" s="66">
        <f>AO46*AE46</f>
        <v/>
      </c>
      <c r="AZ46" s="66">
        <f>INDEX(Projects[Automation Equipment],45)&amp;""</f>
        <v/>
      </c>
      <c r="BA46" s="66">
        <f>IF(OR(A46="",'Smart Search'!H13=0),"",MAX(0,BE46*BF46*MAX(0,1-BG46)))</f>
        <v/>
      </c>
      <c r="BB46" s="66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66">
        <f>IF('Smart Search'!G13=1,IFERROR(1/'Smart Search'!H13,0),0)</f>
        <v/>
      </c>
      <c r="BD46" s="66">
        <f>BB46*BC46</f>
        <v/>
      </c>
      <c r="BE46" s="66">
        <f>AP46+AQ46+AR46+AS46+AT46+AU46+AV46+AW46+AX46+AY46+BD46</f>
        <v/>
      </c>
      <c r="BF46" s="5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5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5">
        <f>IF(AND(A46&lt;&gt;"",OR('Smart Search'!$L$5="",'Smart Search'!$L$5="All",TRIM(BZ46)=TRIM('Smart Search'!$L$5)),OR(TRIM('Smart Search'!$L$6)="",TRIM('Smart Search'!$L$6)="All",ISNUMBER(SEARCH(SUBSTITUTE(SUBSTITUTE(SUBSTITUTE(TRIM('Smart Search'!$L$6),"~","~~"),"*","~*"),"?","~?"),CA46))),OR('Smart Search'!$L$7="",AND(CB46&lt;&gt;0,CB46='Smart Search'!$L$7)),OR('Smart Search'!$L$8="",'Smart Search'!$L$8="All",TRIM(CC46)=TRIM('Smart Search'!$L$8))),IF(BA46="","",BA46+ROW()*0.0000000001),"")</f>
        <v/>
      </c>
      <c r="BI46" s="5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5">
        <f>IF(A46="","",N(INDEX(Projects[Mech Inst],45)))</f>
        <v/>
      </c>
      <c r="BK46" s="5">
        <f>IF(A46="","",N(INDEX(Projects[Elec Inst],45)))</f>
        <v/>
      </c>
      <c r="BL46" s="5">
        <f>IF(A46="","",N(INDEX(Projects[Project Management],45)))</f>
        <v/>
      </c>
      <c r="BM46" s="5">
        <f>IF(A46="","",N(INDEX(Projects[Systems Eng],45)))</f>
        <v/>
      </c>
      <c r="BN46" s="5">
        <f>IF(A46="","",N(INDEX(Projects[Mechanical Eng],45)))</f>
        <v/>
      </c>
      <c r="BO46" s="5">
        <f>IF(A46="","",N(INDEX(Projects[Structural Engineering],45)))</f>
        <v/>
      </c>
      <c r="BP46" s="5">
        <f>IF(A46="","",N(INDEX(Projects[Site Sup],45)))</f>
        <v/>
      </c>
      <c r="BQ46" s="5">
        <f>IF(A46="","",N(INDEX(Projects[Controls Commissioning],45)))</f>
        <v/>
      </c>
      <c r="BR46" s="5">
        <f>IF(A46="","",N(INDEX(Projects[Systems Commissioning],45)))</f>
        <v/>
      </c>
      <c r="BS46" s="5">
        <f>IF(A46="","",N(INDEX(Projects[Service Commissioning],45)))</f>
        <v/>
      </c>
      <c r="BT46" s="5">
        <f>IF(A46="","",N(INDEX(Projects[Controls Eng],45)))</f>
        <v/>
      </c>
      <c r="BU46" s="5">
        <f>IF(A46="","",N(INDEX(Projects[Controls Purchase],45)))</f>
        <v/>
      </c>
      <c r="BV46" s="5">
        <f>IF(A46="","",N(INDEX(Projects[Software Eng],45)))</f>
        <v/>
      </c>
      <c r="BW46" s="5">
        <f>IF(A46="","",N(INDEX(Projects[Misc],45)))</f>
        <v/>
      </c>
      <c r="BX46" s="5">
        <f>IF(A46="","",SUM(BJ46:BW46))</f>
        <v/>
      </c>
      <c r="BY46" s="5">
        <f>IF(A46="","",IFERROR(IF(ISNUMBER(U46),U46,VALUE(SUBSTITUTE(SUBSTITUTE(SUBSTITUTE(UPPER(TRIM(U46)),"M",""),",","")," ",""))),0))</f>
        <v/>
      </c>
      <c r="BZ46" s="5">
        <f>INDEX(Projects[Solution Type],45)&amp;""</f>
        <v/>
      </c>
      <c r="CA46" s="5">
        <f>INDEX(Projects[Client / Region],45)&amp;""</f>
        <v/>
      </c>
      <c r="CB46" s="5">
        <f>INDEX(Projects[Year],45)</f>
        <v/>
      </c>
      <c r="CC46" s="5">
        <f>INDEX(Projects[Won?],45)&amp;""</f>
        <v/>
      </c>
      <c r="CD46" s="5">
        <f>INDEX(Projects[Value (USD M)],45)</f>
        <v/>
      </c>
    </row>
    <row r="47" ht="15" customHeight="1" s="74">
      <c r="A47" s="66">
        <f>INDEX(Projects[Project ID *],46)&amp;""</f>
        <v/>
      </c>
      <c r="B47" s="66">
        <f>INDEX(Projects[Project Name *],46)&amp;""</f>
        <v/>
      </c>
      <c r="C47" s="66">
        <f>INDEX(Projects[MS Shuttles],46)</f>
        <v/>
      </c>
      <c r="D47" s="66">
        <f>INDEX(Projects[MS Tote Locations],46)</f>
        <v/>
      </c>
      <c r="E47" s="66">
        <f>INDEX(Projects[AS Robots],46)</f>
        <v/>
      </c>
      <c r="F47" s="66">
        <f>INDEX(Projects[AS Tote Locations],46)</f>
        <v/>
      </c>
      <c r="G47" s="66">
        <f>INDEX(Projects[PS Shuttles],46)</f>
        <v/>
      </c>
      <c r="H47" s="66">
        <f>INDEX(Projects[PS Pallet Locations],46)</f>
        <v/>
      </c>
      <c r="I47" s="66">
        <f>INDEX(Projects[SRM Cranes],46)</f>
        <v/>
      </c>
      <c r="J47" s="66">
        <f>INDEX(Projects[SRM Pallet Locations],46)</f>
        <v/>
      </c>
      <c r="K47" s="66">
        <f>INDEX(Projects[Case Conv (m)],46)</f>
        <v/>
      </c>
      <c r="L47" s="66">
        <f>INDEX(Projects[Pallet Conv (m)],46)</f>
        <v/>
      </c>
      <c r="M47" s="66">
        <f>INDEX(Projects[Mech Eng (wks)],46)</f>
        <v/>
      </c>
      <c r="N47" s="66">
        <f>INDEX(Projects[Controls Eng (wks)],46)</f>
        <v/>
      </c>
      <c r="O47" s="66">
        <f>INDEX(Projects[Systems Eng (wks)],46)</f>
        <v/>
      </c>
      <c r="P47" s="66">
        <f>INDEX(Projects[Software Eng (wks)],46)</f>
        <v/>
      </c>
      <c r="Q47" s="66">
        <f>INDEX(Projects[M&amp;E Installation (wks)],46)</f>
        <v/>
      </c>
      <c r="R47" s="66">
        <f>INDEX(Projects[Commissioning (wks)],46)</f>
        <v/>
      </c>
      <c r="S47" s="66">
        <f>INDEX(Projects[Total Timeline (wks)],46)</f>
        <v/>
      </c>
      <c r="T47" s="66">
        <f>INDEX(Projects[Currency],46)&amp;""</f>
        <v/>
      </c>
      <c r="U47" s="67">
        <f>INDEX(Projects[Value (M)],46)</f>
        <v/>
      </c>
      <c r="V47" s="66">
        <f>IF('Smart Search'!B13=1,IFERROR(1/'Smart Search'!H13,0),0)</f>
        <v/>
      </c>
      <c r="W47" s="66">
        <f>IF('Smart Search'!B13=1,IFERROR(1/'Smart Search'!H13,0),0)</f>
        <v/>
      </c>
      <c r="X47" s="66">
        <f>IF('Smart Search'!C13=1,IFERROR(1/'Smart Search'!H13,0),0)</f>
        <v/>
      </c>
      <c r="Y47" s="66">
        <f>IF('Smart Search'!C13=1,IFERROR(1/'Smart Search'!H13,0),0)</f>
        <v/>
      </c>
      <c r="Z47" s="66">
        <f>IF('Smart Search'!D13=1,IFERROR(1/'Smart Search'!H13,0),0)</f>
        <v/>
      </c>
      <c r="AA47" s="66">
        <f>IF('Smart Search'!D13=1,IFERROR(1/'Smart Search'!H13,0),0)</f>
        <v/>
      </c>
      <c r="AB47" s="66">
        <f>IF('Smart Search'!E13=1,IFERROR(1/'Smart Search'!H13,0),0)</f>
        <v/>
      </c>
      <c r="AC47" s="66">
        <f>IF('Smart Search'!E13=1,IFERROR(1/'Smart Search'!H13,0),0)</f>
        <v/>
      </c>
      <c r="AD47" s="66">
        <f>IF('Smart Search'!F13=1,IFERROR(1/'Smart Search'!H13,0),0)</f>
        <v/>
      </c>
      <c r="AE47" s="66">
        <f>IF('Smart Search'!F13=1,IFERROR(1/'Smart Search'!H13,0),0)</f>
        <v/>
      </c>
      <c r="AF47" s="66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66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66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66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66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66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66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66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66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66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66">
        <f>AF47*V47</f>
        <v/>
      </c>
      <c r="AQ47" s="66">
        <f>AG47*W47</f>
        <v/>
      </c>
      <c r="AR47" s="66">
        <f>AH47*X47</f>
        <v/>
      </c>
      <c r="AS47" s="66">
        <f>AI47*Y47</f>
        <v/>
      </c>
      <c r="AT47" s="66">
        <f>AJ47*Z47</f>
        <v/>
      </c>
      <c r="AU47" s="66">
        <f>AK47*AA47</f>
        <v/>
      </c>
      <c r="AV47" s="66">
        <f>AL47*AB47</f>
        <v/>
      </c>
      <c r="AW47" s="66">
        <f>AM47*AC47</f>
        <v/>
      </c>
      <c r="AX47" s="66">
        <f>AN47*AD47</f>
        <v/>
      </c>
      <c r="AY47" s="66">
        <f>AO47*AE47</f>
        <v/>
      </c>
      <c r="AZ47" s="66">
        <f>INDEX(Projects[Automation Equipment],46)&amp;""</f>
        <v/>
      </c>
      <c r="BA47" s="66">
        <f>IF(OR(A47="",'Smart Search'!H13=0),"",MAX(0,BE47*BF47*MAX(0,1-BG47)))</f>
        <v/>
      </c>
      <c r="BB47" s="66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66">
        <f>IF('Smart Search'!G13=1,IFERROR(1/'Smart Search'!H13,0),0)</f>
        <v/>
      </c>
      <c r="BD47" s="66">
        <f>BB47*BC47</f>
        <v/>
      </c>
      <c r="BE47" s="66">
        <f>AP47+AQ47+AR47+AS47+AT47+AU47+AV47+AW47+AX47+AY47+BD47</f>
        <v/>
      </c>
      <c r="BF47" s="5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5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5">
        <f>IF(AND(A47&lt;&gt;"",OR('Smart Search'!$L$5="",'Smart Search'!$L$5="All",TRIM(BZ47)=TRIM('Smart Search'!$L$5)),OR(TRIM('Smart Search'!$L$6)="",TRIM('Smart Search'!$L$6)="All",ISNUMBER(SEARCH(SUBSTITUTE(SUBSTITUTE(SUBSTITUTE(TRIM('Smart Search'!$L$6),"~","~~"),"*","~*"),"?","~?"),CA47))),OR('Smart Search'!$L$7="",AND(CB47&lt;&gt;0,CB47='Smart Search'!$L$7)),OR('Smart Search'!$L$8="",'Smart Search'!$L$8="All",TRIM(CC47)=TRIM('Smart Search'!$L$8))),IF(BA47="","",BA47+ROW()*0.0000000001),"")</f>
        <v/>
      </c>
      <c r="BI47" s="5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5">
        <f>IF(A47="","",N(INDEX(Projects[Mech Inst],46)))</f>
        <v/>
      </c>
      <c r="BK47" s="5">
        <f>IF(A47="","",N(INDEX(Projects[Elec Inst],46)))</f>
        <v/>
      </c>
      <c r="BL47" s="5">
        <f>IF(A47="","",N(INDEX(Projects[Project Management],46)))</f>
        <v/>
      </c>
      <c r="BM47" s="5">
        <f>IF(A47="","",N(INDEX(Projects[Systems Eng],46)))</f>
        <v/>
      </c>
      <c r="BN47" s="5">
        <f>IF(A47="","",N(INDEX(Projects[Mechanical Eng],46)))</f>
        <v/>
      </c>
      <c r="BO47" s="5">
        <f>IF(A47="","",N(INDEX(Projects[Structural Engineering],46)))</f>
        <v/>
      </c>
      <c r="BP47" s="5">
        <f>IF(A47="","",N(INDEX(Projects[Site Sup],46)))</f>
        <v/>
      </c>
      <c r="BQ47" s="5">
        <f>IF(A47="","",N(INDEX(Projects[Controls Commissioning],46)))</f>
        <v/>
      </c>
      <c r="BR47" s="5">
        <f>IF(A47="","",N(INDEX(Projects[Systems Commissioning],46)))</f>
        <v/>
      </c>
      <c r="BS47" s="5">
        <f>IF(A47="","",N(INDEX(Projects[Service Commissioning],46)))</f>
        <v/>
      </c>
      <c r="BT47" s="5">
        <f>IF(A47="","",N(INDEX(Projects[Controls Eng],46)))</f>
        <v/>
      </c>
      <c r="BU47" s="5">
        <f>IF(A47="","",N(INDEX(Projects[Controls Purchase],46)))</f>
        <v/>
      </c>
      <c r="BV47" s="5">
        <f>IF(A47="","",N(INDEX(Projects[Software Eng],46)))</f>
        <v/>
      </c>
      <c r="BW47" s="5">
        <f>IF(A47="","",N(INDEX(Projects[Misc],46)))</f>
        <v/>
      </c>
      <c r="BX47" s="5">
        <f>IF(A47="","",SUM(BJ47:BW47))</f>
        <v/>
      </c>
      <c r="BY47" s="5">
        <f>IF(A47="","",IFERROR(IF(ISNUMBER(U47),U47,VALUE(SUBSTITUTE(SUBSTITUTE(SUBSTITUTE(UPPER(TRIM(U47)),"M",""),",","")," ",""))),0))</f>
        <v/>
      </c>
      <c r="BZ47" s="5">
        <f>INDEX(Projects[Solution Type],46)&amp;""</f>
        <v/>
      </c>
      <c r="CA47" s="5">
        <f>INDEX(Projects[Client / Region],46)&amp;""</f>
        <v/>
      </c>
      <c r="CB47" s="5">
        <f>INDEX(Projects[Year],46)</f>
        <v/>
      </c>
      <c r="CC47" s="5">
        <f>INDEX(Projects[Won?],46)&amp;""</f>
        <v/>
      </c>
      <c r="CD47" s="5">
        <f>INDEX(Projects[Value (USD M)],46)</f>
        <v/>
      </c>
    </row>
    <row r="48" ht="15" customHeight="1" s="74">
      <c r="A48" s="66">
        <f>INDEX(Projects[Project ID *],47)&amp;""</f>
        <v/>
      </c>
      <c r="B48" s="66">
        <f>INDEX(Projects[Project Name *],47)&amp;""</f>
        <v/>
      </c>
      <c r="C48" s="66">
        <f>INDEX(Projects[MS Shuttles],47)</f>
        <v/>
      </c>
      <c r="D48" s="66">
        <f>INDEX(Projects[MS Tote Locations],47)</f>
        <v/>
      </c>
      <c r="E48" s="66">
        <f>INDEX(Projects[AS Robots],47)</f>
        <v/>
      </c>
      <c r="F48" s="66">
        <f>INDEX(Projects[AS Tote Locations],47)</f>
        <v/>
      </c>
      <c r="G48" s="66">
        <f>INDEX(Projects[PS Shuttles],47)</f>
        <v/>
      </c>
      <c r="H48" s="66">
        <f>INDEX(Projects[PS Pallet Locations],47)</f>
        <v/>
      </c>
      <c r="I48" s="66">
        <f>INDEX(Projects[SRM Cranes],47)</f>
        <v/>
      </c>
      <c r="J48" s="66">
        <f>INDEX(Projects[SRM Pallet Locations],47)</f>
        <v/>
      </c>
      <c r="K48" s="66">
        <f>INDEX(Projects[Case Conv (m)],47)</f>
        <v/>
      </c>
      <c r="L48" s="66">
        <f>INDEX(Projects[Pallet Conv (m)],47)</f>
        <v/>
      </c>
      <c r="M48" s="66">
        <f>INDEX(Projects[Mech Eng (wks)],47)</f>
        <v/>
      </c>
      <c r="N48" s="66">
        <f>INDEX(Projects[Controls Eng (wks)],47)</f>
        <v/>
      </c>
      <c r="O48" s="66">
        <f>INDEX(Projects[Systems Eng (wks)],47)</f>
        <v/>
      </c>
      <c r="P48" s="66">
        <f>INDEX(Projects[Software Eng (wks)],47)</f>
        <v/>
      </c>
      <c r="Q48" s="66">
        <f>INDEX(Projects[M&amp;E Installation (wks)],47)</f>
        <v/>
      </c>
      <c r="R48" s="66">
        <f>INDEX(Projects[Commissioning (wks)],47)</f>
        <v/>
      </c>
      <c r="S48" s="66">
        <f>INDEX(Projects[Total Timeline (wks)],47)</f>
        <v/>
      </c>
      <c r="T48" s="66">
        <f>INDEX(Projects[Currency],47)&amp;""</f>
        <v/>
      </c>
      <c r="U48" s="67">
        <f>INDEX(Projects[Value (M)],47)</f>
        <v/>
      </c>
      <c r="V48" s="66">
        <f>IF('Smart Search'!B13=1,IFERROR(1/'Smart Search'!H13,0),0)</f>
        <v/>
      </c>
      <c r="W48" s="66">
        <f>IF('Smart Search'!B13=1,IFERROR(1/'Smart Search'!H13,0),0)</f>
        <v/>
      </c>
      <c r="X48" s="66">
        <f>IF('Smart Search'!C13=1,IFERROR(1/'Smart Search'!H13,0),0)</f>
        <v/>
      </c>
      <c r="Y48" s="66">
        <f>IF('Smart Search'!C13=1,IFERROR(1/'Smart Search'!H13,0),0)</f>
        <v/>
      </c>
      <c r="Z48" s="66">
        <f>IF('Smart Search'!D13=1,IFERROR(1/'Smart Search'!H13,0),0)</f>
        <v/>
      </c>
      <c r="AA48" s="66">
        <f>IF('Smart Search'!D13=1,IFERROR(1/'Smart Search'!H13,0),0)</f>
        <v/>
      </c>
      <c r="AB48" s="66">
        <f>IF('Smart Search'!E13=1,IFERROR(1/'Smart Search'!H13,0),0)</f>
        <v/>
      </c>
      <c r="AC48" s="66">
        <f>IF('Smart Search'!E13=1,IFERROR(1/'Smart Search'!H13,0),0)</f>
        <v/>
      </c>
      <c r="AD48" s="66">
        <f>IF('Smart Search'!F13=1,IFERROR(1/'Smart Search'!H13,0),0)</f>
        <v/>
      </c>
      <c r="AE48" s="66">
        <f>IF('Smart Search'!F13=1,IFERROR(1/'Smart Search'!H13,0),0)</f>
        <v/>
      </c>
      <c r="AF48" s="66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66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66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66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66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66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66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66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66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66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66">
        <f>AF48*V48</f>
        <v/>
      </c>
      <c r="AQ48" s="66">
        <f>AG48*W48</f>
        <v/>
      </c>
      <c r="AR48" s="66">
        <f>AH48*X48</f>
        <v/>
      </c>
      <c r="AS48" s="66">
        <f>AI48*Y48</f>
        <v/>
      </c>
      <c r="AT48" s="66">
        <f>AJ48*Z48</f>
        <v/>
      </c>
      <c r="AU48" s="66">
        <f>AK48*AA48</f>
        <v/>
      </c>
      <c r="AV48" s="66">
        <f>AL48*AB48</f>
        <v/>
      </c>
      <c r="AW48" s="66">
        <f>AM48*AC48</f>
        <v/>
      </c>
      <c r="AX48" s="66">
        <f>AN48*AD48</f>
        <v/>
      </c>
      <c r="AY48" s="66">
        <f>AO48*AE48</f>
        <v/>
      </c>
      <c r="AZ48" s="66">
        <f>INDEX(Projects[Automation Equipment],47)&amp;""</f>
        <v/>
      </c>
      <c r="BA48" s="66">
        <f>IF(OR(A48="",'Smart Search'!H13=0),"",MAX(0,BE48*BF48*MAX(0,1-BG48)))</f>
        <v/>
      </c>
      <c r="BB48" s="66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66">
        <f>IF('Smart Search'!G13=1,IFERROR(1/'Smart Search'!H13,0),0)</f>
        <v/>
      </c>
      <c r="BD48" s="66">
        <f>BB48*BC48</f>
        <v/>
      </c>
      <c r="BE48" s="66">
        <f>AP48+AQ48+AR48+AS48+AT48+AU48+AV48+AW48+AX48+AY48+BD48</f>
        <v/>
      </c>
      <c r="BF48" s="5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5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5">
        <f>IF(AND(A48&lt;&gt;"",OR('Smart Search'!$L$5="",'Smart Search'!$L$5="All",TRIM(BZ48)=TRIM('Smart Search'!$L$5)),OR(TRIM('Smart Search'!$L$6)="",TRIM('Smart Search'!$L$6)="All",ISNUMBER(SEARCH(SUBSTITUTE(SUBSTITUTE(SUBSTITUTE(TRIM('Smart Search'!$L$6),"~","~~"),"*","~*"),"?","~?"),CA48))),OR('Smart Search'!$L$7="",AND(CB48&lt;&gt;0,CB48='Smart Search'!$L$7)),OR('Smart Search'!$L$8="",'Smart Search'!$L$8="All",TRIM(CC48)=TRIM('Smart Search'!$L$8))),IF(BA48="","",BA48+ROW()*0.0000000001),"")</f>
        <v/>
      </c>
      <c r="BI48" s="5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5">
        <f>IF(A48="","",N(INDEX(Projects[Mech Inst],47)))</f>
        <v/>
      </c>
      <c r="BK48" s="5">
        <f>IF(A48="","",N(INDEX(Projects[Elec Inst],47)))</f>
        <v/>
      </c>
      <c r="BL48" s="5">
        <f>IF(A48="","",N(INDEX(Projects[Project Management],47)))</f>
        <v/>
      </c>
      <c r="BM48" s="5">
        <f>IF(A48="","",N(INDEX(Projects[Systems Eng],47)))</f>
        <v/>
      </c>
      <c r="BN48" s="5">
        <f>IF(A48="","",N(INDEX(Projects[Mechanical Eng],47)))</f>
        <v/>
      </c>
      <c r="BO48" s="5">
        <f>IF(A48="","",N(INDEX(Projects[Structural Engineering],47)))</f>
        <v/>
      </c>
      <c r="BP48" s="5">
        <f>IF(A48="","",N(INDEX(Projects[Site Sup],47)))</f>
        <v/>
      </c>
      <c r="BQ48" s="5">
        <f>IF(A48="","",N(INDEX(Projects[Controls Commissioning],47)))</f>
        <v/>
      </c>
      <c r="BR48" s="5">
        <f>IF(A48="","",N(INDEX(Projects[Systems Commissioning],47)))</f>
        <v/>
      </c>
      <c r="BS48" s="5">
        <f>IF(A48="","",N(INDEX(Projects[Service Commissioning],47)))</f>
        <v/>
      </c>
      <c r="BT48" s="5">
        <f>IF(A48="","",N(INDEX(Projects[Controls Eng],47)))</f>
        <v/>
      </c>
      <c r="BU48" s="5">
        <f>IF(A48="","",N(INDEX(Projects[Controls Purchase],47)))</f>
        <v/>
      </c>
      <c r="BV48" s="5">
        <f>IF(A48="","",N(INDEX(Projects[Software Eng],47)))</f>
        <v/>
      </c>
      <c r="BW48" s="5">
        <f>IF(A48="","",N(INDEX(Projects[Misc],47)))</f>
        <v/>
      </c>
      <c r="BX48" s="5">
        <f>IF(A48="","",SUM(BJ48:BW48))</f>
        <v/>
      </c>
      <c r="BY48" s="5">
        <f>IF(A48="","",IFERROR(IF(ISNUMBER(U48),U48,VALUE(SUBSTITUTE(SUBSTITUTE(SUBSTITUTE(UPPER(TRIM(U48)),"M",""),",","")," ",""))),0))</f>
        <v/>
      </c>
      <c r="BZ48" s="5">
        <f>INDEX(Projects[Solution Type],47)&amp;""</f>
        <v/>
      </c>
      <c r="CA48" s="5">
        <f>INDEX(Projects[Client / Region],47)&amp;""</f>
        <v/>
      </c>
      <c r="CB48" s="5">
        <f>INDEX(Projects[Year],47)</f>
        <v/>
      </c>
      <c r="CC48" s="5">
        <f>INDEX(Projects[Won?],47)&amp;""</f>
        <v/>
      </c>
      <c r="CD48" s="5">
        <f>INDEX(Projects[Value (USD M)],47)</f>
        <v/>
      </c>
    </row>
    <row r="49" ht="15" customHeight="1" s="74">
      <c r="A49" s="66">
        <f>INDEX(Projects[Project ID *],48)&amp;""</f>
        <v/>
      </c>
      <c r="B49" s="66">
        <f>INDEX(Projects[Project Name *],48)&amp;""</f>
        <v/>
      </c>
      <c r="C49" s="66">
        <f>INDEX(Projects[MS Shuttles],48)</f>
        <v/>
      </c>
      <c r="D49" s="66">
        <f>INDEX(Projects[MS Tote Locations],48)</f>
        <v/>
      </c>
      <c r="E49" s="66">
        <f>INDEX(Projects[AS Robots],48)</f>
        <v/>
      </c>
      <c r="F49" s="66">
        <f>INDEX(Projects[AS Tote Locations],48)</f>
        <v/>
      </c>
      <c r="G49" s="66">
        <f>INDEX(Projects[PS Shuttles],48)</f>
        <v/>
      </c>
      <c r="H49" s="66">
        <f>INDEX(Projects[PS Pallet Locations],48)</f>
        <v/>
      </c>
      <c r="I49" s="66">
        <f>INDEX(Projects[SRM Cranes],48)</f>
        <v/>
      </c>
      <c r="J49" s="66">
        <f>INDEX(Projects[SRM Pallet Locations],48)</f>
        <v/>
      </c>
      <c r="K49" s="66">
        <f>INDEX(Projects[Case Conv (m)],48)</f>
        <v/>
      </c>
      <c r="L49" s="66">
        <f>INDEX(Projects[Pallet Conv (m)],48)</f>
        <v/>
      </c>
      <c r="M49" s="66">
        <f>INDEX(Projects[Mech Eng (wks)],48)</f>
        <v/>
      </c>
      <c r="N49" s="66">
        <f>INDEX(Projects[Controls Eng (wks)],48)</f>
        <v/>
      </c>
      <c r="O49" s="66">
        <f>INDEX(Projects[Systems Eng (wks)],48)</f>
        <v/>
      </c>
      <c r="P49" s="66">
        <f>INDEX(Projects[Software Eng (wks)],48)</f>
        <v/>
      </c>
      <c r="Q49" s="66">
        <f>INDEX(Projects[M&amp;E Installation (wks)],48)</f>
        <v/>
      </c>
      <c r="R49" s="66">
        <f>INDEX(Projects[Commissioning (wks)],48)</f>
        <v/>
      </c>
      <c r="S49" s="66">
        <f>INDEX(Projects[Total Timeline (wks)],48)</f>
        <v/>
      </c>
      <c r="T49" s="66">
        <f>INDEX(Projects[Currency],48)&amp;""</f>
        <v/>
      </c>
      <c r="U49" s="67">
        <f>INDEX(Projects[Value (M)],48)</f>
        <v/>
      </c>
      <c r="V49" s="66">
        <f>IF('Smart Search'!B13=1,IFERROR(1/'Smart Search'!H13,0),0)</f>
        <v/>
      </c>
      <c r="W49" s="66">
        <f>IF('Smart Search'!B13=1,IFERROR(1/'Smart Search'!H13,0),0)</f>
        <v/>
      </c>
      <c r="X49" s="66">
        <f>IF('Smart Search'!C13=1,IFERROR(1/'Smart Search'!H13,0),0)</f>
        <v/>
      </c>
      <c r="Y49" s="66">
        <f>IF('Smart Search'!C13=1,IFERROR(1/'Smart Search'!H13,0),0)</f>
        <v/>
      </c>
      <c r="Z49" s="66">
        <f>IF('Smart Search'!D13=1,IFERROR(1/'Smart Search'!H13,0),0)</f>
        <v/>
      </c>
      <c r="AA49" s="66">
        <f>IF('Smart Search'!D13=1,IFERROR(1/'Smart Search'!H13,0),0)</f>
        <v/>
      </c>
      <c r="AB49" s="66">
        <f>IF('Smart Search'!E13=1,IFERROR(1/'Smart Search'!H13,0),0)</f>
        <v/>
      </c>
      <c r="AC49" s="66">
        <f>IF('Smart Search'!E13=1,IFERROR(1/'Smart Search'!H13,0),0)</f>
        <v/>
      </c>
      <c r="AD49" s="66">
        <f>IF('Smart Search'!F13=1,IFERROR(1/'Smart Search'!H13,0),0)</f>
        <v/>
      </c>
      <c r="AE49" s="66">
        <f>IF('Smart Search'!F13=1,IFERROR(1/'Smart Search'!H13,0),0)</f>
        <v/>
      </c>
      <c r="AF49" s="66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66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66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66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66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66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66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66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66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66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66">
        <f>AF49*V49</f>
        <v/>
      </c>
      <c r="AQ49" s="66">
        <f>AG49*W49</f>
        <v/>
      </c>
      <c r="AR49" s="66">
        <f>AH49*X49</f>
        <v/>
      </c>
      <c r="AS49" s="66">
        <f>AI49*Y49</f>
        <v/>
      </c>
      <c r="AT49" s="66">
        <f>AJ49*Z49</f>
        <v/>
      </c>
      <c r="AU49" s="66">
        <f>AK49*AA49</f>
        <v/>
      </c>
      <c r="AV49" s="66">
        <f>AL49*AB49</f>
        <v/>
      </c>
      <c r="AW49" s="66">
        <f>AM49*AC49</f>
        <v/>
      </c>
      <c r="AX49" s="66">
        <f>AN49*AD49</f>
        <v/>
      </c>
      <c r="AY49" s="66">
        <f>AO49*AE49</f>
        <v/>
      </c>
      <c r="AZ49" s="66">
        <f>INDEX(Projects[Automation Equipment],48)&amp;""</f>
        <v/>
      </c>
      <c r="BA49" s="66">
        <f>IF(OR(A49="",'Smart Search'!H13=0),"",MAX(0,BE49*BF49*MAX(0,1-BG49)))</f>
        <v/>
      </c>
      <c r="BB49" s="66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66">
        <f>IF('Smart Search'!G13=1,IFERROR(1/'Smart Search'!H13,0),0)</f>
        <v/>
      </c>
      <c r="BD49" s="66">
        <f>BB49*BC49</f>
        <v/>
      </c>
      <c r="BE49" s="66">
        <f>AP49+AQ49+AR49+AS49+AT49+AU49+AV49+AW49+AX49+AY49+BD49</f>
        <v/>
      </c>
      <c r="BF49" s="5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5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5">
        <f>IF(AND(A49&lt;&gt;"",OR('Smart Search'!$L$5="",'Smart Search'!$L$5="All",TRIM(BZ49)=TRIM('Smart Search'!$L$5)),OR(TRIM('Smart Search'!$L$6)="",TRIM('Smart Search'!$L$6)="All",ISNUMBER(SEARCH(SUBSTITUTE(SUBSTITUTE(SUBSTITUTE(TRIM('Smart Search'!$L$6),"~","~~"),"*","~*"),"?","~?"),CA49))),OR('Smart Search'!$L$7="",AND(CB49&lt;&gt;0,CB49='Smart Search'!$L$7)),OR('Smart Search'!$L$8="",'Smart Search'!$L$8="All",TRIM(CC49)=TRIM('Smart Search'!$L$8))),IF(BA49="","",BA49+ROW()*0.0000000001),"")</f>
        <v/>
      </c>
      <c r="BI49" s="5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5">
        <f>IF(A49="","",N(INDEX(Projects[Mech Inst],48)))</f>
        <v/>
      </c>
      <c r="BK49" s="5">
        <f>IF(A49="","",N(INDEX(Projects[Elec Inst],48)))</f>
        <v/>
      </c>
      <c r="BL49" s="5">
        <f>IF(A49="","",N(INDEX(Projects[Project Management],48)))</f>
        <v/>
      </c>
      <c r="BM49" s="5">
        <f>IF(A49="","",N(INDEX(Projects[Systems Eng],48)))</f>
        <v/>
      </c>
      <c r="BN49" s="5">
        <f>IF(A49="","",N(INDEX(Projects[Mechanical Eng],48)))</f>
        <v/>
      </c>
      <c r="BO49" s="5">
        <f>IF(A49="","",N(INDEX(Projects[Structural Engineering],48)))</f>
        <v/>
      </c>
      <c r="BP49" s="5">
        <f>IF(A49="","",N(INDEX(Projects[Site Sup],48)))</f>
        <v/>
      </c>
      <c r="BQ49" s="5">
        <f>IF(A49="","",N(INDEX(Projects[Controls Commissioning],48)))</f>
        <v/>
      </c>
      <c r="BR49" s="5">
        <f>IF(A49="","",N(INDEX(Projects[Systems Commissioning],48)))</f>
        <v/>
      </c>
      <c r="BS49" s="5">
        <f>IF(A49="","",N(INDEX(Projects[Service Commissioning],48)))</f>
        <v/>
      </c>
      <c r="BT49" s="5">
        <f>IF(A49="","",N(INDEX(Projects[Controls Eng],48)))</f>
        <v/>
      </c>
      <c r="BU49" s="5">
        <f>IF(A49="","",N(INDEX(Projects[Controls Purchase],48)))</f>
        <v/>
      </c>
      <c r="BV49" s="5">
        <f>IF(A49="","",N(INDEX(Projects[Software Eng],48)))</f>
        <v/>
      </c>
      <c r="BW49" s="5">
        <f>IF(A49="","",N(INDEX(Projects[Misc],48)))</f>
        <v/>
      </c>
      <c r="BX49" s="5">
        <f>IF(A49="","",SUM(BJ49:BW49))</f>
        <v/>
      </c>
      <c r="BY49" s="5">
        <f>IF(A49="","",IFERROR(IF(ISNUMBER(U49),U49,VALUE(SUBSTITUTE(SUBSTITUTE(SUBSTITUTE(UPPER(TRIM(U49)),"M",""),",","")," ",""))),0))</f>
        <v/>
      </c>
      <c r="BZ49" s="5">
        <f>INDEX(Projects[Solution Type],48)&amp;""</f>
        <v/>
      </c>
      <c r="CA49" s="5">
        <f>INDEX(Projects[Client / Region],48)&amp;""</f>
        <v/>
      </c>
      <c r="CB49" s="5">
        <f>INDEX(Projects[Year],48)</f>
        <v/>
      </c>
      <c r="CC49" s="5">
        <f>INDEX(Projects[Won?],48)&amp;""</f>
        <v/>
      </c>
      <c r="CD49" s="5">
        <f>INDEX(Projects[Value (USD M)],48)</f>
        <v/>
      </c>
    </row>
    <row r="50" ht="15" customHeight="1" s="74">
      <c r="A50" s="66">
        <f>INDEX(Projects[Project ID *],49)&amp;""</f>
        <v/>
      </c>
      <c r="B50" s="66">
        <f>INDEX(Projects[Project Name *],49)&amp;""</f>
        <v/>
      </c>
      <c r="C50" s="66">
        <f>INDEX(Projects[MS Shuttles],49)</f>
        <v/>
      </c>
      <c r="D50" s="66">
        <f>INDEX(Projects[MS Tote Locations],49)</f>
        <v/>
      </c>
      <c r="E50" s="66">
        <f>INDEX(Projects[AS Robots],49)</f>
        <v/>
      </c>
      <c r="F50" s="66">
        <f>INDEX(Projects[AS Tote Locations],49)</f>
        <v/>
      </c>
      <c r="G50" s="66">
        <f>INDEX(Projects[PS Shuttles],49)</f>
        <v/>
      </c>
      <c r="H50" s="66">
        <f>INDEX(Projects[PS Pallet Locations],49)</f>
        <v/>
      </c>
      <c r="I50" s="66">
        <f>INDEX(Projects[SRM Cranes],49)</f>
        <v/>
      </c>
      <c r="J50" s="66">
        <f>INDEX(Projects[SRM Pallet Locations],49)</f>
        <v/>
      </c>
      <c r="K50" s="66">
        <f>INDEX(Projects[Case Conv (m)],49)</f>
        <v/>
      </c>
      <c r="L50" s="66">
        <f>INDEX(Projects[Pallet Conv (m)],49)</f>
        <v/>
      </c>
      <c r="M50" s="66">
        <f>INDEX(Projects[Mech Eng (wks)],49)</f>
        <v/>
      </c>
      <c r="N50" s="66">
        <f>INDEX(Projects[Controls Eng (wks)],49)</f>
        <v/>
      </c>
      <c r="O50" s="66">
        <f>INDEX(Projects[Systems Eng (wks)],49)</f>
        <v/>
      </c>
      <c r="P50" s="66">
        <f>INDEX(Projects[Software Eng (wks)],49)</f>
        <v/>
      </c>
      <c r="Q50" s="66">
        <f>INDEX(Projects[M&amp;E Installation (wks)],49)</f>
        <v/>
      </c>
      <c r="R50" s="66">
        <f>INDEX(Projects[Commissioning (wks)],49)</f>
        <v/>
      </c>
      <c r="S50" s="66">
        <f>INDEX(Projects[Total Timeline (wks)],49)</f>
        <v/>
      </c>
      <c r="T50" s="66">
        <f>INDEX(Projects[Currency],49)&amp;""</f>
        <v/>
      </c>
      <c r="U50" s="67">
        <f>INDEX(Projects[Value (M)],49)</f>
        <v/>
      </c>
      <c r="V50" s="66">
        <f>IF('Smart Search'!B13=1,IFERROR(1/'Smart Search'!H13,0),0)</f>
        <v/>
      </c>
      <c r="W50" s="66">
        <f>IF('Smart Search'!B13=1,IFERROR(1/'Smart Search'!H13,0),0)</f>
        <v/>
      </c>
      <c r="X50" s="66">
        <f>IF('Smart Search'!C13=1,IFERROR(1/'Smart Search'!H13,0),0)</f>
        <v/>
      </c>
      <c r="Y50" s="66">
        <f>IF('Smart Search'!C13=1,IFERROR(1/'Smart Search'!H13,0),0)</f>
        <v/>
      </c>
      <c r="Z50" s="66">
        <f>IF('Smart Search'!D13=1,IFERROR(1/'Smart Search'!H13,0),0)</f>
        <v/>
      </c>
      <c r="AA50" s="66">
        <f>IF('Smart Search'!D13=1,IFERROR(1/'Smart Search'!H13,0),0)</f>
        <v/>
      </c>
      <c r="AB50" s="66">
        <f>IF('Smart Search'!E13=1,IFERROR(1/'Smart Search'!H13,0),0)</f>
        <v/>
      </c>
      <c r="AC50" s="66">
        <f>IF('Smart Search'!E13=1,IFERROR(1/'Smart Search'!H13,0),0)</f>
        <v/>
      </c>
      <c r="AD50" s="66">
        <f>IF('Smart Search'!F13=1,IFERROR(1/'Smart Search'!H13,0),0)</f>
        <v/>
      </c>
      <c r="AE50" s="66">
        <f>IF('Smart Search'!F13=1,IFERROR(1/'Smart Search'!H13,0),0)</f>
        <v/>
      </c>
      <c r="AF50" s="66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66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66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66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66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66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66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66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66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66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66">
        <f>AF50*V50</f>
        <v/>
      </c>
      <c r="AQ50" s="66">
        <f>AG50*W50</f>
        <v/>
      </c>
      <c r="AR50" s="66">
        <f>AH50*X50</f>
        <v/>
      </c>
      <c r="AS50" s="66">
        <f>AI50*Y50</f>
        <v/>
      </c>
      <c r="AT50" s="66">
        <f>AJ50*Z50</f>
        <v/>
      </c>
      <c r="AU50" s="66">
        <f>AK50*AA50</f>
        <v/>
      </c>
      <c r="AV50" s="66">
        <f>AL50*AB50</f>
        <v/>
      </c>
      <c r="AW50" s="66">
        <f>AM50*AC50</f>
        <v/>
      </c>
      <c r="AX50" s="66">
        <f>AN50*AD50</f>
        <v/>
      </c>
      <c r="AY50" s="66">
        <f>AO50*AE50</f>
        <v/>
      </c>
      <c r="AZ50" s="66">
        <f>INDEX(Projects[Automation Equipment],49)&amp;""</f>
        <v/>
      </c>
      <c r="BA50" s="66">
        <f>IF(OR(A50="",'Smart Search'!H13=0),"",MAX(0,BE50*BF50*MAX(0,1-BG50)))</f>
        <v/>
      </c>
      <c r="BB50" s="66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66">
        <f>IF('Smart Search'!G13=1,IFERROR(1/'Smart Search'!H13,0),0)</f>
        <v/>
      </c>
      <c r="BD50" s="66">
        <f>BB50*BC50</f>
        <v/>
      </c>
      <c r="BE50" s="66">
        <f>AP50+AQ50+AR50+AS50+AT50+AU50+AV50+AW50+AX50+AY50+BD50</f>
        <v/>
      </c>
      <c r="BF50" s="5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5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5">
        <f>IF(AND(A50&lt;&gt;"",OR('Smart Search'!$L$5="",'Smart Search'!$L$5="All",TRIM(BZ50)=TRIM('Smart Search'!$L$5)),OR(TRIM('Smart Search'!$L$6)="",TRIM('Smart Search'!$L$6)="All",ISNUMBER(SEARCH(SUBSTITUTE(SUBSTITUTE(SUBSTITUTE(TRIM('Smart Search'!$L$6),"~","~~"),"*","~*"),"?","~?"),CA50))),OR('Smart Search'!$L$7="",AND(CB50&lt;&gt;0,CB50='Smart Search'!$L$7)),OR('Smart Search'!$L$8="",'Smart Search'!$L$8="All",TRIM(CC50)=TRIM('Smart Search'!$L$8))),IF(BA50="","",BA50+ROW()*0.0000000001),"")</f>
        <v/>
      </c>
      <c r="BI50" s="5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5">
        <f>IF(A50="","",N(INDEX(Projects[Mech Inst],49)))</f>
        <v/>
      </c>
      <c r="BK50" s="5">
        <f>IF(A50="","",N(INDEX(Projects[Elec Inst],49)))</f>
        <v/>
      </c>
      <c r="BL50" s="5">
        <f>IF(A50="","",N(INDEX(Projects[Project Management],49)))</f>
        <v/>
      </c>
      <c r="BM50" s="5">
        <f>IF(A50="","",N(INDEX(Projects[Systems Eng],49)))</f>
        <v/>
      </c>
      <c r="BN50" s="5">
        <f>IF(A50="","",N(INDEX(Projects[Mechanical Eng],49)))</f>
        <v/>
      </c>
      <c r="BO50" s="5">
        <f>IF(A50="","",N(INDEX(Projects[Structural Engineering],49)))</f>
        <v/>
      </c>
      <c r="BP50" s="5">
        <f>IF(A50="","",N(INDEX(Projects[Site Sup],49)))</f>
        <v/>
      </c>
      <c r="BQ50" s="5">
        <f>IF(A50="","",N(INDEX(Projects[Controls Commissioning],49)))</f>
        <v/>
      </c>
      <c r="BR50" s="5">
        <f>IF(A50="","",N(INDEX(Projects[Systems Commissioning],49)))</f>
        <v/>
      </c>
      <c r="BS50" s="5">
        <f>IF(A50="","",N(INDEX(Projects[Service Commissioning],49)))</f>
        <v/>
      </c>
      <c r="BT50" s="5">
        <f>IF(A50="","",N(INDEX(Projects[Controls Eng],49)))</f>
        <v/>
      </c>
      <c r="BU50" s="5">
        <f>IF(A50="","",N(INDEX(Projects[Controls Purchase],49)))</f>
        <v/>
      </c>
      <c r="BV50" s="5">
        <f>IF(A50="","",N(INDEX(Projects[Software Eng],49)))</f>
        <v/>
      </c>
      <c r="BW50" s="5">
        <f>IF(A50="","",N(INDEX(Projects[Misc],49)))</f>
        <v/>
      </c>
      <c r="BX50" s="5">
        <f>IF(A50="","",SUM(BJ50:BW50))</f>
        <v/>
      </c>
      <c r="BY50" s="5">
        <f>IF(A50="","",IFERROR(IF(ISNUMBER(U50),U50,VALUE(SUBSTITUTE(SUBSTITUTE(SUBSTITUTE(UPPER(TRIM(U50)),"M",""),",","")," ",""))),0))</f>
        <v/>
      </c>
      <c r="BZ50" s="5">
        <f>INDEX(Projects[Solution Type],49)&amp;""</f>
        <v/>
      </c>
      <c r="CA50" s="5">
        <f>INDEX(Projects[Client / Region],49)&amp;""</f>
        <v/>
      </c>
      <c r="CB50" s="5">
        <f>INDEX(Projects[Year],49)</f>
        <v/>
      </c>
      <c r="CC50" s="5">
        <f>INDEX(Projects[Won?],49)&amp;""</f>
        <v/>
      </c>
      <c r="CD50" s="5">
        <f>INDEX(Projects[Value (USD M)],49)</f>
        <v/>
      </c>
    </row>
    <row r="51" ht="15" customHeight="1" s="74">
      <c r="A51" s="66">
        <f>INDEX(Projects[Project ID *],50)&amp;""</f>
        <v/>
      </c>
      <c r="B51" s="66">
        <f>INDEX(Projects[Project Name *],50)&amp;""</f>
        <v/>
      </c>
      <c r="C51" s="66">
        <f>INDEX(Projects[MS Shuttles],50)</f>
        <v/>
      </c>
      <c r="D51" s="66">
        <f>INDEX(Projects[MS Tote Locations],50)</f>
        <v/>
      </c>
      <c r="E51" s="66">
        <f>INDEX(Projects[AS Robots],50)</f>
        <v/>
      </c>
      <c r="F51" s="66">
        <f>INDEX(Projects[AS Tote Locations],50)</f>
        <v/>
      </c>
      <c r="G51" s="66">
        <f>INDEX(Projects[PS Shuttles],50)</f>
        <v/>
      </c>
      <c r="H51" s="66">
        <f>INDEX(Projects[PS Pallet Locations],50)</f>
        <v/>
      </c>
      <c r="I51" s="66">
        <f>INDEX(Projects[SRM Cranes],50)</f>
        <v/>
      </c>
      <c r="J51" s="66">
        <f>INDEX(Projects[SRM Pallet Locations],50)</f>
        <v/>
      </c>
      <c r="K51" s="66">
        <f>INDEX(Projects[Case Conv (m)],50)</f>
        <v/>
      </c>
      <c r="L51" s="66">
        <f>INDEX(Projects[Pallet Conv (m)],50)</f>
        <v/>
      </c>
      <c r="M51" s="66">
        <f>INDEX(Projects[Mech Eng (wks)],50)</f>
        <v/>
      </c>
      <c r="N51" s="66">
        <f>INDEX(Projects[Controls Eng (wks)],50)</f>
        <v/>
      </c>
      <c r="O51" s="66">
        <f>INDEX(Projects[Systems Eng (wks)],50)</f>
        <v/>
      </c>
      <c r="P51" s="66">
        <f>INDEX(Projects[Software Eng (wks)],50)</f>
        <v/>
      </c>
      <c r="Q51" s="66">
        <f>INDEX(Projects[M&amp;E Installation (wks)],50)</f>
        <v/>
      </c>
      <c r="R51" s="66">
        <f>INDEX(Projects[Commissioning (wks)],50)</f>
        <v/>
      </c>
      <c r="S51" s="66">
        <f>INDEX(Projects[Total Timeline (wks)],50)</f>
        <v/>
      </c>
      <c r="T51" s="66">
        <f>INDEX(Projects[Currency],50)&amp;""</f>
        <v/>
      </c>
      <c r="U51" s="67">
        <f>INDEX(Projects[Value (M)],50)</f>
        <v/>
      </c>
      <c r="V51" s="66">
        <f>IF('Smart Search'!B13=1,IFERROR(1/'Smart Search'!H13,0),0)</f>
        <v/>
      </c>
      <c r="W51" s="66">
        <f>IF('Smart Search'!B13=1,IFERROR(1/'Smart Search'!H13,0),0)</f>
        <v/>
      </c>
      <c r="X51" s="66">
        <f>IF('Smart Search'!C13=1,IFERROR(1/'Smart Search'!H13,0),0)</f>
        <v/>
      </c>
      <c r="Y51" s="66">
        <f>IF('Smart Search'!C13=1,IFERROR(1/'Smart Search'!H13,0),0)</f>
        <v/>
      </c>
      <c r="Z51" s="66">
        <f>IF('Smart Search'!D13=1,IFERROR(1/'Smart Search'!H13,0),0)</f>
        <v/>
      </c>
      <c r="AA51" s="66">
        <f>IF('Smart Search'!D13=1,IFERROR(1/'Smart Search'!H13,0),0)</f>
        <v/>
      </c>
      <c r="AB51" s="66">
        <f>IF('Smart Search'!E13=1,IFERROR(1/'Smart Search'!H13,0),0)</f>
        <v/>
      </c>
      <c r="AC51" s="66">
        <f>IF('Smart Search'!E13=1,IFERROR(1/'Smart Search'!H13,0),0)</f>
        <v/>
      </c>
      <c r="AD51" s="66">
        <f>IF('Smart Search'!F13=1,IFERROR(1/'Smart Search'!H13,0),0)</f>
        <v/>
      </c>
      <c r="AE51" s="66">
        <f>IF('Smart Search'!F13=1,IFERROR(1/'Smart Search'!H13,0),0)</f>
        <v/>
      </c>
      <c r="AF51" s="66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66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66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66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66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66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66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66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66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66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66">
        <f>AF51*V51</f>
        <v/>
      </c>
      <c r="AQ51" s="66">
        <f>AG51*W51</f>
        <v/>
      </c>
      <c r="AR51" s="66">
        <f>AH51*X51</f>
        <v/>
      </c>
      <c r="AS51" s="66">
        <f>AI51*Y51</f>
        <v/>
      </c>
      <c r="AT51" s="66">
        <f>AJ51*Z51</f>
        <v/>
      </c>
      <c r="AU51" s="66">
        <f>AK51*AA51</f>
        <v/>
      </c>
      <c r="AV51" s="66">
        <f>AL51*AB51</f>
        <v/>
      </c>
      <c r="AW51" s="66">
        <f>AM51*AC51</f>
        <v/>
      </c>
      <c r="AX51" s="66">
        <f>AN51*AD51</f>
        <v/>
      </c>
      <c r="AY51" s="66">
        <f>AO51*AE51</f>
        <v/>
      </c>
      <c r="AZ51" s="66">
        <f>INDEX(Projects[Automation Equipment],50)&amp;""</f>
        <v/>
      </c>
      <c r="BA51" s="66">
        <f>IF(OR(A51="",'Smart Search'!H13=0),"",MAX(0,BE51*BF51*MAX(0,1-BG51)))</f>
        <v/>
      </c>
      <c r="BB51" s="66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66">
        <f>IF('Smart Search'!G13=1,IFERROR(1/'Smart Search'!H13,0),0)</f>
        <v/>
      </c>
      <c r="BD51" s="66">
        <f>BB51*BC51</f>
        <v/>
      </c>
      <c r="BE51" s="66">
        <f>AP51+AQ51+AR51+AS51+AT51+AU51+AV51+AW51+AX51+AY51+BD51</f>
        <v/>
      </c>
      <c r="BF51" s="5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5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5">
        <f>IF(AND(A51&lt;&gt;"",OR('Smart Search'!$L$5="",'Smart Search'!$L$5="All",TRIM(BZ51)=TRIM('Smart Search'!$L$5)),OR(TRIM('Smart Search'!$L$6)="",TRIM('Smart Search'!$L$6)="All",ISNUMBER(SEARCH(SUBSTITUTE(SUBSTITUTE(SUBSTITUTE(TRIM('Smart Search'!$L$6),"~","~~"),"*","~*"),"?","~?"),CA51))),OR('Smart Search'!$L$7="",AND(CB51&lt;&gt;0,CB51='Smart Search'!$L$7)),OR('Smart Search'!$L$8="",'Smart Search'!$L$8="All",TRIM(CC51)=TRIM('Smart Search'!$L$8))),IF(BA51="","",BA51+ROW()*0.0000000001),"")</f>
        <v/>
      </c>
      <c r="BI51" s="5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5">
        <f>IF(A51="","",N(INDEX(Projects[Mech Inst],50)))</f>
        <v/>
      </c>
      <c r="BK51" s="5">
        <f>IF(A51="","",N(INDEX(Projects[Elec Inst],50)))</f>
        <v/>
      </c>
      <c r="BL51" s="5">
        <f>IF(A51="","",N(INDEX(Projects[Project Management],50)))</f>
        <v/>
      </c>
      <c r="BM51" s="5">
        <f>IF(A51="","",N(INDEX(Projects[Systems Eng],50)))</f>
        <v/>
      </c>
      <c r="BN51" s="5">
        <f>IF(A51="","",N(INDEX(Projects[Mechanical Eng],50)))</f>
        <v/>
      </c>
      <c r="BO51" s="5">
        <f>IF(A51="","",N(INDEX(Projects[Structural Engineering],50)))</f>
        <v/>
      </c>
      <c r="BP51" s="5">
        <f>IF(A51="","",N(INDEX(Projects[Site Sup],50)))</f>
        <v/>
      </c>
      <c r="BQ51" s="5">
        <f>IF(A51="","",N(INDEX(Projects[Controls Commissioning],50)))</f>
        <v/>
      </c>
      <c r="BR51" s="5">
        <f>IF(A51="","",N(INDEX(Projects[Systems Commissioning],50)))</f>
        <v/>
      </c>
      <c r="BS51" s="5">
        <f>IF(A51="","",N(INDEX(Projects[Service Commissioning],50)))</f>
        <v/>
      </c>
      <c r="BT51" s="5">
        <f>IF(A51="","",N(INDEX(Projects[Controls Eng],50)))</f>
        <v/>
      </c>
      <c r="BU51" s="5">
        <f>IF(A51="","",N(INDEX(Projects[Controls Purchase],50)))</f>
        <v/>
      </c>
      <c r="BV51" s="5">
        <f>IF(A51="","",N(INDEX(Projects[Software Eng],50)))</f>
        <v/>
      </c>
      <c r="BW51" s="5">
        <f>IF(A51="","",N(INDEX(Projects[Misc],50)))</f>
        <v/>
      </c>
      <c r="BX51" s="5">
        <f>IF(A51="","",SUM(BJ51:BW51))</f>
        <v/>
      </c>
      <c r="BY51" s="5">
        <f>IF(A51="","",IFERROR(IF(ISNUMBER(U51),U51,VALUE(SUBSTITUTE(SUBSTITUTE(SUBSTITUTE(UPPER(TRIM(U51)),"M",""),",","")," ",""))),0))</f>
        <v/>
      </c>
      <c r="BZ51" s="5">
        <f>INDEX(Projects[Solution Type],50)&amp;""</f>
        <v/>
      </c>
      <c r="CA51" s="5">
        <f>INDEX(Projects[Client / Region],50)&amp;""</f>
        <v/>
      </c>
      <c r="CB51" s="5">
        <f>INDEX(Projects[Year],50)</f>
        <v/>
      </c>
      <c r="CC51" s="5">
        <f>INDEX(Projects[Won?],50)&amp;""</f>
        <v/>
      </c>
      <c r="CD51" s="5">
        <f>INDEX(Projects[Value (USD M)],50)</f>
        <v/>
      </c>
    </row>
    <row r="52" ht="15" customHeight="1" s="74">
      <c r="A52" s="66">
        <f>INDEX(Projects[Project ID *],51)&amp;""</f>
        <v/>
      </c>
      <c r="B52" s="66">
        <f>INDEX(Projects[Project Name *],51)&amp;""</f>
        <v/>
      </c>
      <c r="C52" s="66">
        <f>INDEX(Projects[MS Shuttles],51)</f>
        <v/>
      </c>
      <c r="D52" s="66">
        <f>INDEX(Projects[MS Tote Locations],51)</f>
        <v/>
      </c>
      <c r="E52" s="66">
        <f>INDEX(Projects[AS Robots],51)</f>
        <v/>
      </c>
      <c r="F52" s="66">
        <f>INDEX(Projects[AS Tote Locations],51)</f>
        <v/>
      </c>
      <c r="G52" s="66">
        <f>INDEX(Projects[PS Shuttles],51)</f>
        <v/>
      </c>
      <c r="H52" s="66">
        <f>INDEX(Projects[PS Pallet Locations],51)</f>
        <v/>
      </c>
      <c r="I52" s="66">
        <f>INDEX(Projects[SRM Cranes],51)</f>
        <v/>
      </c>
      <c r="J52" s="66">
        <f>INDEX(Projects[SRM Pallet Locations],51)</f>
        <v/>
      </c>
      <c r="K52" s="66">
        <f>INDEX(Projects[Case Conv (m)],51)</f>
        <v/>
      </c>
      <c r="L52" s="66">
        <f>INDEX(Projects[Pallet Conv (m)],51)</f>
        <v/>
      </c>
      <c r="M52" s="66">
        <f>INDEX(Projects[Mech Eng (wks)],51)</f>
        <v/>
      </c>
      <c r="N52" s="66">
        <f>INDEX(Projects[Controls Eng (wks)],51)</f>
        <v/>
      </c>
      <c r="O52" s="66">
        <f>INDEX(Projects[Systems Eng (wks)],51)</f>
        <v/>
      </c>
      <c r="P52" s="66">
        <f>INDEX(Projects[Software Eng (wks)],51)</f>
        <v/>
      </c>
      <c r="Q52" s="66">
        <f>INDEX(Projects[M&amp;E Installation (wks)],51)</f>
        <v/>
      </c>
      <c r="R52" s="66">
        <f>INDEX(Projects[Commissioning (wks)],51)</f>
        <v/>
      </c>
      <c r="S52" s="66">
        <f>INDEX(Projects[Total Timeline (wks)],51)</f>
        <v/>
      </c>
      <c r="T52" s="66">
        <f>INDEX(Projects[Currency],51)&amp;""</f>
        <v/>
      </c>
      <c r="U52" s="67">
        <f>INDEX(Projects[Value (M)],51)</f>
        <v/>
      </c>
      <c r="V52" s="66">
        <f>IF('Smart Search'!B13=1,IFERROR(1/'Smart Search'!H13,0),0)</f>
        <v/>
      </c>
      <c r="W52" s="66">
        <f>IF('Smart Search'!B13=1,IFERROR(1/'Smart Search'!H13,0),0)</f>
        <v/>
      </c>
      <c r="X52" s="66">
        <f>IF('Smart Search'!C13=1,IFERROR(1/'Smart Search'!H13,0),0)</f>
        <v/>
      </c>
      <c r="Y52" s="66">
        <f>IF('Smart Search'!C13=1,IFERROR(1/'Smart Search'!H13,0),0)</f>
        <v/>
      </c>
      <c r="Z52" s="66">
        <f>IF('Smart Search'!D13=1,IFERROR(1/'Smart Search'!H13,0),0)</f>
        <v/>
      </c>
      <c r="AA52" s="66">
        <f>IF('Smart Search'!D13=1,IFERROR(1/'Smart Search'!H13,0),0)</f>
        <v/>
      </c>
      <c r="AB52" s="66">
        <f>IF('Smart Search'!E13=1,IFERROR(1/'Smart Search'!H13,0),0)</f>
        <v/>
      </c>
      <c r="AC52" s="66">
        <f>IF('Smart Search'!E13=1,IFERROR(1/'Smart Search'!H13,0),0)</f>
        <v/>
      </c>
      <c r="AD52" s="66">
        <f>IF('Smart Search'!F13=1,IFERROR(1/'Smart Search'!H13,0),0)</f>
        <v/>
      </c>
      <c r="AE52" s="66">
        <f>IF('Smart Search'!F13=1,IFERROR(1/'Smart Search'!H13,0),0)</f>
        <v/>
      </c>
      <c r="AF52" s="66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66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66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66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66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66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66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66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66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66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66">
        <f>AF52*V52</f>
        <v/>
      </c>
      <c r="AQ52" s="66">
        <f>AG52*W52</f>
        <v/>
      </c>
      <c r="AR52" s="66">
        <f>AH52*X52</f>
        <v/>
      </c>
      <c r="AS52" s="66">
        <f>AI52*Y52</f>
        <v/>
      </c>
      <c r="AT52" s="66">
        <f>AJ52*Z52</f>
        <v/>
      </c>
      <c r="AU52" s="66">
        <f>AK52*AA52</f>
        <v/>
      </c>
      <c r="AV52" s="66">
        <f>AL52*AB52</f>
        <v/>
      </c>
      <c r="AW52" s="66">
        <f>AM52*AC52</f>
        <v/>
      </c>
      <c r="AX52" s="66">
        <f>AN52*AD52</f>
        <v/>
      </c>
      <c r="AY52" s="66">
        <f>AO52*AE52</f>
        <v/>
      </c>
      <c r="AZ52" s="66">
        <f>INDEX(Projects[Automation Equipment],51)&amp;""</f>
        <v/>
      </c>
      <c r="BA52" s="66">
        <f>IF(OR(A52="",'Smart Search'!H13=0),"",MAX(0,BE52*BF52*MAX(0,1-BG52)))</f>
        <v/>
      </c>
      <c r="BB52" s="66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66">
        <f>IF('Smart Search'!G13=1,IFERROR(1/'Smart Search'!H13,0),0)</f>
        <v/>
      </c>
      <c r="BD52" s="66">
        <f>BB52*BC52</f>
        <v/>
      </c>
      <c r="BE52" s="66">
        <f>AP52+AQ52+AR52+AS52+AT52+AU52+AV52+AW52+AX52+AY52+BD52</f>
        <v/>
      </c>
      <c r="BF52" s="5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5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5">
        <f>IF(AND(A52&lt;&gt;"",OR('Smart Search'!$L$5="",'Smart Search'!$L$5="All",TRIM(BZ52)=TRIM('Smart Search'!$L$5)),OR(TRIM('Smart Search'!$L$6)="",TRIM('Smart Search'!$L$6)="All",ISNUMBER(SEARCH(SUBSTITUTE(SUBSTITUTE(SUBSTITUTE(TRIM('Smart Search'!$L$6),"~","~~"),"*","~*"),"?","~?"),CA52))),OR('Smart Search'!$L$7="",AND(CB52&lt;&gt;0,CB52='Smart Search'!$L$7)),OR('Smart Search'!$L$8="",'Smart Search'!$L$8="All",TRIM(CC52)=TRIM('Smart Search'!$L$8))),IF(BA52="","",BA52+ROW()*0.0000000001),"")</f>
        <v/>
      </c>
      <c r="BI52" s="5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5">
        <f>IF(A52="","",N(INDEX(Projects[Mech Inst],51)))</f>
        <v/>
      </c>
      <c r="BK52" s="5">
        <f>IF(A52="","",N(INDEX(Projects[Elec Inst],51)))</f>
        <v/>
      </c>
      <c r="BL52" s="5">
        <f>IF(A52="","",N(INDEX(Projects[Project Management],51)))</f>
        <v/>
      </c>
      <c r="BM52" s="5">
        <f>IF(A52="","",N(INDEX(Projects[Systems Eng],51)))</f>
        <v/>
      </c>
      <c r="BN52" s="5">
        <f>IF(A52="","",N(INDEX(Projects[Mechanical Eng],51)))</f>
        <v/>
      </c>
      <c r="BO52" s="5">
        <f>IF(A52="","",N(INDEX(Projects[Structural Engineering],51)))</f>
        <v/>
      </c>
      <c r="BP52" s="5">
        <f>IF(A52="","",N(INDEX(Projects[Site Sup],51)))</f>
        <v/>
      </c>
      <c r="BQ52" s="5">
        <f>IF(A52="","",N(INDEX(Projects[Controls Commissioning],51)))</f>
        <v/>
      </c>
      <c r="BR52" s="5">
        <f>IF(A52="","",N(INDEX(Projects[Systems Commissioning],51)))</f>
        <v/>
      </c>
      <c r="BS52" s="5">
        <f>IF(A52="","",N(INDEX(Projects[Service Commissioning],51)))</f>
        <v/>
      </c>
      <c r="BT52" s="5">
        <f>IF(A52="","",N(INDEX(Projects[Controls Eng],51)))</f>
        <v/>
      </c>
      <c r="BU52" s="5">
        <f>IF(A52="","",N(INDEX(Projects[Controls Purchase],51)))</f>
        <v/>
      </c>
      <c r="BV52" s="5">
        <f>IF(A52="","",N(INDEX(Projects[Software Eng],51)))</f>
        <v/>
      </c>
      <c r="BW52" s="5">
        <f>IF(A52="","",N(INDEX(Projects[Misc],51)))</f>
        <v/>
      </c>
      <c r="BX52" s="5">
        <f>IF(A52="","",SUM(BJ52:BW52))</f>
        <v/>
      </c>
      <c r="BY52" s="5">
        <f>IF(A52="","",IFERROR(IF(ISNUMBER(U52),U52,VALUE(SUBSTITUTE(SUBSTITUTE(SUBSTITUTE(UPPER(TRIM(U52)),"M",""),",","")," ",""))),0))</f>
        <v/>
      </c>
      <c r="BZ52" s="5">
        <f>INDEX(Projects[Solution Type],51)&amp;""</f>
        <v/>
      </c>
      <c r="CA52" s="5">
        <f>INDEX(Projects[Client / Region],51)&amp;""</f>
        <v/>
      </c>
      <c r="CB52" s="5">
        <f>INDEX(Projects[Year],51)</f>
        <v/>
      </c>
      <c r="CC52" s="5">
        <f>INDEX(Projects[Won?],51)&amp;""</f>
        <v/>
      </c>
      <c r="CD52" s="5">
        <f>INDEX(Projects[Value (USD M)],51)</f>
        <v/>
      </c>
    </row>
    <row r="53" ht="15" customHeight="1" s="74">
      <c r="A53" s="66">
        <f>INDEX(Projects[Project ID *],52)&amp;""</f>
        <v/>
      </c>
      <c r="B53" s="66">
        <f>INDEX(Projects[Project Name *],52)&amp;""</f>
        <v/>
      </c>
      <c r="C53" s="66">
        <f>INDEX(Projects[MS Shuttles],52)</f>
        <v/>
      </c>
      <c r="D53" s="66">
        <f>INDEX(Projects[MS Tote Locations],52)</f>
        <v/>
      </c>
      <c r="E53" s="66">
        <f>INDEX(Projects[AS Robots],52)</f>
        <v/>
      </c>
      <c r="F53" s="66">
        <f>INDEX(Projects[AS Tote Locations],52)</f>
        <v/>
      </c>
      <c r="G53" s="66">
        <f>INDEX(Projects[PS Shuttles],52)</f>
        <v/>
      </c>
      <c r="H53" s="66">
        <f>INDEX(Projects[PS Pallet Locations],52)</f>
        <v/>
      </c>
      <c r="I53" s="66">
        <f>INDEX(Projects[SRM Cranes],52)</f>
        <v/>
      </c>
      <c r="J53" s="66">
        <f>INDEX(Projects[SRM Pallet Locations],52)</f>
        <v/>
      </c>
      <c r="K53" s="66">
        <f>INDEX(Projects[Case Conv (m)],52)</f>
        <v/>
      </c>
      <c r="L53" s="66">
        <f>INDEX(Projects[Pallet Conv (m)],52)</f>
        <v/>
      </c>
      <c r="M53" s="66">
        <f>INDEX(Projects[Mech Eng (wks)],52)</f>
        <v/>
      </c>
      <c r="N53" s="66">
        <f>INDEX(Projects[Controls Eng (wks)],52)</f>
        <v/>
      </c>
      <c r="O53" s="66">
        <f>INDEX(Projects[Systems Eng (wks)],52)</f>
        <v/>
      </c>
      <c r="P53" s="66">
        <f>INDEX(Projects[Software Eng (wks)],52)</f>
        <v/>
      </c>
      <c r="Q53" s="66">
        <f>INDEX(Projects[M&amp;E Installation (wks)],52)</f>
        <v/>
      </c>
      <c r="R53" s="66">
        <f>INDEX(Projects[Commissioning (wks)],52)</f>
        <v/>
      </c>
      <c r="S53" s="66">
        <f>INDEX(Projects[Total Timeline (wks)],52)</f>
        <v/>
      </c>
      <c r="T53" s="66">
        <f>INDEX(Projects[Currency],52)&amp;""</f>
        <v/>
      </c>
      <c r="U53" s="67">
        <f>INDEX(Projects[Value (M)],52)</f>
        <v/>
      </c>
      <c r="V53" s="66">
        <f>IF('Smart Search'!B13=1,IFERROR(1/'Smart Search'!H13,0),0)</f>
        <v/>
      </c>
      <c r="W53" s="66">
        <f>IF('Smart Search'!B13=1,IFERROR(1/'Smart Search'!H13,0),0)</f>
        <v/>
      </c>
      <c r="X53" s="66">
        <f>IF('Smart Search'!C13=1,IFERROR(1/'Smart Search'!H13,0),0)</f>
        <v/>
      </c>
      <c r="Y53" s="66">
        <f>IF('Smart Search'!C13=1,IFERROR(1/'Smart Search'!H13,0),0)</f>
        <v/>
      </c>
      <c r="Z53" s="66">
        <f>IF('Smart Search'!D13=1,IFERROR(1/'Smart Search'!H13,0),0)</f>
        <v/>
      </c>
      <c r="AA53" s="66">
        <f>IF('Smart Search'!D13=1,IFERROR(1/'Smart Search'!H13,0),0)</f>
        <v/>
      </c>
      <c r="AB53" s="66">
        <f>IF('Smart Search'!E13=1,IFERROR(1/'Smart Search'!H13,0),0)</f>
        <v/>
      </c>
      <c r="AC53" s="66">
        <f>IF('Smart Search'!E13=1,IFERROR(1/'Smart Search'!H13,0),0)</f>
        <v/>
      </c>
      <c r="AD53" s="66">
        <f>IF('Smart Search'!F13=1,IFERROR(1/'Smart Search'!H13,0),0)</f>
        <v/>
      </c>
      <c r="AE53" s="66">
        <f>IF('Smart Search'!F13=1,IFERROR(1/'Smart Search'!H13,0),0)</f>
        <v/>
      </c>
      <c r="AF53" s="66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66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66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66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66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66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66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66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66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66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66">
        <f>AF53*V53</f>
        <v/>
      </c>
      <c r="AQ53" s="66">
        <f>AG53*W53</f>
        <v/>
      </c>
      <c r="AR53" s="66">
        <f>AH53*X53</f>
        <v/>
      </c>
      <c r="AS53" s="66">
        <f>AI53*Y53</f>
        <v/>
      </c>
      <c r="AT53" s="66">
        <f>AJ53*Z53</f>
        <v/>
      </c>
      <c r="AU53" s="66">
        <f>AK53*AA53</f>
        <v/>
      </c>
      <c r="AV53" s="66">
        <f>AL53*AB53</f>
        <v/>
      </c>
      <c r="AW53" s="66">
        <f>AM53*AC53</f>
        <v/>
      </c>
      <c r="AX53" s="66">
        <f>AN53*AD53</f>
        <v/>
      </c>
      <c r="AY53" s="66">
        <f>AO53*AE53</f>
        <v/>
      </c>
      <c r="AZ53" s="66">
        <f>INDEX(Projects[Automation Equipment],52)&amp;""</f>
        <v/>
      </c>
      <c r="BA53" s="66">
        <f>IF(OR(A53="",'Smart Search'!H13=0),"",MAX(0,BE53*BF53*MAX(0,1-BG53)))</f>
        <v/>
      </c>
      <c r="BB53" s="66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66">
        <f>IF('Smart Search'!G13=1,IFERROR(1/'Smart Search'!H13,0),0)</f>
        <v/>
      </c>
      <c r="BD53" s="66">
        <f>BB53*BC53</f>
        <v/>
      </c>
      <c r="BE53" s="66">
        <f>AP53+AQ53+AR53+AS53+AT53+AU53+AV53+AW53+AX53+AY53+BD53</f>
        <v/>
      </c>
      <c r="BF53" s="5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5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5">
        <f>IF(AND(A53&lt;&gt;"",OR('Smart Search'!$L$5="",'Smart Search'!$L$5="All",TRIM(BZ53)=TRIM('Smart Search'!$L$5)),OR(TRIM('Smart Search'!$L$6)="",TRIM('Smart Search'!$L$6)="All",ISNUMBER(SEARCH(SUBSTITUTE(SUBSTITUTE(SUBSTITUTE(TRIM('Smart Search'!$L$6),"~","~~"),"*","~*"),"?","~?"),CA53))),OR('Smart Search'!$L$7="",AND(CB53&lt;&gt;0,CB53='Smart Search'!$L$7)),OR('Smart Search'!$L$8="",'Smart Search'!$L$8="All",TRIM(CC53)=TRIM('Smart Search'!$L$8))),IF(BA53="","",BA53+ROW()*0.0000000001),"")</f>
        <v/>
      </c>
      <c r="BI53" s="5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5">
        <f>IF(A53="","",N(INDEX(Projects[Mech Inst],52)))</f>
        <v/>
      </c>
      <c r="BK53" s="5">
        <f>IF(A53="","",N(INDEX(Projects[Elec Inst],52)))</f>
        <v/>
      </c>
      <c r="BL53" s="5">
        <f>IF(A53="","",N(INDEX(Projects[Project Management],52)))</f>
        <v/>
      </c>
      <c r="BM53" s="5">
        <f>IF(A53="","",N(INDEX(Projects[Systems Eng],52)))</f>
        <v/>
      </c>
      <c r="BN53" s="5">
        <f>IF(A53="","",N(INDEX(Projects[Mechanical Eng],52)))</f>
        <v/>
      </c>
      <c r="BO53" s="5">
        <f>IF(A53="","",N(INDEX(Projects[Structural Engineering],52)))</f>
        <v/>
      </c>
      <c r="BP53" s="5">
        <f>IF(A53="","",N(INDEX(Projects[Site Sup],52)))</f>
        <v/>
      </c>
      <c r="BQ53" s="5">
        <f>IF(A53="","",N(INDEX(Projects[Controls Commissioning],52)))</f>
        <v/>
      </c>
      <c r="BR53" s="5">
        <f>IF(A53="","",N(INDEX(Projects[Systems Commissioning],52)))</f>
        <v/>
      </c>
      <c r="BS53" s="5">
        <f>IF(A53="","",N(INDEX(Projects[Service Commissioning],52)))</f>
        <v/>
      </c>
      <c r="BT53" s="5">
        <f>IF(A53="","",N(INDEX(Projects[Controls Eng],52)))</f>
        <v/>
      </c>
      <c r="BU53" s="5">
        <f>IF(A53="","",N(INDEX(Projects[Controls Purchase],52)))</f>
        <v/>
      </c>
      <c r="BV53" s="5">
        <f>IF(A53="","",N(INDEX(Projects[Software Eng],52)))</f>
        <v/>
      </c>
      <c r="BW53" s="5">
        <f>IF(A53="","",N(INDEX(Projects[Misc],52)))</f>
        <v/>
      </c>
      <c r="BX53" s="5">
        <f>IF(A53="","",SUM(BJ53:BW53))</f>
        <v/>
      </c>
      <c r="BY53" s="5">
        <f>IF(A53="","",IFERROR(IF(ISNUMBER(U53),U53,VALUE(SUBSTITUTE(SUBSTITUTE(SUBSTITUTE(UPPER(TRIM(U53)),"M",""),",","")," ",""))),0))</f>
        <v/>
      </c>
      <c r="BZ53" s="5">
        <f>INDEX(Projects[Solution Type],52)&amp;""</f>
        <v/>
      </c>
      <c r="CA53" s="5">
        <f>INDEX(Projects[Client / Region],52)&amp;""</f>
        <v/>
      </c>
      <c r="CB53" s="5">
        <f>INDEX(Projects[Year],52)</f>
        <v/>
      </c>
      <c r="CC53" s="5">
        <f>INDEX(Projects[Won?],52)&amp;""</f>
        <v/>
      </c>
      <c r="CD53" s="5">
        <f>INDEX(Projects[Value (USD M)],52)</f>
        <v/>
      </c>
    </row>
    <row r="54" ht="15" customHeight="1" s="74">
      <c r="A54" s="66">
        <f>INDEX(Projects[Project ID *],53)&amp;""</f>
        <v/>
      </c>
      <c r="B54" s="66">
        <f>INDEX(Projects[Project Name *],53)&amp;""</f>
        <v/>
      </c>
      <c r="C54" s="66">
        <f>INDEX(Projects[MS Shuttles],53)</f>
        <v/>
      </c>
      <c r="D54" s="66">
        <f>INDEX(Projects[MS Tote Locations],53)</f>
        <v/>
      </c>
      <c r="E54" s="66">
        <f>INDEX(Projects[AS Robots],53)</f>
        <v/>
      </c>
      <c r="F54" s="66">
        <f>INDEX(Projects[AS Tote Locations],53)</f>
        <v/>
      </c>
      <c r="G54" s="66">
        <f>INDEX(Projects[PS Shuttles],53)</f>
        <v/>
      </c>
      <c r="H54" s="66">
        <f>INDEX(Projects[PS Pallet Locations],53)</f>
        <v/>
      </c>
      <c r="I54" s="66">
        <f>INDEX(Projects[SRM Cranes],53)</f>
        <v/>
      </c>
      <c r="J54" s="66">
        <f>INDEX(Projects[SRM Pallet Locations],53)</f>
        <v/>
      </c>
      <c r="K54" s="66">
        <f>INDEX(Projects[Case Conv (m)],53)</f>
        <v/>
      </c>
      <c r="L54" s="66">
        <f>INDEX(Projects[Pallet Conv (m)],53)</f>
        <v/>
      </c>
      <c r="M54" s="66">
        <f>INDEX(Projects[Mech Eng (wks)],53)</f>
        <v/>
      </c>
      <c r="N54" s="66">
        <f>INDEX(Projects[Controls Eng (wks)],53)</f>
        <v/>
      </c>
      <c r="O54" s="66">
        <f>INDEX(Projects[Systems Eng (wks)],53)</f>
        <v/>
      </c>
      <c r="P54" s="66">
        <f>INDEX(Projects[Software Eng (wks)],53)</f>
        <v/>
      </c>
      <c r="Q54" s="66">
        <f>INDEX(Projects[M&amp;E Installation (wks)],53)</f>
        <v/>
      </c>
      <c r="R54" s="66">
        <f>INDEX(Projects[Commissioning (wks)],53)</f>
        <v/>
      </c>
      <c r="S54" s="66">
        <f>INDEX(Projects[Total Timeline (wks)],53)</f>
        <v/>
      </c>
      <c r="T54" s="66">
        <f>INDEX(Projects[Currency],53)&amp;""</f>
        <v/>
      </c>
      <c r="U54" s="67">
        <f>INDEX(Projects[Value (M)],53)</f>
        <v/>
      </c>
      <c r="V54" s="66">
        <f>IF('Smart Search'!B13=1,IFERROR(1/'Smart Search'!H13,0),0)</f>
        <v/>
      </c>
      <c r="W54" s="66">
        <f>IF('Smart Search'!B13=1,IFERROR(1/'Smart Search'!H13,0),0)</f>
        <v/>
      </c>
      <c r="X54" s="66">
        <f>IF('Smart Search'!C13=1,IFERROR(1/'Smart Search'!H13,0),0)</f>
        <v/>
      </c>
      <c r="Y54" s="66">
        <f>IF('Smart Search'!C13=1,IFERROR(1/'Smart Search'!H13,0),0)</f>
        <v/>
      </c>
      <c r="Z54" s="66">
        <f>IF('Smart Search'!D13=1,IFERROR(1/'Smart Search'!H13,0),0)</f>
        <v/>
      </c>
      <c r="AA54" s="66">
        <f>IF('Smart Search'!D13=1,IFERROR(1/'Smart Search'!H13,0),0)</f>
        <v/>
      </c>
      <c r="AB54" s="66">
        <f>IF('Smart Search'!E13=1,IFERROR(1/'Smart Search'!H13,0),0)</f>
        <v/>
      </c>
      <c r="AC54" s="66">
        <f>IF('Smart Search'!E13=1,IFERROR(1/'Smart Search'!H13,0),0)</f>
        <v/>
      </c>
      <c r="AD54" s="66">
        <f>IF('Smart Search'!F13=1,IFERROR(1/'Smart Search'!H13,0),0)</f>
        <v/>
      </c>
      <c r="AE54" s="66">
        <f>IF('Smart Search'!F13=1,IFERROR(1/'Smart Search'!H13,0),0)</f>
        <v/>
      </c>
      <c r="AF54" s="66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66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66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66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66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66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66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66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66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66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66">
        <f>AF54*V54</f>
        <v/>
      </c>
      <c r="AQ54" s="66">
        <f>AG54*W54</f>
        <v/>
      </c>
      <c r="AR54" s="66">
        <f>AH54*X54</f>
        <v/>
      </c>
      <c r="AS54" s="66">
        <f>AI54*Y54</f>
        <v/>
      </c>
      <c r="AT54" s="66">
        <f>AJ54*Z54</f>
        <v/>
      </c>
      <c r="AU54" s="66">
        <f>AK54*AA54</f>
        <v/>
      </c>
      <c r="AV54" s="66">
        <f>AL54*AB54</f>
        <v/>
      </c>
      <c r="AW54" s="66">
        <f>AM54*AC54</f>
        <v/>
      </c>
      <c r="AX54" s="66">
        <f>AN54*AD54</f>
        <v/>
      </c>
      <c r="AY54" s="66">
        <f>AO54*AE54</f>
        <v/>
      </c>
      <c r="AZ54" s="66">
        <f>INDEX(Projects[Automation Equipment],53)&amp;""</f>
        <v/>
      </c>
      <c r="BA54" s="66">
        <f>IF(OR(A54="",'Smart Search'!H13=0),"",MAX(0,BE54*BF54*MAX(0,1-BG54)))</f>
        <v/>
      </c>
      <c r="BB54" s="66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66">
        <f>IF('Smart Search'!G13=1,IFERROR(1/'Smart Search'!H13,0),0)</f>
        <v/>
      </c>
      <c r="BD54" s="66">
        <f>BB54*BC54</f>
        <v/>
      </c>
      <c r="BE54" s="66">
        <f>AP54+AQ54+AR54+AS54+AT54+AU54+AV54+AW54+AX54+AY54+BD54</f>
        <v/>
      </c>
      <c r="BF54" s="5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5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5">
        <f>IF(AND(A54&lt;&gt;"",OR('Smart Search'!$L$5="",'Smart Search'!$L$5="All",TRIM(BZ54)=TRIM('Smart Search'!$L$5)),OR(TRIM('Smart Search'!$L$6)="",TRIM('Smart Search'!$L$6)="All",ISNUMBER(SEARCH(SUBSTITUTE(SUBSTITUTE(SUBSTITUTE(TRIM('Smart Search'!$L$6),"~","~~"),"*","~*"),"?","~?"),CA54))),OR('Smart Search'!$L$7="",AND(CB54&lt;&gt;0,CB54='Smart Search'!$L$7)),OR('Smart Search'!$L$8="",'Smart Search'!$L$8="All",TRIM(CC54)=TRIM('Smart Search'!$L$8))),IF(BA54="","",BA54+ROW()*0.0000000001),"")</f>
        <v/>
      </c>
      <c r="BI54" s="5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5">
        <f>IF(A54="","",N(INDEX(Projects[Mech Inst],53)))</f>
        <v/>
      </c>
      <c r="BK54" s="5">
        <f>IF(A54="","",N(INDEX(Projects[Elec Inst],53)))</f>
        <v/>
      </c>
      <c r="BL54" s="5">
        <f>IF(A54="","",N(INDEX(Projects[Project Management],53)))</f>
        <v/>
      </c>
      <c r="BM54" s="5">
        <f>IF(A54="","",N(INDEX(Projects[Systems Eng],53)))</f>
        <v/>
      </c>
      <c r="BN54" s="5">
        <f>IF(A54="","",N(INDEX(Projects[Mechanical Eng],53)))</f>
        <v/>
      </c>
      <c r="BO54" s="5">
        <f>IF(A54="","",N(INDEX(Projects[Structural Engineering],53)))</f>
        <v/>
      </c>
      <c r="BP54" s="5">
        <f>IF(A54="","",N(INDEX(Projects[Site Sup],53)))</f>
        <v/>
      </c>
      <c r="BQ54" s="5">
        <f>IF(A54="","",N(INDEX(Projects[Controls Commissioning],53)))</f>
        <v/>
      </c>
      <c r="BR54" s="5">
        <f>IF(A54="","",N(INDEX(Projects[Systems Commissioning],53)))</f>
        <v/>
      </c>
      <c r="BS54" s="5">
        <f>IF(A54="","",N(INDEX(Projects[Service Commissioning],53)))</f>
        <v/>
      </c>
      <c r="BT54" s="5">
        <f>IF(A54="","",N(INDEX(Projects[Controls Eng],53)))</f>
        <v/>
      </c>
      <c r="BU54" s="5">
        <f>IF(A54="","",N(INDEX(Projects[Controls Purchase],53)))</f>
        <v/>
      </c>
      <c r="BV54" s="5">
        <f>IF(A54="","",N(INDEX(Projects[Software Eng],53)))</f>
        <v/>
      </c>
      <c r="BW54" s="5">
        <f>IF(A54="","",N(INDEX(Projects[Misc],53)))</f>
        <v/>
      </c>
      <c r="BX54" s="5">
        <f>IF(A54="","",SUM(BJ54:BW54))</f>
        <v/>
      </c>
      <c r="BY54" s="5">
        <f>IF(A54="","",IFERROR(IF(ISNUMBER(U54),U54,VALUE(SUBSTITUTE(SUBSTITUTE(SUBSTITUTE(UPPER(TRIM(U54)),"M",""),",","")," ",""))),0))</f>
        <v/>
      </c>
      <c r="BZ54" s="5">
        <f>INDEX(Projects[Solution Type],53)&amp;""</f>
        <v/>
      </c>
      <c r="CA54" s="5">
        <f>INDEX(Projects[Client / Region],53)&amp;""</f>
        <v/>
      </c>
      <c r="CB54" s="5">
        <f>INDEX(Projects[Year],53)</f>
        <v/>
      </c>
      <c r="CC54" s="5">
        <f>INDEX(Projects[Won?],53)&amp;""</f>
        <v/>
      </c>
      <c r="CD54" s="5">
        <f>INDEX(Projects[Value (USD M)],53)</f>
        <v/>
      </c>
    </row>
    <row r="55" ht="15" customHeight="1" s="74">
      <c r="A55" s="66">
        <f>INDEX(Projects[Project ID *],54)&amp;""</f>
        <v/>
      </c>
      <c r="B55" s="66">
        <f>INDEX(Projects[Project Name *],54)&amp;""</f>
        <v/>
      </c>
      <c r="C55" s="66">
        <f>INDEX(Projects[MS Shuttles],54)</f>
        <v/>
      </c>
      <c r="D55" s="66">
        <f>INDEX(Projects[MS Tote Locations],54)</f>
        <v/>
      </c>
      <c r="E55" s="66">
        <f>INDEX(Projects[AS Robots],54)</f>
        <v/>
      </c>
      <c r="F55" s="66">
        <f>INDEX(Projects[AS Tote Locations],54)</f>
        <v/>
      </c>
      <c r="G55" s="66">
        <f>INDEX(Projects[PS Shuttles],54)</f>
        <v/>
      </c>
      <c r="H55" s="66">
        <f>INDEX(Projects[PS Pallet Locations],54)</f>
        <v/>
      </c>
      <c r="I55" s="66">
        <f>INDEX(Projects[SRM Cranes],54)</f>
        <v/>
      </c>
      <c r="J55" s="66">
        <f>INDEX(Projects[SRM Pallet Locations],54)</f>
        <v/>
      </c>
      <c r="K55" s="66">
        <f>INDEX(Projects[Case Conv (m)],54)</f>
        <v/>
      </c>
      <c r="L55" s="66">
        <f>INDEX(Projects[Pallet Conv (m)],54)</f>
        <v/>
      </c>
      <c r="M55" s="66">
        <f>INDEX(Projects[Mech Eng (wks)],54)</f>
        <v/>
      </c>
      <c r="N55" s="66">
        <f>INDEX(Projects[Controls Eng (wks)],54)</f>
        <v/>
      </c>
      <c r="O55" s="66">
        <f>INDEX(Projects[Systems Eng (wks)],54)</f>
        <v/>
      </c>
      <c r="P55" s="66">
        <f>INDEX(Projects[Software Eng (wks)],54)</f>
        <v/>
      </c>
      <c r="Q55" s="66">
        <f>INDEX(Projects[M&amp;E Installation (wks)],54)</f>
        <v/>
      </c>
      <c r="R55" s="66">
        <f>INDEX(Projects[Commissioning (wks)],54)</f>
        <v/>
      </c>
      <c r="S55" s="66">
        <f>INDEX(Projects[Total Timeline (wks)],54)</f>
        <v/>
      </c>
      <c r="T55" s="66">
        <f>INDEX(Projects[Currency],54)&amp;""</f>
        <v/>
      </c>
      <c r="U55" s="67">
        <f>INDEX(Projects[Value (M)],54)</f>
        <v/>
      </c>
      <c r="V55" s="66">
        <f>IF('Smart Search'!B13=1,IFERROR(1/'Smart Search'!H13,0),0)</f>
        <v/>
      </c>
      <c r="W55" s="66">
        <f>IF('Smart Search'!B13=1,IFERROR(1/'Smart Search'!H13,0),0)</f>
        <v/>
      </c>
      <c r="X55" s="66">
        <f>IF('Smart Search'!C13=1,IFERROR(1/'Smart Search'!H13,0),0)</f>
        <v/>
      </c>
      <c r="Y55" s="66">
        <f>IF('Smart Search'!C13=1,IFERROR(1/'Smart Search'!H13,0),0)</f>
        <v/>
      </c>
      <c r="Z55" s="66">
        <f>IF('Smart Search'!D13=1,IFERROR(1/'Smart Search'!H13,0),0)</f>
        <v/>
      </c>
      <c r="AA55" s="66">
        <f>IF('Smart Search'!D13=1,IFERROR(1/'Smart Search'!H13,0),0)</f>
        <v/>
      </c>
      <c r="AB55" s="66">
        <f>IF('Smart Search'!E13=1,IFERROR(1/'Smart Search'!H13,0),0)</f>
        <v/>
      </c>
      <c r="AC55" s="66">
        <f>IF('Smart Search'!E13=1,IFERROR(1/'Smart Search'!H13,0),0)</f>
        <v/>
      </c>
      <c r="AD55" s="66">
        <f>IF('Smart Search'!F13=1,IFERROR(1/'Smart Search'!H13,0),0)</f>
        <v/>
      </c>
      <c r="AE55" s="66">
        <f>IF('Smart Search'!F13=1,IFERROR(1/'Smart Search'!H13,0),0)</f>
        <v/>
      </c>
      <c r="AF55" s="66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66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66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66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66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66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66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66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66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66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66">
        <f>AF55*V55</f>
        <v/>
      </c>
      <c r="AQ55" s="66">
        <f>AG55*W55</f>
        <v/>
      </c>
      <c r="AR55" s="66">
        <f>AH55*X55</f>
        <v/>
      </c>
      <c r="AS55" s="66">
        <f>AI55*Y55</f>
        <v/>
      </c>
      <c r="AT55" s="66">
        <f>AJ55*Z55</f>
        <v/>
      </c>
      <c r="AU55" s="66">
        <f>AK55*AA55</f>
        <v/>
      </c>
      <c r="AV55" s="66">
        <f>AL55*AB55</f>
        <v/>
      </c>
      <c r="AW55" s="66">
        <f>AM55*AC55</f>
        <v/>
      </c>
      <c r="AX55" s="66">
        <f>AN55*AD55</f>
        <v/>
      </c>
      <c r="AY55" s="66">
        <f>AO55*AE55</f>
        <v/>
      </c>
      <c r="AZ55" s="66">
        <f>INDEX(Projects[Automation Equipment],54)&amp;""</f>
        <v/>
      </c>
      <c r="BA55" s="66">
        <f>IF(OR(A55="",'Smart Search'!H13=0),"",MAX(0,BE55*BF55*MAX(0,1-BG55)))</f>
        <v/>
      </c>
      <c r="BB55" s="66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66">
        <f>IF('Smart Search'!G13=1,IFERROR(1/'Smart Search'!H13,0),0)</f>
        <v/>
      </c>
      <c r="BD55" s="66">
        <f>BB55*BC55</f>
        <v/>
      </c>
      <c r="BE55" s="66">
        <f>AP55+AQ55+AR55+AS55+AT55+AU55+AV55+AW55+AX55+AY55+BD55</f>
        <v/>
      </c>
      <c r="BF55" s="5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5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5">
        <f>IF(AND(A55&lt;&gt;"",OR('Smart Search'!$L$5="",'Smart Search'!$L$5="All",TRIM(BZ55)=TRIM('Smart Search'!$L$5)),OR(TRIM('Smart Search'!$L$6)="",TRIM('Smart Search'!$L$6)="All",ISNUMBER(SEARCH(SUBSTITUTE(SUBSTITUTE(SUBSTITUTE(TRIM('Smart Search'!$L$6),"~","~~"),"*","~*"),"?","~?"),CA55))),OR('Smart Search'!$L$7="",AND(CB55&lt;&gt;0,CB55='Smart Search'!$L$7)),OR('Smart Search'!$L$8="",'Smart Search'!$L$8="All",TRIM(CC55)=TRIM('Smart Search'!$L$8))),IF(BA55="","",BA55+ROW()*0.0000000001),"")</f>
        <v/>
      </c>
      <c r="BI55" s="5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5">
        <f>IF(A55="","",N(INDEX(Projects[Mech Inst],54)))</f>
        <v/>
      </c>
      <c r="BK55" s="5">
        <f>IF(A55="","",N(INDEX(Projects[Elec Inst],54)))</f>
        <v/>
      </c>
      <c r="BL55" s="5">
        <f>IF(A55="","",N(INDEX(Projects[Project Management],54)))</f>
        <v/>
      </c>
      <c r="BM55" s="5">
        <f>IF(A55="","",N(INDEX(Projects[Systems Eng],54)))</f>
        <v/>
      </c>
      <c r="BN55" s="5">
        <f>IF(A55="","",N(INDEX(Projects[Mechanical Eng],54)))</f>
        <v/>
      </c>
      <c r="BO55" s="5">
        <f>IF(A55="","",N(INDEX(Projects[Structural Engineering],54)))</f>
        <v/>
      </c>
      <c r="BP55" s="5">
        <f>IF(A55="","",N(INDEX(Projects[Site Sup],54)))</f>
        <v/>
      </c>
      <c r="BQ55" s="5">
        <f>IF(A55="","",N(INDEX(Projects[Controls Commissioning],54)))</f>
        <v/>
      </c>
      <c r="BR55" s="5">
        <f>IF(A55="","",N(INDEX(Projects[Systems Commissioning],54)))</f>
        <v/>
      </c>
      <c r="BS55" s="5">
        <f>IF(A55="","",N(INDEX(Projects[Service Commissioning],54)))</f>
        <v/>
      </c>
      <c r="BT55" s="5">
        <f>IF(A55="","",N(INDEX(Projects[Controls Eng],54)))</f>
        <v/>
      </c>
      <c r="BU55" s="5">
        <f>IF(A55="","",N(INDEX(Projects[Controls Purchase],54)))</f>
        <v/>
      </c>
      <c r="BV55" s="5">
        <f>IF(A55="","",N(INDEX(Projects[Software Eng],54)))</f>
        <v/>
      </c>
      <c r="BW55" s="5">
        <f>IF(A55="","",N(INDEX(Projects[Misc],54)))</f>
        <v/>
      </c>
      <c r="BX55" s="5">
        <f>IF(A55="","",SUM(BJ55:BW55))</f>
        <v/>
      </c>
      <c r="BY55" s="5">
        <f>IF(A55="","",IFERROR(IF(ISNUMBER(U55),U55,VALUE(SUBSTITUTE(SUBSTITUTE(SUBSTITUTE(UPPER(TRIM(U55)),"M",""),",","")," ",""))),0))</f>
        <v/>
      </c>
      <c r="BZ55" s="5">
        <f>INDEX(Projects[Solution Type],54)&amp;""</f>
        <v/>
      </c>
      <c r="CA55" s="5">
        <f>INDEX(Projects[Client / Region],54)&amp;""</f>
        <v/>
      </c>
      <c r="CB55" s="5">
        <f>INDEX(Projects[Year],54)</f>
        <v/>
      </c>
      <c r="CC55" s="5">
        <f>INDEX(Projects[Won?],54)&amp;""</f>
        <v/>
      </c>
      <c r="CD55" s="5">
        <f>INDEX(Projects[Value (USD M)],54)</f>
        <v/>
      </c>
    </row>
    <row r="56" ht="15" customHeight="1" s="74">
      <c r="A56" s="66">
        <f>INDEX(Projects[Project ID *],55)&amp;""</f>
        <v/>
      </c>
      <c r="B56" s="66">
        <f>INDEX(Projects[Project Name *],55)&amp;""</f>
        <v/>
      </c>
      <c r="C56" s="66">
        <f>INDEX(Projects[MS Shuttles],55)</f>
        <v/>
      </c>
      <c r="D56" s="66">
        <f>INDEX(Projects[MS Tote Locations],55)</f>
        <v/>
      </c>
      <c r="E56" s="66">
        <f>INDEX(Projects[AS Robots],55)</f>
        <v/>
      </c>
      <c r="F56" s="66">
        <f>INDEX(Projects[AS Tote Locations],55)</f>
        <v/>
      </c>
      <c r="G56" s="66">
        <f>INDEX(Projects[PS Shuttles],55)</f>
        <v/>
      </c>
      <c r="H56" s="66">
        <f>INDEX(Projects[PS Pallet Locations],55)</f>
        <v/>
      </c>
      <c r="I56" s="66">
        <f>INDEX(Projects[SRM Cranes],55)</f>
        <v/>
      </c>
      <c r="J56" s="66">
        <f>INDEX(Projects[SRM Pallet Locations],55)</f>
        <v/>
      </c>
      <c r="K56" s="66">
        <f>INDEX(Projects[Case Conv (m)],55)</f>
        <v/>
      </c>
      <c r="L56" s="66">
        <f>INDEX(Projects[Pallet Conv (m)],55)</f>
        <v/>
      </c>
      <c r="M56" s="66">
        <f>INDEX(Projects[Mech Eng (wks)],55)</f>
        <v/>
      </c>
      <c r="N56" s="66">
        <f>INDEX(Projects[Controls Eng (wks)],55)</f>
        <v/>
      </c>
      <c r="O56" s="66">
        <f>INDEX(Projects[Systems Eng (wks)],55)</f>
        <v/>
      </c>
      <c r="P56" s="66">
        <f>INDEX(Projects[Software Eng (wks)],55)</f>
        <v/>
      </c>
      <c r="Q56" s="66">
        <f>INDEX(Projects[M&amp;E Installation (wks)],55)</f>
        <v/>
      </c>
      <c r="R56" s="66">
        <f>INDEX(Projects[Commissioning (wks)],55)</f>
        <v/>
      </c>
      <c r="S56" s="66">
        <f>INDEX(Projects[Total Timeline (wks)],55)</f>
        <v/>
      </c>
      <c r="T56" s="66">
        <f>INDEX(Projects[Currency],55)&amp;""</f>
        <v/>
      </c>
      <c r="U56" s="67">
        <f>INDEX(Projects[Value (M)],55)</f>
        <v/>
      </c>
      <c r="V56" s="66">
        <f>IF('Smart Search'!B13=1,IFERROR(1/'Smart Search'!H13,0),0)</f>
        <v/>
      </c>
      <c r="W56" s="66">
        <f>IF('Smart Search'!B13=1,IFERROR(1/'Smart Search'!H13,0),0)</f>
        <v/>
      </c>
      <c r="X56" s="66">
        <f>IF('Smart Search'!C13=1,IFERROR(1/'Smart Search'!H13,0),0)</f>
        <v/>
      </c>
      <c r="Y56" s="66">
        <f>IF('Smart Search'!C13=1,IFERROR(1/'Smart Search'!H13,0),0)</f>
        <v/>
      </c>
      <c r="Z56" s="66">
        <f>IF('Smart Search'!D13=1,IFERROR(1/'Smart Search'!H13,0),0)</f>
        <v/>
      </c>
      <c r="AA56" s="66">
        <f>IF('Smart Search'!D13=1,IFERROR(1/'Smart Search'!H13,0),0)</f>
        <v/>
      </c>
      <c r="AB56" s="66">
        <f>IF('Smart Search'!E13=1,IFERROR(1/'Smart Search'!H13,0),0)</f>
        <v/>
      </c>
      <c r="AC56" s="66">
        <f>IF('Smart Search'!E13=1,IFERROR(1/'Smart Search'!H13,0),0)</f>
        <v/>
      </c>
      <c r="AD56" s="66">
        <f>IF('Smart Search'!F13=1,IFERROR(1/'Smart Search'!H13,0),0)</f>
        <v/>
      </c>
      <c r="AE56" s="66">
        <f>IF('Smart Search'!F13=1,IFERROR(1/'Smart Search'!H13,0),0)</f>
        <v/>
      </c>
      <c r="AF56" s="66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66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66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66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66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66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66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66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66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66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66">
        <f>AF56*V56</f>
        <v/>
      </c>
      <c r="AQ56" s="66">
        <f>AG56*W56</f>
        <v/>
      </c>
      <c r="AR56" s="66">
        <f>AH56*X56</f>
        <v/>
      </c>
      <c r="AS56" s="66">
        <f>AI56*Y56</f>
        <v/>
      </c>
      <c r="AT56" s="66">
        <f>AJ56*Z56</f>
        <v/>
      </c>
      <c r="AU56" s="66">
        <f>AK56*AA56</f>
        <v/>
      </c>
      <c r="AV56" s="66">
        <f>AL56*AB56</f>
        <v/>
      </c>
      <c r="AW56" s="66">
        <f>AM56*AC56</f>
        <v/>
      </c>
      <c r="AX56" s="66">
        <f>AN56*AD56</f>
        <v/>
      </c>
      <c r="AY56" s="66">
        <f>AO56*AE56</f>
        <v/>
      </c>
      <c r="AZ56" s="66">
        <f>INDEX(Projects[Automation Equipment],55)&amp;""</f>
        <v/>
      </c>
      <c r="BA56" s="66">
        <f>IF(OR(A56="",'Smart Search'!H13=0),"",MAX(0,BE56*BF56*MAX(0,1-BG56)))</f>
        <v/>
      </c>
      <c r="BB56" s="66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66">
        <f>IF('Smart Search'!G13=1,IFERROR(1/'Smart Search'!H13,0),0)</f>
        <v/>
      </c>
      <c r="BD56" s="66">
        <f>BB56*BC56</f>
        <v/>
      </c>
      <c r="BE56" s="66">
        <f>AP56+AQ56+AR56+AS56+AT56+AU56+AV56+AW56+AX56+AY56+BD56</f>
        <v/>
      </c>
      <c r="BF56" s="5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5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5">
        <f>IF(AND(A56&lt;&gt;"",OR('Smart Search'!$L$5="",'Smart Search'!$L$5="All",TRIM(BZ56)=TRIM('Smart Search'!$L$5)),OR(TRIM('Smart Search'!$L$6)="",TRIM('Smart Search'!$L$6)="All",ISNUMBER(SEARCH(SUBSTITUTE(SUBSTITUTE(SUBSTITUTE(TRIM('Smart Search'!$L$6),"~","~~"),"*","~*"),"?","~?"),CA56))),OR('Smart Search'!$L$7="",AND(CB56&lt;&gt;0,CB56='Smart Search'!$L$7)),OR('Smart Search'!$L$8="",'Smart Search'!$L$8="All",TRIM(CC56)=TRIM('Smart Search'!$L$8))),IF(BA56="","",BA56+ROW()*0.0000000001),"")</f>
        <v/>
      </c>
      <c r="BI56" s="5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5">
        <f>IF(A56="","",N(INDEX(Projects[Mech Inst],55)))</f>
        <v/>
      </c>
      <c r="BK56" s="5">
        <f>IF(A56="","",N(INDEX(Projects[Elec Inst],55)))</f>
        <v/>
      </c>
      <c r="BL56" s="5">
        <f>IF(A56="","",N(INDEX(Projects[Project Management],55)))</f>
        <v/>
      </c>
      <c r="BM56" s="5">
        <f>IF(A56="","",N(INDEX(Projects[Systems Eng],55)))</f>
        <v/>
      </c>
      <c r="BN56" s="5">
        <f>IF(A56="","",N(INDEX(Projects[Mechanical Eng],55)))</f>
        <v/>
      </c>
      <c r="BO56" s="5">
        <f>IF(A56="","",N(INDEX(Projects[Structural Engineering],55)))</f>
        <v/>
      </c>
      <c r="BP56" s="5">
        <f>IF(A56="","",N(INDEX(Projects[Site Sup],55)))</f>
        <v/>
      </c>
      <c r="BQ56" s="5">
        <f>IF(A56="","",N(INDEX(Projects[Controls Commissioning],55)))</f>
        <v/>
      </c>
      <c r="BR56" s="5">
        <f>IF(A56="","",N(INDEX(Projects[Systems Commissioning],55)))</f>
        <v/>
      </c>
      <c r="BS56" s="5">
        <f>IF(A56="","",N(INDEX(Projects[Service Commissioning],55)))</f>
        <v/>
      </c>
      <c r="BT56" s="5">
        <f>IF(A56="","",N(INDEX(Projects[Controls Eng],55)))</f>
        <v/>
      </c>
      <c r="BU56" s="5">
        <f>IF(A56="","",N(INDEX(Projects[Controls Purchase],55)))</f>
        <v/>
      </c>
      <c r="BV56" s="5">
        <f>IF(A56="","",N(INDEX(Projects[Software Eng],55)))</f>
        <v/>
      </c>
      <c r="BW56" s="5">
        <f>IF(A56="","",N(INDEX(Projects[Misc],55)))</f>
        <v/>
      </c>
      <c r="BX56" s="5">
        <f>IF(A56="","",SUM(BJ56:BW56))</f>
        <v/>
      </c>
      <c r="BY56" s="5">
        <f>IF(A56="","",IFERROR(IF(ISNUMBER(U56),U56,VALUE(SUBSTITUTE(SUBSTITUTE(SUBSTITUTE(UPPER(TRIM(U56)),"M",""),",","")," ",""))),0))</f>
        <v/>
      </c>
      <c r="BZ56" s="5">
        <f>INDEX(Projects[Solution Type],55)&amp;""</f>
        <v/>
      </c>
      <c r="CA56" s="5">
        <f>INDEX(Projects[Client / Region],55)&amp;""</f>
        <v/>
      </c>
      <c r="CB56" s="5">
        <f>INDEX(Projects[Year],55)</f>
        <v/>
      </c>
      <c r="CC56" s="5">
        <f>INDEX(Projects[Won?],55)&amp;""</f>
        <v/>
      </c>
      <c r="CD56" s="5">
        <f>INDEX(Projects[Value (USD M)],55)</f>
        <v/>
      </c>
    </row>
    <row r="57" ht="15" customHeight="1" s="74">
      <c r="A57" s="66">
        <f>INDEX(Projects[Project ID *],56)&amp;""</f>
        <v/>
      </c>
      <c r="B57" s="66">
        <f>INDEX(Projects[Project Name *],56)&amp;""</f>
        <v/>
      </c>
      <c r="C57" s="66">
        <f>INDEX(Projects[MS Shuttles],56)</f>
        <v/>
      </c>
      <c r="D57" s="66">
        <f>INDEX(Projects[MS Tote Locations],56)</f>
        <v/>
      </c>
      <c r="E57" s="66">
        <f>INDEX(Projects[AS Robots],56)</f>
        <v/>
      </c>
      <c r="F57" s="66">
        <f>INDEX(Projects[AS Tote Locations],56)</f>
        <v/>
      </c>
      <c r="G57" s="66">
        <f>INDEX(Projects[PS Shuttles],56)</f>
        <v/>
      </c>
      <c r="H57" s="66">
        <f>INDEX(Projects[PS Pallet Locations],56)</f>
        <v/>
      </c>
      <c r="I57" s="66">
        <f>INDEX(Projects[SRM Cranes],56)</f>
        <v/>
      </c>
      <c r="J57" s="66">
        <f>INDEX(Projects[SRM Pallet Locations],56)</f>
        <v/>
      </c>
      <c r="K57" s="66">
        <f>INDEX(Projects[Case Conv (m)],56)</f>
        <v/>
      </c>
      <c r="L57" s="66">
        <f>INDEX(Projects[Pallet Conv (m)],56)</f>
        <v/>
      </c>
      <c r="M57" s="66">
        <f>INDEX(Projects[Mech Eng (wks)],56)</f>
        <v/>
      </c>
      <c r="N57" s="66">
        <f>INDEX(Projects[Controls Eng (wks)],56)</f>
        <v/>
      </c>
      <c r="O57" s="66">
        <f>INDEX(Projects[Systems Eng (wks)],56)</f>
        <v/>
      </c>
      <c r="P57" s="66">
        <f>INDEX(Projects[Software Eng (wks)],56)</f>
        <v/>
      </c>
      <c r="Q57" s="66">
        <f>INDEX(Projects[M&amp;E Installation (wks)],56)</f>
        <v/>
      </c>
      <c r="R57" s="66">
        <f>INDEX(Projects[Commissioning (wks)],56)</f>
        <v/>
      </c>
      <c r="S57" s="66">
        <f>INDEX(Projects[Total Timeline (wks)],56)</f>
        <v/>
      </c>
      <c r="T57" s="66">
        <f>INDEX(Projects[Currency],56)&amp;""</f>
        <v/>
      </c>
      <c r="U57" s="67">
        <f>INDEX(Projects[Value (M)],56)</f>
        <v/>
      </c>
      <c r="V57" s="66">
        <f>IF('Smart Search'!B13=1,IFERROR(1/'Smart Search'!H13,0),0)</f>
        <v/>
      </c>
      <c r="W57" s="66">
        <f>IF('Smart Search'!B13=1,IFERROR(1/'Smart Search'!H13,0),0)</f>
        <v/>
      </c>
      <c r="X57" s="66">
        <f>IF('Smart Search'!C13=1,IFERROR(1/'Smart Search'!H13,0),0)</f>
        <v/>
      </c>
      <c r="Y57" s="66">
        <f>IF('Smart Search'!C13=1,IFERROR(1/'Smart Search'!H13,0),0)</f>
        <v/>
      </c>
      <c r="Z57" s="66">
        <f>IF('Smart Search'!D13=1,IFERROR(1/'Smart Search'!H13,0),0)</f>
        <v/>
      </c>
      <c r="AA57" s="66">
        <f>IF('Smart Search'!D13=1,IFERROR(1/'Smart Search'!H13,0),0)</f>
        <v/>
      </c>
      <c r="AB57" s="66">
        <f>IF('Smart Search'!E13=1,IFERROR(1/'Smart Search'!H13,0),0)</f>
        <v/>
      </c>
      <c r="AC57" s="66">
        <f>IF('Smart Search'!E13=1,IFERROR(1/'Smart Search'!H13,0),0)</f>
        <v/>
      </c>
      <c r="AD57" s="66">
        <f>IF('Smart Search'!F13=1,IFERROR(1/'Smart Search'!H13,0),0)</f>
        <v/>
      </c>
      <c r="AE57" s="66">
        <f>IF('Smart Search'!F13=1,IFERROR(1/'Smart Search'!H13,0),0)</f>
        <v/>
      </c>
      <c r="AF57" s="66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66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66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66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66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66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66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66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66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66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66">
        <f>AF57*V57</f>
        <v/>
      </c>
      <c r="AQ57" s="66">
        <f>AG57*W57</f>
        <v/>
      </c>
      <c r="AR57" s="66">
        <f>AH57*X57</f>
        <v/>
      </c>
      <c r="AS57" s="66">
        <f>AI57*Y57</f>
        <v/>
      </c>
      <c r="AT57" s="66">
        <f>AJ57*Z57</f>
        <v/>
      </c>
      <c r="AU57" s="66">
        <f>AK57*AA57</f>
        <v/>
      </c>
      <c r="AV57" s="66">
        <f>AL57*AB57</f>
        <v/>
      </c>
      <c r="AW57" s="66">
        <f>AM57*AC57</f>
        <v/>
      </c>
      <c r="AX57" s="66">
        <f>AN57*AD57</f>
        <v/>
      </c>
      <c r="AY57" s="66">
        <f>AO57*AE57</f>
        <v/>
      </c>
      <c r="AZ57" s="66">
        <f>INDEX(Projects[Automation Equipment],56)&amp;""</f>
        <v/>
      </c>
      <c r="BA57" s="66">
        <f>IF(OR(A57="",'Smart Search'!H13=0),"",MAX(0,BE57*BF57*MAX(0,1-BG57)))</f>
        <v/>
      </c>
      <c r="BB57" s="66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66">
        <f>IF('Smart Search'!G13=1,IFERROR(1/'Smart Search'!H13,0),0)</f>
        <v/>
      </c>
      <c r="BD57" s="66">
        <f>BB57*BC57</f>
        <v/>
      </c>
      <c r="BE57" s="66">
        <f>AP57+AQ57+AR57+AS57+AT57+AU57+AV57+AW57+AX57+AY57+BD57</f>
        <v/>
      </c>
      <c r="BF57" s="5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5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5">
        <f>IF(AND(A57&lt;&gt;"",OR('Smart Search'!$L$5="",'Smart Search'!$L$5="All",TRIM(BZ57)=TRIM('Smart Search'!$L$5)),OR(TRIM('Smart Search'!$L$6)="",TRIM('Smart Search'!$L$6)="All",ISNUMBER(SEARCH(SUBSTITUTE(SUBSTITUTE(SUBSTITUTE(TRIM('Smart Search'!$L$6),"~","~~"),"*","~*"),"?","~?"),CA57))),OR('Smart Search'!$L$7="",AND(CB57&lt;&gt;0,CB57='Smart Search'!$L$7)),OR('Smart Search'!$L$8="",'Smart Search'!$L$8="All",TRIM(CC57)=TRIM('Smart Search'!$L$8))),IF(BA57="","",BA57+ROW()*0.0000000001),"")</f>
        <v/>
      </c>
      <c r="BI57" s="5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5">
        <f>IF(A57="","",N(INDEX(Projects[Mech Inst],56)))</f>
        <v/>
      </c>
      <c r="BK57" s="5">
        <f>IF(A57="","",N(INDEX(Projects[Elec Inst],56)))</f>
        <v/>
      </c>
      <c r="BL57" s="5">
        <f>IF(A57="","",N(INDEX(Projects[Project Management],56)))</f>
        <v/>
      </c>
      <c r="BM57" s="5">
        <f>IF(A57="","",N(INDEX(Projects[Systems Eng],56)))</f>
        <v/>
      </c>
      <c r="BN57" s="5">
        <f>IF(A57="","",N(INDEX(Projects[Mechanical Eng],56)))</f>
        <v/>
      </c>
      <c r="BO57" s="5">
        <f>IF(A57="","",N(INDEX(Projects[Structural Engineering],56)))</f>
        <v/>
      </c>
      <c r="BP57" s="5">
        <f>IF(A57="","",N(INDEX(Projects[Site Sup],56)))</f>
        <v/>
      </c>
      <c r="BQ57" s="5">
        <f>IF(A57="","",N(INDEX(Projects[Controls Commissioning],56)))</f>
        <v/>
      </c>
      <c r="BR57" s="5">
        <f>IF(A57="","",N(INDEX(Projects[Systems Commissioning],56)))</f>
        <v/>
      </c>
      <c r="BS57" s="5">
        <f>IF(A57="","",N(INDEX(Projects[Service Commissioning],56)))</f>
        <v/>
      </c>
      <c r="BT57" s="5">
        <f>IF(A57="","",N(INDEX(Projects[Controls Eng],56)))</f>
        <v/>
      </c>
      <c r="BU57" s="5">
        <f>IF(A57="","",N(INDEX(Projects[Controls Purchase],56)))</f>
        <v/>
      </c>
      <c r="BV57" s="5">
        <f>IF(A57="","",N(INDEX(Projects[Software Eng],56)))</f>
        <v/>
      </c>
      <c r="BW57" s="5">
        <f>IF(A57="","",N(INDEX(Projects[Misc],56)))</f>
        <v/>
      </c>
      <c r="BX57" s="5">
        <f>IF(A57="","",SUM(BJ57:BW57))</f>
        <v/>
      </c>
      <c r="BY57" s="5">
        <f>IF(A57="","",IFERROR(IF(ISNUMBER(U57),U57,VALUE(SUBSTITUTE(SUBSTITUTE(SUBSTITUTE(UPPER(TRIM(U57)),"M",""),",","")," ",""))),0))</f>
        <v/>
      </c>
      <c r="BZ57" s="5">
        <f>INDEX(Projects[Solution Type],56)&amp;""</f>
        <v/>
      </c>
      <c r="CA57" s="5">
        <f>INDEX(Projects[Client / Region],56)&amp;""</f>
        <v/>
      </c>
      <c r="CB57" s="5">
        <f>INDEX(Projects[Year],56)</f>
        <v/>
      </c>
      <c r="CC57" s="5">
        <f>INDEX(Projects[Won?],56)&amp;""</f>
        <v/>
      </c>
      <c r="CD57" s="5">
        <f>INDEX(Projects[Value (USD M)],56)</f>
        <v/>
      </c>
    </row>
    <row r="58" ht="15" customHeight="1" s="74">
      <c r="A58" s="66">
        <f>INDEX(Projects[Project ID *],57)&amp;""</f>
        <v/>
      </c>
      <c r="B58" s="66">
        <f>INDEX(Projects[Project Name *],57)&amp;""</f>
        <v/>
      </c>
      <c r="C58" s="66">
        <f>INDEX(Projects[MS Shuttles],57)</f>
        <v/>
      </c>
      <c r="D58" s="66">
        <f>INDEX(Projects[MS Tote Locations],57)</f>
        <v/>
      </c>
      <c r="E58" s="66">
        <f>INDEX(Projects[AS Robots],57)</f>
        <v/>
      </c>
      <c r="F58" s="66">
        <f>INDEX(Projects[AS Tote Locations],57)</f>
        <v/>
      </c>
      <c r="G58" s="66">
        <f>INDEX(Projects[PS Shuttles],57)</f>
        <v/>
      </c>
      <c r="H58" s="66">
        <f>INDEX(Projects[PS Pallet Locations],57)</f>
        <v/>
      </c>
      <c r="I58" s="66">
        <f>INDEX(Projects[SRM Cranes],57)</f>
        <v/>
      </c>
      <c r="J58" s="66">
        <f>INDEX(Projects[SRM Pallet Locations],57)</f>
        <v/>
      </c>
      <c r="K58" s="66">
        <f>INDEX(Projects[Case Conv (m)],57)</f>
        <v/>
      </c>
      <c r="L58" s="66">
        <f>INDEX(Projects[Pallet Conv (m)],57)</f>
        <v/>
      </c>
      <c r="M58" s="66">
        <f>INDEX(Projects[Mech Eng (wks)],57)</f>
        <v/>
      </c>
      <c r="N58" s="66">
        <f>INDEX(Projects[Controls Eng (wks)],57)</f>
        <v/>
      </c>
      <c r="O58" s="66">
        <f>INDEX(Projects[Systems Eng (wks)],57)</f>
        <v/>
      </c>
      <c r="P58" s="66">
        <f>INDEX(Projects[Software Eng (wks)],57)</f>
        <v/>
      </c>
      <c r="Q58" s="66">
        <f>INDEX(Projects[M&amp;E Installation (wks)],57)</f>
        <v/>
      </c>
      <c r="R58" s="66">
        <f>INDEX(Projects[Commissioning (wks)],57)</f>
        <v/>
      </c>
      <c r="S58" s="66">
        <f>INDEX(Projects[Total Timeline (wks)],57)</f>
        <v/>
      </c>
      <c r="T58" s="66">
        <f>INDEX(Projects[Currency],57)&amp;""</f>
        <v/>
      </c>
      <c r="U58" s="67">
        <f>INDEX(Projects[Value (M)],57)</f>
        <v/>
      </c>
      <c r="V58" s="66">
        <f>IF('Smart Search'!B13=1,IFERROR(1/'Smart Search'!H13,0),0)</f>
        <v/>
      </c>
      <c r="W58" s="66">
        <f>IF('Smart Search'!B13=1,IFERROR(1/'Smart Search'!H13,0),0)</f>
        <v/>
      </c>
      <c r="X58" s="66">
        <f>IF('Smart Search'!C13=1,IFERROR(1/'Smart Search'!H13,0),0)</f>
        <v/>
      </c>
      <c r="Y58" s="66">
        <f>IF('Smart Search'!C13=1,IFERROR(1/'Smart Search'!H13,0),0)</f>
        <v/>
      </c>
      <c r="Z58" s="66">
        <f>IF('Smart Search'!D13=1,IFERROR(1/'Smart Search'!H13,0),0)</f>
        <v/>
      </c>
      <c r="AA58" s="66">
        <f>IF('Smart Search'!D13=1,IFERROR(1/'Smart Search'!H13,0),0)</f>
        <v/>
      </c>
      <c r="AB58" s="66">
        <f>IF('Smart Search'!E13=1,IFERROR(1/'Smart Search'!H13,0),0)</f>
        <v/>
      </c>
      <c r="AC58" s="66">
        <f>IF('Smart Search'!E13=1,IFERROR(1/'Smart Search'!H13,0),0)</f>
        <v/>
      </c>
      <c r="AD58" s="66">
        <f>IF('Smart Search'!F13=1,IFERROR(1/'Smart Search'!H13,0),0)</f>
        <v/>
      </c>
      <c r="AE58" s="66">
        <f>IF('Smart Search'!F13=1,IFERROR(1/'Smart Search'!H13,0),0)</f>
        <v/>
      </c>
      <c r="AF58" s="66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66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66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66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66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66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66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66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66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66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66">
        <f>AF58*V58</f>
        <v/>
      </c>
      <c r="AQ58" s="66">
        <f>AG58*W58</f>
        <v/>
      </c>
      <c r="AR58" s="66">
        <f>AH58*X58</f>
        <v/>
      </c>
      <c r="AS58" s="66">
        <f>AI58*Y58</f>
        <v/>
      </c>
      <c r="AT58" s="66">
        <f>AJ58*Z58</f>
        <v/>
      </c>
      <c r="AU58" s="66">
        <f>AK58*AA58</f>
        <v/>
      </c>
      <c r="AV58" s="66">
        <f>AL58*AB58</f>
        <v/>
      </c>
      <c r="AW58" s="66">
        <f>AM58*AC58</f>
        <v/>
      </c>
      <c r="AX58" s="66">
        <f>AN58*AD58</f>
        <v/>
      </c>
      <c r="AY58" s="66">
        <f>AO58*AE58</f>
        <v/>
      </c>
      <c r="AZ58" s="66">
        <f>INDEX(Projects[Automation Equipment],57)&amp;""</f>
        <v/>
      </c>
      <c r="BA58" s="66">
        <f>IF(OR(A58="",'Smart Search'!H13=0),"",MAX(0,BE58*BF58*MAX(0,1-BG58)))</f>
        <v/>
      </c>
      <c r="BB58" s="66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66">
        <f>IF('Smart Search'!G13=1,IFERROR(1/'Smart Search'!H13,0),0)</f>
        <v/>
      </c>
      <c r="BD58" s="66">
        <f>BB58*BC58</f>
        <v/>
      </c>
      <c r="BE58" s="66">
        <f>AP58+AQ58+AR58+AS58+AT58+AU58+AV58+AW58+AX58+AY58+BD58</f>
        <v/>
      </c>
      <c r="BF58" s="5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5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5">
        <f>IF(AND(A58&lt;&gt;"",OR('Smart Search'!$L$5="",'Smart Search'!$L$5="All",TRIM(BZ58)=TRIM('Smart Search'!$L$5)),OR(TRIM('Smart Search'!$L$6)="",TRIM('Smart Search'!$L$6)="All",ISNUMBER(SEARCH(SUBSTITUTE(SUBSTITUTE(SUBSTITUTE(TRIM('Smart Search'!$L$6),"~","~~"),"*","~*"),"?","~?"),CA58))),OR('Smart Search'!$L$7="",AND(CB58&lt;&gt;0,CB58='Smart Search'!$L$7)),OR('Smart Search'!$L$8="",'Smart Search'!$L$8="All",TRIM(CC58)=TRIM('Smart Search'!$L$8))),IF(BA58="","",BA58+ROW()*0.0000000001),"")</f>
        <v/>
      </c>
      <c r="BI58" s="5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5">
        <f>IF(A58="","",N(INDEX(Projects[Mech Inst],57)))</f>
        <v/>
      </c>
      <c r="BK58" s="5">
        <f>IF(A58="","",N(INDEX(Projects[Elec Inst],57)))</f>
        <v/>
      </c>
      <c r="BL58" s="5">
        <f>IF(A58="","",N(INDEX(Projects[Project Management],57)))</f>
        <v/>
      </c>
      <c r="BM58" s="5">
        <f>IF(A58="","",N(INDEX(Projects[Systems Eng],57)))</f>
        <v/>
      </c>
      <c r="BN58" s="5">
        <f>IF(A58="","",N(INDEX(Projects[Mechanical Eng],57)))</f>
        <v/>
      </c>
      <c r="BO58" s="5">
        <f>IF(A58="","",N(INDEX(Projects[Structural Engineering],57)))</f>
        <v/>
      </c>
      <c r="BP58" s="5">
        <f>IF(A58="","",N(INDEX(Projects[Site Sup],57)))</f>
        <v/>
      </c>
      <c r="BQ58" s="5">
        <f>IF(A58="","",N(INDEX(Projects[Controls Commissioning],57)))</f>
        <v/>
      </c>
      <c r="BR58" s="5">
        <f>IF(A58="","",N(INDEX(Projects[Systems Commissioning],57)))</f>
        <v/>
      </c>
      <c r="BS58" s="5">
        <f>IF(A58="","",N(INDEX(Projects[Service Commissioning],57)))</f>
        <v/>
      </c>
      <c r="BT58" s="5">
        <f>IF(A58="","",N(INDEX(Projects[Controls Eng],57)))</f>
        <v/>
      </c>
      <c r="BU58" s="5">
        <f>IF(A58="","",N(INDEX(Projects[Controls Purchase],57)))</f>
        <v/>
      </c>
      <c r="BV58" s="5">
        <f>IF(A58="","",N(INDEX(Projects[Software Eng],57)))</f>
        <v/>
      </c>
      <c r="BW58" s="5">
        <f>IF(A58="","",N(INDEX(Projects[Misc],57)))</f>
        <v/>
      </c>
      <c r="BX58" s="5">
        <f>IF(A58="","",SUM(BJ58:BW58))</f>
        <v/>
      </c>
      <c r="BY58" s="5">
        <f>IF(A58="","",IFERROR(IF(ISNUMBER(U58),U58,VALUE(SUBSTITUTE(SUBSTITUTE(SUBSTITUTE(UPPER(TRIM(U58)),"M",""),",","")," ",""))),0))</f>
        <v/>
      </c>
      <c r="BZ58" s="5">
        <f>INDEX(Projects[Solution Type],57)&amp;""</f>
        <v/>
      </c>
      <c r="CA58" s="5">
        <f>INDEX(Projects[Client / Region],57)&amp;""</f>
        <v/>
      </c>
      <c r="CB58" s="5">
        <f>INDEX(Projects[Year],57)</f>
        <v/>
      </c>
      <c r="CC58" s="5">
        <f>INDEX(Projects[Won?],57)&amp;""</f>
        <v/>
      </c>
      <c r="CD58" s="5">
        <f>INDEX(Projects[Value (USD M)],57)</f>
        <v/>
      </c>
    </row>
    <row r="59" ht="15" customHeight="1" s="74">
      <c r="A59" s="66">
        <f>INDEX(Projects[Project ID *],58)&amp;""</f>
        <v/>
      </c>
      <c r="B59" s="66">
        <f>INDEX(Projects[Project Name *],58)&amp;""</f>
        <v/>
      </c>
      <c r="C59" s="66">
        <f>INDEX(Projects[MS Shuttles],58)</f>
        <v/>
      </c>
      <c r="D59" s="66">
        <f>INDEX(Projects[MS Tote Locations],58)</f>
        <v/>
      </c>
      <c r="E59" s="66">
        <f>INDEX(Projects[AS Robots],58)</f>
        <v/>
      </c>
      <c r="F59" s="66">
        <f>INDEX(Projects[AS Tote Locations],58)</f>
        <v/>
      </c>
      <c r="G59" s="66">
        <f>INDEX(Projects[PS Shuttles],58)</f>
        <v/>
      </c>
      <c r="H59" s="66">
        <f>INDEX(Projects[PS Pallet Locations],58)</f>
        <v/>
      </c>
      <c r="I59" s="66">
        <f>INDEX(Projects[SRM Cranes],58)</f>
        <v/>
      </c>
      <c r="J59" s="66">
        <f>INDEX(Projects[SRM Pallet Locations],58)</f>
        <v/>
      </c>
      <c r="K59" s="66">
        <f>INDEX(Projects[Case Conv (m)],58)</f>
        <v/>
      </c>
      <c r="L59" s="66">
        <f>INDEX(Projects[Pallet Conv (m)],58)</f>
        <v/>
      </c>
      <c r="M59" s="66">
        <f>INDEX(Projects[Mech Eng (wks)],58)</f>
        <v/>
      </c>
      <c r="N59" s="66">
        <f>INDEX(Projects[Controls Eng (wks)],58)</f>
        <v/>
      </c>
      <c r="O59" s="66">
        <f>INDEX(Projects[Systems Eng (wks)],58)</f>
        <v/>
      </c>
      <c r="P59" s="66">
        <f>INDEX(Projects[Software Eng (wks)],58)</f>
        <v/>
      </c>
      <c r="Q59" s="66">
        <f>INDEX(Projects[M&amp;E Installation (wks)],58)</f>
        <v/>
      </c>
      <c r="R59" s="66">
        <f>INDEX(Projects[Commissioning (wks)],58)</f>
        <v/>
      </c>
      <c r="S59" s="66">
        <f>INDEX(Projects[Total Timeline (wks)],58)</f>
        <v/>
      </c>
      <c r="T59" s="66">
        <f>INDEX(Projects[Currency],58)&amp;""</f>
        <v/>
      </c>
      <c r="U59" s="67">
        <f>INDEX(Projects[Value (M)],58)</f>
        <v/>
      </c>
      <c r="V59" s="66">
        <f>IF('Smart Search'!B13=1,IFERROR(1/'Smart Search'!H13,0),0)</f>
        <v/>
      </c>
      <c r="W59" s="66">
        <f>IF('Smart Search'!B13=1,IFERROR(1/'Smart Search'!H13,0),0)</f>
        <v/>
      </c>
      <c r="X59" s="66">
        <f>IF('Smart Search'!C13=1,IFERROR(1/'Smart Search'!H13,0),0)</f>
        <v/>
      </c>
      <c r="Y59" s="66">
        <f>IF('Smart Search'!C13=1,IFERROR(1/'Smart Search'!H13,0),0)</f>
        <v/>
      </c>
      <c r="Z59" s="66">
        <f>IF('Smart Search'!D13=1,IFERROR(1/'Smart Search'!H13,0),0)</f>
        <v/>
      </c>
      <c r="AA59" s="66">
        <f>IF('Smart Search'!D13=1,IFERROR(1/'Smart Search'!H13,0),0)</f>
        <v/>
      </c>
      <c r="AB59" s="66">
        <f>IF('Smart Search'!E13=1,IFERROR(1/'Smart Search'!H13,0),0)</f>
        <v/>
      </c>
      <c r="AC59" s="66">
        <f>IF('Smart Search'!E13=1,IFERROR(1/'Smart Search'!H13,0),0)</f>
        <v/>
      </c>
      <c r="AD59" s="66">
        <f>IF('Smart Search'!F13=1,IFERROR(1/'Smart Search'!H13,0),0)</f>
        <v/>
      </c>
      <c r="AE59" s="66">
        <f>IF('Smart Search'!F13=1,IFERROR(1/'Smart Search'!H13,0),0)</f>
        <v/>
      </c>
      <c r="AF59" s="66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66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66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66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66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66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66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66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66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66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66">
        <f>AF59*V59</f>
        <v/>
      </c>
      <c r="AQ59" s="66">
        <f>AG59*W59</f>
        <v/>
      </c>
      <c r="AR59" s="66">
        <f>AH59*X59</f>
        <v/>
      </c>
      <c r="AS59" s="66">
        <f>AI59*Y59</f>
        <v/>
      </c>
      <c r="AT59" s="66">
        <f>AJ59*Z59</f>
        <v/>
      </c>
      <c r="AU59" s="66">
        <f>AK59*AA59</f>
        <v/>
      </c>
      <c r="AV59" s="66">
        <f>AL59*AB59</f>
        <v/>
      </c>
      <c r="AW59" s="66">
        <f>AM59*AC59</f>
        <v/>
      </c>
      <c r="AX59" s="66">
        <f>AN59*AD59</f>
        <v/>
      </c>
      <c r="AY59" s="66">
        <f>AO59*AE59</f>
        <v/>
      </c>
      <c r="AZ59" s="66">
        <f>INDEX(Projects[Automation Equipment],58)&amp;""</f>
        <v/>
      </c>
      <c r="BA59" s="66">
        <f>IF(OR(A59="",'Smart Search'!H13=0),"",MAX(0,BE59*BF59*MAX(0,1-BG59)))</f>
        <v/>
      </c>
      <c r="BB59" s="66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66">
        <f>IF('Smart Search'!G13=1,IFERROR(1/'Smart Search'!H13,0),0)</f>
        <v/>
      </c>
      <c r="BD59" s="66">
        <f>BB59*BC59</f>
        <v/>
      </c>
      <c r="BE59" s="66">
        <f>AP59+AQ59+AR59+AS59+AT59+AU59+AV59+AW59+AX59+AY59+BD59</f>
        <v/>
      </c>
      <c r="BF59" s="5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5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5">
        <f>IF(AND(A59&lt;&gt;"",OR('Smart Search'!$L$5="",'Smart Search'!$L$5="All",TRIM(BZ59)=TRIM('Smart Search'!$L$5)),OR(TRIM('Smart Search'!$L$6)="",TRIM('Smart Search'!$L$6)="All",ISNUMBER(SEARCH(SUBSTITUTE(SUBSTITUTE(SUBSTITUTE(TRIM('Smart Search'!$L$6),"~","~~"),"*","~*"),"?","~?"),CA59))),OR('Smart Search'!$L$7="",AND(CB59&lt;&gt;0,CB59='Smart Search'!$L$7)),OR('Smart Search'!$L$8="",'Smart Search'!$L$8="All",TRIM(CC59)=TRIM('Smart Search'!$L$8))),IF(BA59="","",BA59+ROW()*0.0000000001),"")</f>
        <v/>
      </c>
      <c r="BI59" s="5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5">
        <f>IF(A59="","",N(INDEX(Projects[Mech Inst],58)))</f>
        <v/>
      </c>
      <c r="BK59" s="5">
        <f>IF(A59="","",N(INDEX(Projects[Elec Inst],58)))</f>
        <v/>
      </c>
      <c r="BL59" s="5">
        <f>IF(A59="","",N(INDEX(Projects[Project Management],58)))</f>
        <v/>
      </c>
      <c r="BM59" s="5">
        <f>IF(A59="","",N(INDEX(Projects[Systems Eng],58)))</f>
        <v/>
      </c>
      <c r="BN59" s="5">
        <f>IF(A59="","",N(INDEX(Projects[Mechanical Eng],58)))</f>
        <v/>
      </c>
      <c r="BO59" s="5">
        <f>IF(A59="","",N(INDEX(Projects[Structural Engineering],58)))</f>
        <v/>
      </c>
      <c r="BP59" s="5">
        <f>IF(A59="","",N(INDEX(Projects[Site Sup],58)))</f>
        <v/>
      </c>
      <c r="BQ59" s="5">
        <f>IF(A59="","",N(INDEX(Projects[Controls Commissioning],58)))</f>
        <v/>
      </c>
      <c r="BR59" s="5">
        <f>IF(A59="","",N(INDEX(Projects[Systems Commissioning],58)))</f>
        <v/>
      </c>
      <c r="BS59" s="5">
        <f>IF(A59="","",N(INDEX(Projects[Service Commissioning],58)))</f>
        <v/>
      </c>
      <c r="BT59" s="5">
        <f>IF(A59="","",N(INDEX(Projects[Controls Eng],58)))</f>
        <v/>
      </c>
      <c r="BU59" s="5">
        <f>IF(A59="","",N(INDEX(Projects[Controls Purchase],58)))</f>
        <v/>
      </c>
      <c r="BV59" s="5">
        <f>IF(A59="","",N(INDEX(Projects[Software Eng],58)))</f>
        <v/>
      </c>
      <c r="BW59" s="5">
        <f>IF(A59="","",N(INDEX(Projects[Misc],58)))</f>
        <v/>
      </c>
      <c r="BX59" s="5">
        <f>IF(A59="","",SUM(BJ59:BW59))</f>
        <v/>
      </c>
      <c r="BY59" s="5">
        <f>IF(A59="","",IFERROR(IF(ISNUMBER(U59),U59,VALUE(SUBSTITUTE(SUBSTITUTE(SUBSTITUTE(UPPER(TRIM(U59)),"M",""),",","")," ",""))),0))</f>
        <v/>
      </c>
      <c r="BZ59" s="5">
        <f>INDEX(Projects[Solution Type],58)&amp;""</f>
        <v/>
      </c>
      <c r="CA59" s="5">
        <f>INDEX(Projects[Client / Region],58)&amp;""</f>
        <v/>
      </c>
      <c r="CB59" s="5">
        <f>INDEX(Projects[Year],58)</f>
        <v/>
      </c>
      <c r="CC59" s="5">
        <f>INDEX(Projects[Won?],58)&amp;""</f>
        <v/>
      </c>
      <c r="CD59" s="5">
        <f>INDEX(Projects[Value (USD M)],58)</f>
        <v/>
      </c>
    </row>
    <row r="60" ht="15" customHeight="1" s="74">
      <c r="A60" s="66">
        <f>INDEX(Projects[Project ID *],59)&amp;""</f>
        <v/>
      </c>
      <c r="B60" s="66">
        <f>INDEX(Projects[Project Name *],59)&amp;""</f>
        <v/>
      </c>
      <c r="C60" s="66">
        <f>INDEX(Projects[MS Shuttles],59)</f>
        <v/>
      </c>
      <c r="D60" s="66">
        <f>INDEX(Projects[MS Tote Locations],59)</f>
        <v/>
      </c>
      <c r="E60" s="66">
        <f>INDEX(Projects[AS Robots],59)</f>
        <v/>
      </c>
      <c r="F60" s="66">
        <f>INDEX(Projects[AS Tote Locations],59)</f>
        <v/>
      </c>
      <c r="G60" s="66">
        <f>INDEX(Projects[PS Shuttles],59)</f>
        <v/>
      </c>
      <c r="H60" s="66">
        <f>INDEX(Projects[PS Pallet Locations],59)</f>
        <v/>
      </c>
      <c r="I60" s="66">
        <f>INDEX(Projects[SRM Cranes],59)</f>
        <v/>
      </c>
      <c r="J60" s="66">
        <f>INDEX(Projects[SRM Pallet Locations],59)</f>
        <v/>
      </c>
      <c r="K60" s="66">
        <f>INDEX(Projects[Case Conv (m)],59)</f>
        <v/>
      </c>
      <c r="L60" s="66">
        <f>INDEX(Projects[Pallet Conv (m)],59)</f>
        <v/>
      </c>
      <c r="M60" s="66">
        <f>INDEX(Projects[Mech Eng (wks)],59)</f>
        <v/>
      </c>
      <c r="N60" s="66">
        <f>INDEX(Projects[Controls Eng (wks)],59)</f>
        <v/>
      </c>
      <c r="O60" s="66">
        <f>INDEX(Projects[Systems Eng (wks)],59)</f>
        <v/>
      </c>
      <c r="P60" s="66">
        <f>INDEX(Projects[Software Eng (wks)],59)</f>
        <v/>
      </c>
      <c r="Q60" s="66">
        <f>INDEX(Projects[M&amp;E Installation (wks)],59)</f>
        <v/>
      </c>
      <c r="R60" s="66">
        <f>INDEX(Projects[Commissioning (wks)],59)</f>
        <v/>
      </c>
      <c r="S60" s="66">
        <f>INDEX(Projects[Total Timeline (wks)],59)</f>
        <v/>
      </c>
      <c r="T60" s="66">
        <f>INDEX(Projects[Currency],59)&amp;""</f>
        <v/>
      </c>
      <c r="U60" s="67">
        <f>INDEX(Projects[Value (M)],59)</f>
        <v/>
      </c>
      <c r="V60" s="66">
        <f>IF('Smart Search'!B13=1,IFERROR(1/'Smart Search'!H13,0),0)</f>
        <v/>
      </c>
      <c r="W60" s="66">
        <f>IF('Smart Search'!B13=1,IFERROR(1/'Smart Search'!H13,0),0)</f>
        <v/>
      </c>
      <c r="X60" s="66">
        <f>IF('Smart Search'!C13=1,IFERROR(1/'Smart Search'!H13,0),0)</f>
        <v/>
      </c>
      <c r="Y60" s="66">
        <f>IF('Smart Search'!C13=1,IFERROR(1/'Smart Search'!H13,0),0)</f>
        <v/>
      </c>
      <c r="Z60" s="66">
        <f>IF('Smart Search'!D13=1,IFERROR(1/'Smart Search'!H13,0),0)</f>
        <v/>
      </c>
      <c r="AA60" s="66">
        <f>IF('Smart Search'!D13=1,IFERROR(1/'Smart Search'!H13,0),0)</f>
        <v/>
      </c>
      <c r="AB60" s="66">
        <f>IF('Smart Search'!E13=1,IFERROR(1/'Smart Search'!H13,0),0)</f>
        <v/>
      </c>
      <c r="AC60" s="66">
        <f>IF('Smart Search'!E13=1,IFERROR(1/'Smart Search'!H13,0),0)</f>
        <v/>
      </c>
      <c r="AD60" s="66">
        <f>IF('Smart Search'!F13=1,IFERROR(1/'Smart Search'!H13,0),0)</f>
        <v/>
      </c>
      <c r="AE60" s="66">
        <f>IF('Smart Search'!F13=1,IFERROR(1/'Smart Search'!H13,0),0)</f>
        <v/>
      </c>
      <c r="AF60" s="66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66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66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66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66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66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66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66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66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66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66">
        <f>AF60*V60</f>
        <v/>
      </c>
      <c r="AQ60" s="66">
        <f>AG60*W60</f>
        <v/>
      </c>
      <c r="AR60" s="66">
        <f>AH60*X60</f>
        <v/>
      </c>
      <c r="AS60" s="66">
        <f>AI60*Y60</f>
        <v/>
      </c>
      <c r="AT60" s="66">
        <f>AJ60*Z60</f>
        <v/>
      </c>
      <c r="AU60" s="66">
        <f>AK60*AA60</f>
        <v/>
      </c>
      <c r="AV60" s="66">
        <f>AL60*AB60</f>
        <v/>
      </c>
      <c r="AW60" s="66">
        <f>AM60*AC60</f>
        <v/>
      </c>
      <c r="AX60" s="66">
        <f>AN60*AD60</f>
        <v/>
      </c>
      <c r="AY60" s="66">
        <f>AO60*AE60</f>
        <v/>
      </c>
      <c r="AZ60" s="66">
        <f>INDEX(Projects[Automation Equipment],59)&amp;""</f>
        <v/>
      </c>
      <c r="BA60" s="66">
        <f>IF(OR(A60="",'Smart Search'!H13=0),"",MAX(0,BE60*BF60*MAX(0,1-BG60)))</f>
        <v/>
      </c>
      <c r="BB60" s="66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66">
        <f>IF('Smart Search'!G13=1,IFERROR(1/'Smart Search'!H13,0),0)</f>
        <v/>
      </c>
      <c r="BD60" s="66">
        <f>BB60*BC60</f>
        <v/>
      </c>
      <c r="BE60" s="66">
        <f>AP60+AQ60+AR60+AS60+AT60+AU60+AV60+AW60+AX60+AY60+BD60</f>
        <v/>
      </c>
      <c r="BF60" s="5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5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5">
        <f>IF(AND(A60&lt;&gt;"",OR('Smart Search'!$L$5="",'Smart Search'!$L$5="All",TRIM(BZ60)=TRIM('Smart Search'!$L$5)),OR(TRIM('Smart Search'!$L$6)="",TRIM('Smart Search'!$L$6)="All",ISNUMBER(SEARCH(SUBSTITUTE(SUBSTITUTE(SUBSTITUTE(TRIM('Smart Search'!$L$6),"~","~~"),"*","~*"),"?","~?"),CA60))),OR('Smart Search'!$L$7="",AND(CB60&lt;&gt;0,CB60='Smart Search'!$L$7)),OR('Smart Search'!$L$8="",'Smart Search'!$L$8="All",TRIM(CC60)=TRIM('Smart Search'!$L$8))),IF(BA60="","",BA60+ROW()*0.0000000001),"")</f>
        <v/>
      </c>
      <c r="BI60" s="5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5">
        <f>IF(A60="","",N(INDEX(Projects[Mech Inst],59)))</f>
        <v/>
      </c>
      <c r="BK60" s="5">
        <f>IF(A60="","",N(INDEX(Projects[Elec Inst],59)))</f>
        <v/>
      </c>
      <c r="BL60" s="5">
        <f>IF(A60="","",N(INDEX(Projects[Project Management],59)))</f>
        <v/>
      </c>
      <c r="BM60" s="5">
        <f>IF(A60="","",N(INDEX(Projects[Systems Eng],59)))</f>
        <v/>
      </c>
      <c r="BN60" s="5">
        <f>IF(A60="","",N(INDEX(Projects[Mechanical Eng],59)))</f>
        <v/>
      </c>
      <c r="BO60" s="5">
        <f>IF(A60="","",N(INDEX(Projects[Structural Engineering],59)))</f>
        <v/>
      </c>
      <c r="BP60" s="5">
        <f>IF(A60="","",N(INDEX(Projects[Site Sup],59)))</f>
        <v/>
      </c>
      <c r="BQ60" s="5">
        <f>IF(A60="","",N(INDEX(Projects[Controls Commissioning],59)))</f>
        <v/>
      </c>
      <c r="BR60" s="5">
        <f>IF(A60="","",N(INDEX(Projects[Systems Commissioning],59)))</f>
        <v/>
      </c>
      <c r="BS60" s="5">
        <f>IF(A60="","",N(INDEX(Projects[Service Commissioning],59)))</f>
        <v/>
      </c>
      <c r="BT60" s="5">
        <f>IF(A60="","",N(INDEX(Projects[Controls Eng],59)))</f>
        <v/>
      </c>
      <c r="BU60" s="5">
        <f>IF(A60="","",N(INDEX(Projects[Controls Purchase],59)))</f>
        <v/>
      </c>
      <c r="BV60" s="5">
        <f>IF(A60="","",N(INDEX(Projects[Software Eng],59)))</f>
        <v/>
      </c>
      <c r="BW60" s="5">
        <f>IF(A60="","",N(INDEX(Projects[Misc],59)))</f>
        <v/>
      </c>
      <c r="BX60" s="5">
        <f>IF(A60="","",SUM(BJ60:BW60))</f>
        <v/>
      </c>
      <c r="BY60" s="5">
        <f>IF(A60="","",IFERROR(IF(ISNUMBER(U60),U60,VALUE(SUBSTITUTE(SUBSTITUTE(SUBSTITUTE(UPPER(TRIM(U60)),"M",""),",","")," ",""))),0))</f>
        <v/>
      </c>
      <c r="BZ60" s="5">
        <f>INDEX(Projects[Solution Type],59)&amp;""</f>
        <v/>
      </c>
      <c r="CA60" s="5">
        <f>INDEX(Projects[Client / Region],59)&amp;""</f>
        <v/>
      </c>
      <c r="CB60" s="5">
        <f>INDEX(Projects[Year],59)</f>
        <v/>
      </c>
      <c r="CC60" s="5">
        <f>INDEX(Projects[Won?],59)&amp;""</f>
        <v/>
      </c>
      <c r="CD60" s="5">
        <f>INDEX(Projects[Value (USD M)],59)</f>
        <v/>
      </c>
    </row>
    <row r="61" ht="15" customHeight="1" s="74">
      <c r="A61" s="66">
        <f>INDEX(Projects[Project ID *],60)&amp;""</f>
        <v/>
      </c>
      <c r="B61" s="66">
        <f>INDEX(Projects[Project Name *],60)&amp;""</f>
        <v/>
      </c>
      <c r="C61" s="66">
        <f>INDEX(Projects[MS Shuttles],60)</f>
        <v/>
      </c>
      <c r="D61" s="66">
        <f>INDEX(Projects[MS Tote Locations],60)</f>
        <v/>
      </c>
      <c r="E61" s="66">
        <f>INDEX(Projects[AS Robots],60)</f>
        <v/>
      </c>
      <c r="F61" s="66">
        <f>INDEX(Projects[AS Tote Locations],60)</f>
        <v/>
      </c>
      <c r="G61" s="66">
        <f>INDEX(Projects[PS Shuttles],60)</f>
        <v/>
      </c>
      <c r="H61" s="66">
        <f>INDEX(Projects[PS Pallet Locations],60)</f>
        <v/>
      </c>
      <c r="I61" s="66">
        <f>INDEX(Projects[SRM Cranes],60)</f>
        <v/>
      </c>
      <c r="J61" s="66">
        <f>INDEX(Projects[SRM Pallet Locations],60)</f>
        <v/>
      </c>
      <c r="K61" s="66">
        <f>INDEX(Projects[Case Conv (m)],60)</f>
        <v/>
      </c>
      <c r="L61" s="66">
        <f>INDEX(Projects[Pallet Conv (m)],60)</f>
        <v/>
      </c>
      <c r="M61" s="66">
        <f>INDEX(Projects[Mech Eng (wks)],60)</f>
        <v/>
      </c>
      <c r="N61" s="66">
        <f>INDEX(Projects[Controls Eng (wks)],60)</f>
        <v/>
      </c>
      <c r="O61" s="66">
        <f>INDEX(Projects[Systems Eng (wks)],60)</f>
        <v/>
      </c>
      <c r="P61" s="66">
        <f>INDEX(Projects[Software Eng (wks)],60)</f>
        <v/>
      </c>
      <c r="Q61" s="66">
        <f>INDEX(Projects[M&amp;E Installation (wks)],60)</f>
        <v/>
      </c>
      <c r="R61" s="66">
        <f>INDEX(Projects[Commissioning (wks)],60)</f>
        <v/>
      </c>
      <c r="S61" s="66">
        <f>INDEX(Projects[Total Timeline (wks)],60)</f>
        <v/>
      </c>
      <c r="T61" s="66">
        <f>INDEX(Projects[Currency],60)&amp;""</f>
        <v/>
      </c>
      <c r="U61" s="67">
        <f>INDEX(Projects[Value (M)],60)</f>
        <v/>
      </c>
      <c r="V61" s="66">
        <f>IF('Smart Search'!B13=1,IFERROR(1/'Smart Search'!H13,0),0)</f>
        <v/>
      </c>
      <c r="W61" s="66">
        <f>IF('Smart Search'!B13=1,IFERROR(1/'Smart Search'!H13,0),0)</f>
        <v/>
      </c>
      <c r="X61" s="66">
        <f>IF('Smart Search'!C13=1,IFERROR(1/'Smart Search'!H13,0),0)</f>
        <v/>
      </c>
      <c r="Y61" s="66">
        <f>IF('Smart Search'!C13=1,IFERROR(1/'Smart Search'!H13,0),0)</f>
        <v/>
      </c>
      <c r="Z61" s="66">
        <f>IF('Smart Search'!D13=1,IFERROR(1/'Smart Search'!H13,0),0)</f>
        <v/>
      </c>
      <c r="AA61" s="66">
        <f>IF('Smart Search'!D13=1,IFERROR(1/'Smart Search'!H13,0),0)</f>
        <v/>
      </c>
      <c r="AB61" s="66">
        <f>IF('Smart Search'!E13=1,IFERROR(1/'Smart Search'!H13,0),0)</f>
        <v/>
      </c>
      <c r="AC61" s="66">
        <f>IF('Smart Search'!E13=1,IFERROR(1/'Smart Search'!H13,0),0)</f>
        <v/>
      </c>
      <c r="AD61" s="66">
        <f>IF('Smart Search'!F13=1,IFERROR(1/'Smart Search'!H13,0),0)</f>
        <v/>
      </c>
      <c r="AE61" s="66">
        <f>IF('Smart Search'!F13=1,IFERROR(1/'Smart Search'!H13,0),0)</f>
        <v/>
      </c>
      <c r="AF61" s="66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66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66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66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66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66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66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66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66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66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66">
        <f>AF61*V61</f>
        <v/>
      </c>
      <c r="AQ61" s="66">
        <f>AG61*W61</f>
        <v/>
      </c>
      <c r="AR61" s="66">
        <f>AH61*X61</f>
        <v/>
      </c>
      <c r="AS61" s="66">
        <f>AI61*Y61</f>
        <v/>
      </c>
      <c r="AT61" s="66">
        <f>AJ61*Z61</f>
        <v/>
      </c>
      <c r="AU61" s="66">
        <f>AK61*AA61</f>
        <v/>
      </c>
      <c r="AV61" s="66">
        <f>AL61*AB61</f>
        <v/>
      </c>
      <c r="AW61" s="66">
        <f>AM61*AC61</f>
        <v/>
      </c>
      <c r="AX61" s="66">
        <f>AN61*AD61</f>
        <v/>
      </c>
      <c r="AY61" s="66">
        <f>AO61*AE61</f>
        <v/>
      </c>
      <c r="AZ61" s="66">
        <f>INDEX(Projects[Automation Equipment],60)&amp;""</f>
        <v/>
      </c>
      <c r="BA61" s="66">
        <f>IF(OR(A61="",'Smart Search'!H13=0),"",MAX(0,BE61*BF61*MAX(0,1-BG61)))</f>
        <v/>
      </c>
      <c r="BB61" s="66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66">
        <f>IF('Smart Search'!G13=1,IFERROR(1/'Smart Search'!H13,0),0)</f>
        <v/>
      </c>
      <c r="BD61" s="66">
        <f>BB61*BC61</f>
        <v/>
      </c>
      <c r="BE61" s="66">
        <f>AP61+AQ61+AR61+AS61+AT61+AU61+AV61+AW61+AX61+AY61+BD61</f>
        <v/>
      </c>
      <c r="BF61" s="5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5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5">
        <f>IF(AND(A61&lt;&gt;"",OR('Smart Search'!$L$5="",'Smart Search'!$L$5="All",TRIM(BZ61)=TRIM('Smart Search'!$L$5)),OR(TRIM('Smart Search'!$L$6)="",TRIM('Smart Search'!$L$6)="All",ISNUMBER(SEARCH(SUBSTITUTE(SUBSTITUTE(SUBSTITUTE(TRIM('Smart Search'!$L$6),"~","~~"),"*","~*"),"?","~?"),CA61))),OR('Smart Search'!$L$7="",AND(CB61&lt;&gt;0,CB61='Smart Search'!$L$7)),OR('Smart Search'!$L$8="",'Smart Search'!$L$8="All",TRIM(CC61)=TRIM('Smart Search'!$L$8))),IF(BA61="","",BA61+ROW()*0.0000000001),"")</f>
        <v/>
      </c>
      <c r="BI61" s="5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5">
        <f>IF(A61="","",N(INDEX(Projects[Mech Inst],60)))</f>
        <v/>
      </c>
      <c r="BK61" s="5">
        <f>IF(A61="","",N(INDEX(Projects[Elec Inst],60)))</f>
        <v/>
      </c>
      <c r="BL61" s="5">
        <f>IF(A61="","",N(INDEX(Projects[Project Management],60)))</f>
        <v/>
      </c>
      <c r="BM61" s="5">
        <f>IF(A61="","",N(INDEX(Projects[Systems Eng],60)))</f>
        <v/>
      </c>
      <c r="BN61" s="5">
        <f>IF(A61="","",N(INDEX(Projects[Mechanical Eng],60)))</f>
        <v/>
      </c>
      <c r="BO61" s="5">
        <f>IF(A61="","",N(INDEX(Projects[Structural Engineering],60)))</f>
        <v/>
      </c>
      <c r="BP61" s="5">
        <f>IF(A61="","",N(INDEX(Projects[Site Sup],60)))</f>
        <v/>
      </c>
      <c r="BQ61" s="5">
        <f>IF(A61="","",N(INDEX(Projects[Controls Commissioning],60)))</f>
        <v/>
      </c>
      <c r="BR61" s="5">
        <f>IF(A61="","",N(INDEX(Projects[Systems Commissioning],60)))</f>
        <v/>
      </c>
      <c r="BS61" s="5">
        <f>IF(A61="","",N(INDEX(Projects[Service Commissioning],60)))</f>
        <v/>
      </c>
      <c r="BT61" s="5">
        <f>IF(A61="","",N(INDEX(Projects[Controls Eng],60)))</f>
        <v/>
      </c>
      <c r="BU61" s="5">
        <f>IF(A61="","",N(INDEX(Projects[Controls Purchase],60)))</f>
        <v/>
      </c>
      <c r="BV61" s="5">
        <f>IF(A61="","",N(INDEX(Projects[Software Eng],60)))</f>
        <v/>
      </c>
      <c r="BW61" s="5">
        <f>IF(A61="","",N(INDEX(Projects[Misc],60)))</f>
        <v/>
      </c>
      <c r="BX61" s="5">
        <f>IF(A61="","",SUM(BJ61:BW61))</f>
        <v/>
      </c>
      <c r="BY61" s="5">
        <f>IF(A61="","",IFERROR(IF(ISNUMBER(U61),U61,VALUE(SUBSTITUTE(SUBSTITUTE(SUBSTITUTE(UPPER(TRIM(U61)),"M",""),",","")," ",""))),0))</f>
        <v/>
      </c>
      <c r="BZ61" s="5">
        <f>INDEX(Projects[Solution Type],60)&amp;""</f>
        <v/>
      </c>
      <c r="CA61" s="5">
        <f>INDEX(Projects[Client / Region],60)&amp;""</f>
        <v/>
      </c>
      <c r="CB61" s="5">
        <f>INDEX(Projects[Year],60)</f>
        <v/>
      </c>
      <c r="CC61" s="5">
        <f>INDEX(Projects[Won?],60)&amp;""</f>
        <v/>
      </c>
      <c r="CD61" s="5">
        <f>INDEX(Projects[Value (USD M)],60)</f>
        <v/>
      </c>
    </row>
    <row r="62" ht="15" customHeight="1" s="74">
      <c r="A62" s="66">
        <f>INDEX(Projects[Project ID *],61)&amp;""</f>
        <v/>
      </c>
      <c r="B62" s="66">
        <f>INDEX(Projects[Project Name *],61)&amp;""</f>
        <v/>
      </c>
      <c r="C62" s="66">
        <f>INDEX(Projects[MS Shuttles],61)</f>
        <v/>
      </c>
      <c r="D62" s="66">
        <f>INDEX(Projects[MS Tote Locations],61)</f>
        <v/>
      </c>
      <c r="E62" s="66">
        <f>INDEX(Projects[AS Robots],61)</f>
        <v/>
      </c>
      <c r="F62" s="66">
        <f>INDEX(Projects[AS Tote Locations],61)</f>
        <v/>
      </c>
      <c r="G62" s="66">
        <f>INDEX(Projects[PS Shuttles],61)</f>
        <v/>
      </c>
      <c r="H62" s="66">
        <f>INDEX(Projects[PS Pallet Locations],61)</f>
        <v/>
      </c>
      <c r="I62" s="66">
        <f>INDEX(Projects[SRM Cranes],61)</f>
        <v/>
      </c>
      <c r="J62" s="66">
        <f>INDEX(Projects[SRM Pallet Locations],61)</f>
        <v/>
      </c>
      <c r="K62" s="66">
        <f>INDEX(Projects[Case Conv (m)],61)</f>
        <v/>
      </c>
      <c r="L62" s="66">
        <f>INDEX(Projects[Pallet Conv (m)],61)</f>
        <v/>
      </c>
      <c r="M62" s="66">
        <f>INDEX(Projects[Mech Eng (wks)],61)</f>
        <v/>
      </c>
      <c r="N62" s="66">
        <f>INDEX(Projects[Controls Eng (wks)],61)</f>
        <v/>
      </c>
      <c r="O62" s="66">
        <f>INDEX(Projects[Systems Eng (wks)],61)</f>
        <v/>
      </c>
      <c r="P62" s="66">
        <f>INDEX(Projects[Software Eng (wks)],61)</f>
        <v/>
      </c>
      <c r="Q62" s="66">
        <f>INDEX(Projects[M&amp;E Installation (wks)],61)</f>
        <v/>
      </c>
      <c r="R62" s="66">
        <f>INDEX(Projects[Commissioning (wks)],61)</f>
        <v/>
      </c>
      <c r="S62" s="66">
        <f>INDEX(Projects[Total Timeline (wks)],61)</f>
        <v/>
      </c>
      <c r="T62" s="66">
        <f>INDEX(Projects[Currency],61)&amp;""</f>
        <v/>
      </c>
      <c r="U62" s="67">
        <f>INDEX(Projects[Value (M)],61)</f>
        <v/>
      </c>
      <c r="V62" s="66">
        <f>IF('Smart Search'!B13=1,IFERROR(1/'Smart Search'!H13,0),0)</f>
        <v/>
      </c>
      <c r="W62" s="66">
        <f>IF('Smart Search'!B13=1,IFERROR(1/'Smart Search'!H13,0),0)</f>
        <v/>
      </c>
      <c r="X62" s="66">
        <f>IF('Smart Search'!C13=1,IFERROR(1/'Smart Search'!H13,0),0)</f>
        <v/>
      </c>
      <c r="Y62" s="66">
        <f>IF('Smart Search'!C13=1,IFERROR(1/'Smart Search'!H13,0),0)</f>
        <v/>
      </c>
      <c r="Z62" s="66">
        <f>IF('Smart Search'!D13=1,IFERROR(1/'Smart Search'!H13,0),0)</f>
        <v/>
      </c>
      <c r="AA62" s="66">
        <f>IF('Smart Search'!D13=1,IFERROR(1/'Smart Search'!H13,0),0)</f>
        <v/>
      </c>
      <c r="AB62" s="66">
        <f>IF('Smart Search'!E13=1,IFERROR(1/'Smart Search'!H13,0),0)</f>
        <v/>
      </c>
      <c r="AC62" s="66">
        <f>IF('Smart Search'!E13=1,IFERROR(1/'Smart Search'!H13,0),0)</f>
        <v/>
      </c>
      <c r="AD62" s="66">
        <f>IF('Smart Search'!F13=1,IFERROR(1/'Smart Search'!H13,0),0)</f>
        <v/>
      </c>
      <c r="AE62" s="66">
        <f>IF('Smart Search'!F13=1,IFERROR(1/'Smart Search'!H13,0),0)</f>
        <v/>
      </c>
      <c r="AF62" s="66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66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66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66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66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66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66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66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66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66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66">
        <f>AF62*V62</f>
        <v/>
      </c>
      <c r="AQ62" s="66">
        <f>AG62*W62</f>
        <v/>
      </c>
      <c r="AR62" s="66">
        <f>AH62*X62</f>
        <v/>
      </c>
      <c r="AS62" s="66">
        <f>AI62*Y62</f>
        <v/>
      </c>
      <c r="AT62" s="66">
        <f>AJ62*Z62</f>
        <v/>
      </c>
      <c r="AU62" s="66">
        <f>AK62*AA62</f>
        <v/>
      </c>
      <c r="AV62" s="66">
        <f>AL62*AB62</f>
        <v/>
      </c>
      <c r="AW62" s="66">
        <f>AM62*AC62</f>
        <v/>
      </c>
      <c r="AX62" s="66">
        <f>AN62*AD62</f>
        <v/>
      </c>
      <c r="AY62" s="66">
        <f>AO62*AE62</f>
        <v/>
      </c>
      <c r="AZ62" s="66">
        <f>INDEX(Projects[Automation Equipment],61)&amp;""</f>
        <v/>
      </c>
      <c r="BA62" s="66">
        <f>IF(OR(A62="",'Smart Search'!H13=0),"",MAX(0,BE62*BF62*MAX(0,1-BG62)))</f>
        <v/>
      </c>
      <c r="BB62" s="66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66">
        <f>IF('Smart Search'!G13=1,IFERROR(1/'Smart Search'!H13,0),0)</f>
        <v/>
      </c>
      <c r="BD62" s="66">
        <f>BB62*BC62</f>
        <v/>
      </c>
      <c r="BE62" s="66">
        <f>AP62+AQ62+AR62+AS62+AT62+AU62+AV62+AW62+AX62+AY62+BD62</f>
        <v/>
      </c>
      <c r="BF62" s="5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5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5">
        <f>IF(AND(A62&lt;&gt;"",OR('Smart Search'!$L$5="",'Smart Search'!$L$5="All",TRIM(BZ62)=TRIM('Smart Search'!$L$5)),OR(TRIM('Smart Search'!$L$6)="",TRIM('Smart Search'!$L$6)="All",ISNUMBER(SEARCH(SUBSTITUTE(SUBSTITUTE(SUBSTITUTE(TRIM('Smart Search'!$L$6),"~","~~"),"*","~*"),"?","~?"),CA62))),OR('Smart Search'!$L$7="",AND(CB62&lt;&gt;0,CB62='Smart Search'!$L$7)),OR('Smart Search'!$L$8="",'Smart Search'!$L$8="All",TRIM(CC62)=TRIM('Smart Search'!$L$8))),IF(BA62="","",BA62+ROW()*0.0000000001),"")</f>
        <v/>
      </c>
      <c r="BI62" s="5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5">
        <f>IF(A62="","",N(INDEX(Projects[Mech Inst],61)))</f>
        <v/>
      </c>
      <c r="BK62" s="5">
        <f>IF(A62="","",N(INDEX(Projects[Elec Inst],61)))</f>
        <v/>
      </c>
      <c r="BL62" s="5">
        <f>IF(A62="","",N(INDEX(Projects[Project Management],61)))</f>
        <v/>
      </c>
      <c r="BM62" s="5">
        <f>IF(A62="","",N(INDEX(Projects[Systems Eng],61)))</f>
        <v/>
      </c>
      <c r="BN62" s="5">
        <f>IF(A62="","",N(INDEX(Projects[Mechanical Eng],61)))</f>
        <v/>
      </c>
      <c r="BO62" s="5">
        <f>IF(A62="","",N(INDEX(Projects[Structural Engineering],61)))</f>
        <v/>
      </c>
      <c r="BP62" s="5">
        <f>IF(A62="","",N(INDEX(Projects[Site Sup],61)))</f>
        <v/>
      </c>
      <c r="BQ62" s="5">
        <f>IF(A62="","",N(INDEX(Projects[Controls Commissioning],61)))</f>
        <v/>
      </c>
      <c r="BR62" s="5">
        <f>IF(A62="","",N(INDEX(Projects[Systems Commissioning],61)))</f>
        <v/>
      </c>
      <c r="BS62" s="5">
        <f>IF(A62="","",N(INDEX(Projects[Service Commissioning],61)))</f>
        <v/>
      </c>
      <c r="BT62" s="5">
        <f>IF(A62="","",N(INDEX(Projects[Controls Eng],61)))</f>
        <v/>
      </c>
      <c r="BU62" s="5">
        <f>IF(A62="","",N(INDEX(Projects[Controls Purchase],61)))</f>
        <v/>
      </c>
      <c r="BV62" s="5">
        <f>IF(A62="","",N(INDEX(Projects[Software Eng],61)))</f>
        <v/>
      </c>
      <c r="BW62" s="5">
        <f>IF(A62="","",N(INDEX(Projects[Misc],61)))</f>
        <v/>
      </c>
      <c r="BX62" s="5">
        <f>IF(A62="","",SUM(BJ62:BW62))</f>
        <v/>
      </c>
      <c r="BY62" s="5">
        <f>IF(A62="","",IFERROR(IF(ISNUMBER(U62),U62,VALUE(SUBSTITUTE(SUBSTITUTE(SUBSTITUTE(UPPER(TRIM(U62)),"M",""),",","")," ",""))),0))</f>
        <v/>
      </c>
      <c r="BZ62" s="5">
        <f>INDEX(Projects[Solution Type],61)&amp;""</f>
        <v/>
      </c>
      <c r="CA62" s="5">
        <f>INDEX(Projects[Client / Region],61)&amp;""</f>
        <v/>
      </c>
      <c r="CB62" s="5">
        <f>INDEX(Projects[Year],61)</f>
        <v/>
      </c>
      <c r="CC62" s="5">
        <f>INDEX(Projects[Won?],61)&amp;""</f>
        <v/>
      </c>
      <c r="CD62" s="5">
        <f>INDEX(Projects[Value (USD M)],61)</f>
        <v/>
      </c>
    </row>
    <row r="63" ht="15" customHeight="1" s="74">
      <c r="A63" s="66">
        <f>INDEX(Projects[Project ID *],62)&amp;""</f>
        <v/>
      </c>
      <c r="B63" s="66">
        <f>INDEX(Projects[Project Name *],62)&amp;""</f>
        <v/>
      </c>
      <c r="C63" s="66">
        <f>INDEX(Projects[MS Shuttles],62)</f>
        <v/>
      </c>
      <c r="D63" s="66">
        <f>INDEX(Projects[MS Tote Locations],62)</f>
        <v/>
      </c>
      <c r="E63" s="66">
        <f>INDEX(Projects[AS Robots],62)</f>
        <v/>
      </c>
      <c r="F63" s="66">
        <f>INDEX(Projects[AS Tote Locations],62)</f>
        <v/>
      </c>
      <c r="G63" s="66">
        <f>INDEX(Projects[PS Shuttles],62)</f>
        <v/>
      </c>
      <c r="H63" s="66">
        <f>INDEX(Projects[PS Pallet Locations],62)</f>
        <v/>
      </c>
      <c r="I63" s="66">
        <f>INDEX(Projects[SRM Cranes],62)</f>
        <v/>
      </c>
      <c r="J63" s="66">
        <f>INDEX(Projects[SRM Pallet Locations],62)</f>
        <v/>
      </c>
      <c r="K63" s="66">
        <f>INDEX(Projects[Case Conv (m)],62)</f>
        <v/>
      </c>
      <c r="L63" s="66">
        <f>INDEX(Projects[Pallet Conv (m)],62)</f>
        <v/>
      </c>
      <c r="M63" s="66">
        <f>INDEX(Projects[Mech Eng (wks)],62)</f>
        <v/>
      </c>
      <c r="N63" s="66">
        <f>INDEX(Projects[Controls Eng (wks)],62)</f>
        <v/>
      </c>
      <c r="O63" s="66">
        <f>INDEX(Projects[Systems Eng (wks)],62)</f>
        <v/>
      </c>
      <c r="P63" s="66">
        <f>INDEX(Projects[Software Eng (wks)],62)</f>
        <v/>
      </c>
      <c r="Q63" s="66">
        <f>INDEX(Projects[M&amp;E Installation (wks)],62)</f>
        <v/>
      </c>
      <c r="R63" s="66">
        <f>INDEX(Projects[Commissioning (wks)],62)</f>
        <v/>
      </c>
      <c r="S63" s="66">
        <f>INDEX(Projects[Total Timeline (wks)],62)</f>
        <v/>
      </c>
      <c r="T63" s="66">
        <f>INDEX(Projects[Currency],62)&amp;""</f>
        <v/>
      </c>
      <c r="U63" s="67">
        <f>INDEX(Projects[Value (M)],62)</f>
        <v/>
      </c>
      <c r="V63" s="66">
        <f>IF('Smart Search'!B13=1,IFERROR(1/'Smart Search'!H13,0),0)</f>
        <v/>
      </c>
      <c r="W63" s="66">
        <f>IF('Smart Search'!B13=1,IFERROR(1/'Smart Search'!H13,0),0)</f>
        <v/>
      </c>
      <c r="X63" s="66">
        <f>IF('Smart Search'!C13=1,IFERROR(1/'Smart Search'!H13,0),0)</f>
        <v/>
      </c>
      <c r="Y63" s="66">
        <f>IF('Smart Search'!C13=1,IFERROR(1/'Smart Search'!H13,0),0)</f>
        <v/>
      </c>
      <c r="Z63" s="66">
        <f>IF('Smart Search'!D13=1,IFERROR(1/'Smart Search'!H13,0),0)</f>
        <v/>
      </c>
      <c r="AA63" s="66">
        <f>IF('Smart Search'!D13=1,IFERROR(1/'Smart Search'!H13,0),0)</f>
        <v/>
      </c>
      <c r="AB63" s="66">
        <f>IF('Smart Search'!E13=1,IFERROR(1/'Smart Search'!H13,0),0)</f>
        <v/>
      </c>
      <c r="AC63" s="66">
        <f>IF('Smart Search'!E13=1,IFERROR(1/'Smart Search'!H13,0),0)</f>
        <v/>
      </c>
      <c r="AD63" s="66">
        <f>IF('Smart Search'!F13=1,IFERROR(1/'Smart Search'!H13,0),0)</f>
        <v/>
      </c>
      <c r="AE63" s="66">
        <f>IF('Smart Search'!F13=1,IFERROR(1/'Smart Search'!H13,0),0)</f>
        <v/>
      </c>
      <c r="AF63" s="66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66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66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66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66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66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66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66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66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66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66">
        <f>AF63*V63</f>
        <v/>
      </c>
      <c r="AQ63" s="66">
        <f>AG63*W63</f>
        <v/>
      </c>
      <c r="AR63" s="66">
        <f>AH63*X63</f>
        <v/>
      </c>
      <c r="AS63" s="66">
        <f>AI63*Y63</f>
        <v/>
      </c>
      <c r="AT63" s="66">
        <f>AJ63*Z63</f>
        <v/>
      </c>
      <c r="AU63" s="66">
        <f>AK63*AA63</f>
        <v/>
      </c>
      <c r="AV63" s="66">
        <f>AL63*AB63</f>
        <v/>
      </c>
      <c r="AW63" s="66">
        <f>AM63*AC63</f>
        <v/>
      </c>
      <c r="AX63" s="66">
        <f>AN63*AD63</f>
        <v/>
      </c>
      <c r="AY63" s="66">
        <f>AO63*AE63</f>
        <v/>
      </c>
      <c r="AZ63" s="66">
        <f>INDEX(Projects[Automation Equipment],62)&amp;""</f>
        <v/>
      </c>
      <c r="BA63" s="66">
        <f>IF(OR(A63="",'Smart Search'!H13=0),"",MAX(0,BE63*BF63*MAX(0,1-BG63)))</f>
        <v/>
      </c>
      <c r="BB63" s="66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66">
        <f>IF('Smart Search'!G13=1,IFERROR(1/'Smart Search'!H13,0),0)</f>
        <v/>
      </c>
      <c r="BD63" s="66">
        <f>BB63*BC63</f>
        <v/>
      </c>
      <c r="BE63" s="66">
        <f>AP63+AQ63+AR63+AS63+AT63+AU63+AV63+AW63+AX63+AY63+BD63</f>
        <v/>
      </c>
      <c r="BF63" s="5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5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5">
        <f>IF(AND(A63&lt;&gt;"",OR('Smart Search'!$L$5="",'Smart Search'!$L$5="All",TRIM(BZ63)=TRIM('Smart Search'!$L$5)),OR(TRIM('Smart Search'!$L$6)="",TRIM('Smart Search'!$L$6)="All",ISNUMBER(SEARCH(SUBSTITUTE(SUBSTITUTE(SUBSTITUTE(TRIM('Smart Search'!$L$6),"~","~~"),"*","~*"),"?","~?"),CA63))),OR('Smart Search'!$L$7="",AND(CB63&lt;&gt;0,CB63='Smart Search'!$L$7)),OR('Smart Search'!$L$8="",'Smart Search'!$L$8="All",TRIM(CC63)=TRIM('Smart Search'!$L$8))),IF(BA63="","",BA63+ROW()*0.0000000001),"")</f>
        <v/>
      </c>
      <c r="BI63" s="5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5">
        <f>IF(A63="","",N(INDEX(Projects[Mech Inst],62)))</f>
        <v/>
      </c>
      <c r="BK63" s="5">
        <f>IF(A63="","",N(INDEX(Projects[Elec Inst],62)))</f>
        <v/>
      </c>
      <c r="BL63" s="5">
        <f>IF(A63="","",N(INDEX(Projects[Project Management],62)))</f>
        <v/>
      </c>
      <c r="BM63" s="5">
        <f>IF(A63="","",N(INDEX(Projects[Systems Eng],62)))</f>
        <v/>
      </c>
      <c r="BN63" s="5">
        <f>IF(A63="","",N(INDEX(Projects[Mechanical Eng],62)))</f>
        <v/>
      </c>
      <c r="BO63" s="5">
        <f>IF(A63="","",N(INDEX(Projects[Structural Engineering],62)))</f>
        <v/>
      </c>
      <c r="BP63" s="5">
        <f>IF(A63="","",N(INDEX(Projects[Site Sup],62)))</f>
        <v/>
      </c>
      <c r="BQ63" s="5">
        <f>IF(A63="","",N(INDEX(Projects[Controls Commissioning],62)))</f>
        <v/>
      </c>
      <c r="BR63" s="5">
        <f>IF(A63="","",N(INDEX(Projects[Systems Commissioning],62)))</f>
        <v/>
      </c>
      <c r="BS63" s="5">
        <f>IF(A63="","",N(INDEX(Projects[Service Commissioning],62)))</f>
        <v/>
      </c>
      <c r="BT63" s="5">
        <f>IF(A63="","",N(INDEX(Projects[Controls Eng],62)))</f>
        <v/>
      </c>
      <c r="BU63" s="5">
        <f>IF(A63="","",N(INDEX(Projects[Controls Purchase],62)))</f>
        <v/>
      </c>
      <c r="BV63" s="5">
        <f>IF(A63="","",N(INDEX(Projects[Software Eng],62)))</f>
        <v/>
      </c>
      <c r="BW63" s="5">
        <f>IF(A63="","",N(INDEX(Projects[Misc],62)))</f>
        <v/>
      </c>
      <c r="BX63" s="5">
        <f>IF(A63="","",SUM(BJ63:BW63))</f>
        <v/>
      </c>
      <c r="BY63" s="5">
        <f>IF(A63="","",IFERROR(IF(ISNUMBER(U63),U63,VALUE(SUBSTITUTE(SUBSTITUTE(SUBSTITUTE(UPPER(TRIM(U63)),"M",""),",","")," ",""))),0))</f>
        <v/>
      </c>
      <c r="BZ63" s="5">
        <f>INDEX(Projects[Solution Type],62)&amp;""</f>
        <v/>
      </c>
      <c r="CA63" s="5">
        <f>INDEX(Projects[Client / Region],62)&amp;""</f>
        <v/>
      </c>
      <c r="CB63" s="5">
        <f>INDEX(Projects[Year],62)</f>
        <v/>
      </c>
      <c r="CC63" s="5">
        <f>INDEX(Projects[Won?],62)&amp;""</f>
        <v/>
      </c>
      <c r="CD63" s="5">
        <f>INDEX(Projects[Value (USD M)],62)</f>
        <v/>
      </c>
    </row>
    <row r="64" ht="15" customHeight="1" s="74">
      <c r="A64" s="66">
        <f>INDEX(Projects[Project ID *],63)&amp;""</f>
        <v/>
      </c>
      <c r="B64" s="66">
        <f>INDEX(Projects[Project Name *],63)&amp;""</f>
        <v/>
      </c>
      <c r="C64" s="66">
        <f>INDEX(Projects[MS Shuttles],63)</f>
        <v/>
      </c>
      <c r="D64" s="66">
        <f>INDEX(Projects[MS Tote Locations],63)</f>
        <v/>
      </c>
      <c r="E64" s="66">
        <f>INDEX(Projects[AS Robots],63)</f>
        <v/>
      </c>
      <c r="F64" s="66">
        <f>INDEX(Projects[AS Tote Locations],63)</f>
        <v/>
      </c>
      <c r="G64" s="66">
        <f>INDEX(Projects[PS Shuttles],63)</f>
        <v/>
      </c>
      <c r="H64" s="66">
        <f>INDEX(Projects[PS Pallet Locations],63)</f>
        <v/>
      </c>
      <c r="I64" s="66">
        <f>INDEX(Projects[SRM Cranes],63)</f>
        <v/>
      </c>
      <c r="J64" s="66">
        <f>INDEX(Projects[SRM Pallet Locations],63)</f>
        <v/>
      </c>
      <c r="K64" s="66">
        <f>INDEX(Projects[Case Conv (m)],63)</f>
        <v/>
      </c>
      <c r="L64" s="66">
        <f>INDEX(Projects[Pallet Conv (m)],63)</f>
        <v/>
      </c>
      <c r="M64" s="66">
        <f>INDEX(Projects[Mech Eng (wks)],63)</f>
        <v/>
      </c>
      <c r="N64" s="66">
        <f>INDEX(Projects[Controls Eng (wks)],63)</f>
        <v/>
      </c>
      <c r="O64" s="66">
        <f>INDEX(Projects[Systems Eng (wks)],63)</f>
        <v/>
      </c>
      <c r="P64" s="66">
        <f>INDEX(Projects[Software Eng (wks)],63)</f>
        <v/>
      </c>
      <c r="Q64" s="66">
        <f>INDEX(Projects[M&amp;E Installation (wks)],63)</f>
        <v/>
      </c>
      <c r="R64" s="66">
        <f>INDEX(Projects[Commissioning (wks)],63)</f>
        <v/>
      </c>
      <c r="S64" s="66">
        <f>INDEX(Projects[Total Timeline (wks)],63)</f>
        <v/>
      </c>
      <c r="T64" s="66">
        <f>INDEX(Projects[Currency],63)&amp;""</f>
        <v/>
      </c>
      <c r="U64" s="67">
        <f>INDEX(Projects[Value (M)],63)</f>
        <v/>
      </c>
      <c r="V64" s="66">
        <f>IF('Smart Search'!B13=1,IFERROR(1/'Smart Search'!H13,0),0)</f>
        <v/>
      </c>
      <c r="W64" s="66">
        <f>IF('Smart Search'!B13=1,IFERROR(1/'Smart Search'!H13,0),0)</f>
        <v/>
      </c>
      <c r="X64" s="66">
        <f>IF('Smart Search'!C13=1,IFERROR(1/'Smart Search'!H13,0),0)</f>
        <v/>
      </c>
      <c r="Y64" s="66">
        <f>IF('Smart Search'!C13=1,IFERROR(1/'Smart Search'!H13,0),0)</f>
        <v/>
      </c>
      <c r="Z64" s="66">
        <f>IF('Smart Search'!D13=1,IFERROR(1/'Smart Search'!H13,0),0)</f>
        <v/>
      </c>
      <c r="AA64" s="66">
        <f>IF('Smart Search'!D13=1,IFERROR(1/'Smart Search'!H13,0),0)</f>
        <v/>
      </c>
      <c r="AB64" s="66">
        <f>IF('Smart Search'!E13=1,IFERROR(1/'Smart Search'!H13,0),0)</f>
        <v/>
      </c>
      <c r="AC64" s="66">
        <f>IF('Smart Search'!E13=1,IFERROR(1/'Smart Search'!H13,0),0)</f>
        <v/>
      </c>
      <c r="AD64" s="66">
        <f>IF('Smart Search'!F13=1,IFERROR(1/'Smart Search'!H13,0),0)</f>
        <v/>
      </c>
      <c r="AE64" s="66">
        <f>IF('Smart Search'!F13=1,IFERROR(1/'Smart Search'!H13,0),0)</f>
        <v/>
      </c>
      <c r="AF64" s="66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66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66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66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66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66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66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66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66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66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66">
        <f>AF64*V64</f>
        <v/>
      </c>
      <c r="AQ64" s="66">
        <f>AG64*W64</f>
        <v/>
      </c>
      <c r="AR64" s="66">
        <f>AH64*X64</f>
        <v/>
      </c>
      <c r="AS64" s="66">
        <f>AI64*Y64</f>
        <v/>
      </c>
      <c r="AT64" s="66">
        <f>AJ64*Z64</f>
        <v/>
      </c>
      <c r="AU64" s="66">
        <f>AK64*AA64</f>
        <v/>
      </c>
      <c r="AV64" s="66">
        <f>AL64*AB64</f>
        <v/>
      </c>
      <c r="AW64" s="66">
        <f>AM64*AC64</f>
        <v/>
      </c>
      <c r="AX64" s="66">
        <f>AN64*AD64</f>
        <v/>
      </c>
      <c r="AY64" s="66">
        <f>AO64*AE64</f>
        <v/>
      </c>
      <c r="AZ64" s="66">
        <f>INDEX(Projects[Automation Equipment],63)&amp;""</f>
        <v/>
      </c>
      <c r="BA64" s="66">
        <f>IF(OR(A64="",'Smart Search'!H13=0),"",MAX(0,BE64*BF64*MAX(0,1-BG64)))</f>
        <v/>
      </c>
      <c r="BB64" s="66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66">
        <f>IF('Smart Search'!G13=1,IFERROR(1/'Smart Search'!H13,0),0)</f>
        <v/>
      </c>
      <c r="BD64" s="66">
        <f>BB64*BC64</f>
        <v/>
      </c>
      <c r="BE64" s="66">
        <f>AP64+AQ64+AR64+AS64+AT64+AU64+AV64+AW64+AX64+AY64+BD64</f>
        <v/>
      </c>
      <c r="BF64" s="5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5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5">
        <f>IF(AND(A64&lt;&gt;"",OR('Smart Search'!$L$5="",'Smart Search'!$L$5="All",TRIM(BZ64)=TRIM('Smart Search'!$L$5)),OR(TRIM('Smart Search'!$L$6)="",TRIM('Smart Search'!$L$6)="All",ISNUMBER(SEARCH(SUBSTITUTE(SUBSTITUTE(SUBSTITUTE(TRIM('Smart Search'!$L$6),"~","~~"),"*","~*"),"?","~?"),CA64))),OR('Smart Search'!$L$7="",AND(CB64&lt;&gt;0,CB64='Smart Search'!$L$7)),OR('Smart Search'!$L$8="",'Smart Search'!$L$8="All",TRIM(CC64)=TRIM('Smart Search'!$L$8))),IF(BA64="","",BA64+ROW()*0.0000000001),"")</f>
        <v/>
      </c>
      <c r="BI64" s="5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5">
        <f>IF(A64="","",N(INDEX(Projects[Mech Inst],63)))</f>
        <v/>
      </c>
      <c r="BK64" s="5">
        <f>IF(A64="","",N(INDEX(Projects[Elec Inst],63)))</f>
        <v/>
      </c>
      <c r="BL64" s="5">
        <f>IF(A64="","",N(INDEX(Projects[Project Management],63)))</f>
        <v/>
      </c>
      <c r="BM64" s="5">
        <f>IF(A64="","",N(INDEX(Projects[Systems Eng],63)))</f>
        <v/>
      </c>
      <c r="BN64" s="5">
        <f>IF(A64="","",N(INDEX(Projects[Mechanical Eng],63)))</f>
        <v/>
      </c>
      <c r="BO64" s="5">
        <f>IF(A64="","",N(INDEX(Projects[Structural Engineering],63)))</f>
        <v/>
      </c>
      <c r="BP64" s="5">
        <f>IF(A64="","",N(INDEX(Projects[Site Sup],63)))</f>
        <v/>
      </c>
      <c r="BQ64" s="5">
        <f>IF(A64="","",N(INDEX(Projects[Controls Commissioning],63)))</f>
        <v/>
      </c>
      <c r="BR64" s="5">
        <f>IF(A64="","",N(INDEX(Projects[Systems Commissioning],63)))</f>
        <v/>
      </c>
      <c r="BS64" s="5">
        <f>IF(A64="","",N(INDEX(Projects[Service Commissioning],63)))</f>
        <v/>
      </c>
      <c r="BT64" s="5">
        <f>IF(A64="","",N(INDEX(Projects[Controls Eng],63)))</f>
        <v/>
      </c>
      <c r="BU64" s="5">
        <f>IF(A64="","",N(INDEX(Projects[Controls Purchase],63)))</f>
        <v/>
      </c>
      <c r="BV64" s="5">
        <f>IF(A64="","",N(INDEX(Projects[Software Eng],63)))</f>
        <v/>
      </c>
      <c r="BW64" s="5">
        <f>IF(A64="","",N(INDEX(Projects[Misc],63)))</f>
        <v/>
      </c>
      <c r="BX64" s="5">
        <f>IF(A64="","",SUM(BJ64:BW64))</f>
        <v/>
      </c>
      <c r="BY64" s="5">
        <f>IF(A64="","",IFERROR(IF(ISNUMBER(U64),U64,VALUE(SUBSTITUTE(SUBSTITUTE(SUBSTITUTE(UPPER(TRIM(U64)),"M",""),",","")," ",""))),0))</f>
        <v/>
      </c>
      <c r="BZ64" s="5">
        <f>INDEX(Projects[Solution Type],63)&amp;""</f>
        <v/>
      </c>
      <c r="CA64" s="5">
        <f>INDEX(Projects[Client / Region],63)&amp;""</f>
        <v/>
      </c>
      <c r="CB64" s="5">
        <f>INDEX(Projects[Year],63)</f>
        <v/>
      </c>
      <c r="CC64" s="5">
        <f>INDEX(Projects[Won?],63)&amp;""</f>
        <v/>
      </c>
      <c r="CD64" s="5">
        <f>INDEX(Projects[Value (USD M)],63)</f>
        <v/>
      </c>
    </row>
    <row r="65" ht="15" customHeight="1" s="74">
      <c r="A65" s="66">
        <f>INDEX(Projects[Project ID *],64)&amp;""</f>
        <v/>
      </c>
      <c r="B65" s="66">
        <f>INDEX(Projects[Project Name *],64)&amp;""</f>
        <v/>
      </c>
      <c r="C65" s="66">
        <f>INDEX(Projects[MS Shuttles],64)</f>
        <v/>
      </c>
      <c r="D65" s="66">
        <f>INDEX(Projects[MS Tote Locations],64)</f>
        <v/>
      </c>
      <c r="E65" s="66">
        <f>INDEX(Projects[AS Robots],64)</f>
        <v/>
      </c>
      <c r="F65" s="66">
        <f>INDEX(Projects[AS Tote Locations],64)</f>
        <v/>
      </c>
      <c r="G65" s="66">
        <f>INDEX(Projects[PS Shuttles],64)</f>
        <v/>
      </c>
      <c r="H65" s="66">
        <f>INDEX(Projects[PS Pallet Locations],64)</f>
        <v/>
      </c>
      <c r="I65" s="66">
        <f>INDEX(Projects[SRM Cranes],64)</f>
        <v/>
      </c>
      <c r="J65" s="66">
        <f>INDEX(Projects[SRM Pallet Locations],64)</f>
        <v/>
      </c>
      <c r="K65" s="66">
        <f>INDEX(Projects[Case Conv (m)],64)</f>
        <v/>
      </c>
      <c r="L65" s="66">
        <f>INDEX(Projects[Pallet Conv (m)],64)</f>
        <v/>
      </c>
      <c r="M65" s="66">
        <f>INDEX(Projects[Mech Eng (wks)],64)</f>
        <v/>
      </c>
      <c r="N65" s="66">
        <f>INDEX(Projects[Controls Eng (wks)],64)</f>
        <v/>
      </c>
      <c r="O65" s="66">
        <f>INDEX(Projects[Systems Eng (wks)],64)</f>
        <v/>
      </c>
      <c r="P65" s="66">
        <f>INDEX(Projects[Software Eng (wks)],64)</f>
        <v/>
      </c>
      <c r="Q65" s="66">
        <f>INDEX(Projects[M&amp;E Installation (wks)],64)</f>
        <v/>
      </c>
      <c r="R65" s="66">
        <f>INDEX(Projects[Commissioning (wks)],64)</f>
        <v/>
      </c>
      <c r="S65" s="66">
        <f>INDEX(Projects[Total Timeline (wks)],64)</f>
        <v/>
      </c>
      <c r="T65" s="66">
        <f>INDEX(Projects[Currency],64)&amp;""</f>
        <v/>
      </c>
      <c r="U65" s="67">
        <f>INDEX(Projects[Value (M)],64)</f>
        <v/>
      </c>
      <c r="V65" s="66">
        <f>IF('Smart Search'!B13=1,IFERROR(1/'Smart Search'!H13,0),0)</f>
        <v/>
      </c>
      <c r="W65" s="66">
        <f>IF('Smart Search'!B13=1,IFERROR(1/'Smart Search'!H13,0),0)</f>
        <v/>
      </c>
      <c r="X65" s="66">
        <f>IF('Smart Search'!C13=1,IFERROR(1/'Smart Search'!H13,0),0)</f>
        <v/>
      </c>
      <c r="Y65" s="66">
        <f>IF('Smart Search'!C13=1,IFERROR(1/'Smart Search'!H13,0),0)</f>
        <v/>
      </c>
      <c r="Z65" s="66">
        <f>IF('Smart Search'!D13=1,IFERROR(1/'Smart Search'!H13,0),0)</f>
        <v/>
      </c>
      <c r="AA65" s="66">
        <f>IF('Smart Search'!D13=1,IFERROR(1/'Smart Search'!H13,0),0)</f>
        <v/>
      </c>
      <c r="AB65" s="66">
        <f>IF('Smart Search'!E13=1,IFERROR(1/'Smart Search'!H13,0),0)</f>
        <v/>
      </c>
      <c r="AC65" s="66">
        <f>IF('Smart Search'!E13=1,IFERROR(1/'Smart Search'!H13,0),0)</f>
        <v/>
      </c>
      <c r="AD65" s="66">
        <f>IF('Smart Search'!F13=1,IFERROR(1/'Smart Search'!H13,0),0)</f>
        <v/>
      </c>
      <c r="AE65" s="66">
        <f>IF('Smart Search'!F13=1,IFERROR(1/'Smart Search'!H13,0),0)</f>
        <v/>
      </c>
      <c r="AF65" s="66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66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66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66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66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66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66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66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66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66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66">
        <f>AF65*V65</f>
        <v/>
      </c>
      <c r="AQ65" s="66">
        <f>AG65*W65</f>
        <v/>
      </c>
      <c r="AR65" s="66">
        <f>AH65*X65</f>
        <v/>
      </c>
      <c r="AS65" s="66">
        <f>AI65*Y65</f>
        <v/>
      </c>
      <c r="AT65" s="66">
        <f>AJ65*Z65</f>
        <v/>
      </c>
      <c r="AU65" s="66">
        <f>AK65*AA65</f>
        <v/>
      </c>
      <c r="AV65" s="66">
        <f>AL65*AB65</f>
        <v/>
      </c>
      <c r="AW65" s="66">
        <f>AM65*AC65</f>
        <v/>
      </c>
      <c r="AX65" s="66">
        <f>AN65*AD65</f>
        <v/>
      </c>
      <c r="AY65" s="66">
        <f>AO65*AE65</f>
        <v/>
      </c>
      <c r="AZ65" s="66">
        <f>INDEX(Projects[Automation Equipment],64)&amp;""</f>
        <v/>
      </c>
      <c r="BA65" s="66">
        <f>IF(OR(A65="",'Smart Search'!H13=0),"",MAX(0,BE65*BF65*MAX(0,1-BG65)))</f>
        <v/>
      </c>
      <c r="BB65" s="66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66">
        <f>IF('Smart Search'!G13=1,IFERROR(1/'Smart Search'!H13,0),0)</f>
        <v/>
      </c>
      <c r="BD65" s="66">
        <f>BB65*BC65</f>
        <v/>
      </c>
      <c r="BE65" s="66">
        <f>AP65+AQ65+AR65+AS65+AT65+AU65+AV65+AW65+AX65+AY65+BD65</f>
        <v/>
      </c>
      <c r="BF65" s="5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5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5">
        <f>IF(AND(A65&lt;&gt;"",OR('Smart Search'!$L$5="",'Smart Search'!$L$5="All",TRIM(BZ65)=TRIM('Smart Search'!$L$5)),OR(TRIM('Smart Search'!$L$6)="",TRIM('Smart Search'!$L$6)="All",ISNUMBER(SEARCH(SUBSTITUTE(SUBSTITUTE(SUBSTITUTE(TRIM('Smart Search'!$L$6),"~","~~"),"*","~*"),"?","~?"),CA65))),OR('Smart Search'!$L$7="",AND(CB65&lt;&gt;0,CB65='Smart Search'!$L$7)),OR('Smart Search'!$L$8="",'Smart Search'!$L$8="All",TRIM(CC65)=TRIM('Smart Search'!$L$8))),IF(BA65="","",BA65+ROW()*0.0000000001),"")</f>
        <v/>
      </c>
      <c r="BI65" s="5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5">
        <f>IF(A65="","",N(INDEX(Projects[Mech Inst],64)))</f>
        <v/>
      </c>
      <c r="BK65" s="5">
        <f>IF(A65="","",N(INDEX(Projects[Elec Inst],64)))</f>
        <v/>
      </c>
      <c r="BL65" s="5">
        <f>IF(A65="","",N(INDEX(Projects[Project Management],64)))</f>
        <v/>
      </c>
      <c r="BM65" s="5">
        <f>IF(A65="","",N(INDEX(Projects[Systems Eng],64)))</f>
        <v/>
      </c>
      <c r="BN65" s="5">
        <f>IF(A65="","",N(INDEX(Projects[Mechanical Eng],64)))</f>
        <v/>
      </c>
      <c r="BO65" s="5">
        <f>IF(A65="","",N(INDEX(Projects[Structural Engineering],64)))</f>
        <v/>
      </c>
      <c r="BP65" s="5">
        <f>IF(A65="","",N(INDEX(Projects[Site Sup],64)))</f>
        <v/>
      </c>
      <c r="BQ65" s="5">
        <f>IF(A65="","",N(INDEX(Projects[Controls Commissioning],64)))</f>
        <v/>
      </c>
      <c r="BR65" s="5">
        <f>IF(A65="","",N(INDEX(Projects[Systems Commissioning],64)))</f>
        <v/>
      </c>
      <c r="BS65" s="5">
        <f>IF(A65="","",N(INDEX(Projects[Service Commissioning],64)))</f>
        <v/>
      </c>
      <c r="BT65" s="5">
        <f>IF(A65="","",N(INDEX(Projects[Controls Eng],64)))</f>
        <v/>
      </c>
      <c r="BU65" s="5">
        <f>IF(A65="","",N(INDEX(Projects[Controls Purchase],64)))</f>
        <v/>
      </c>
      <c r="BV65" s="5">
        <f>IF(A65="","",N(INDEX(Projects[Software Eng],64)))</f>
        <v/>
      </c>
      <c r="BW65" s="5">
        <f>IF(A65="","",N(INDEX(Projects[Misc],64)))</f>
        <v/>
      </c>
      <c r="BX65" s="5">
        <f>IF(A65="","",SUM(BJ65:BW65))</f>
        <v/>
      </c>
      <c r="BY65" s="5">
        <f>IF(A65="","",IFERROR(IF(ISNUMBER(U65),U65,VALUE(SUBSTITUTE(SUBSTITUTE(SUBSTITUTE(UPPER(TRIM(U65)),"M",""),",","")," ",""))),0))</f>
        <v/>
      </c>
      <c r="BZ65" s="5">
        <f>INDEX(Projects[Solution Type],64)&amp;""</f>
        <v/>
      </c>
      <c r="CA65" s="5">
        <f>INDEX(Projects[Client / Region],64)&amp;""</f>
        <v/>
      </c>
      <c r="CB65" s="5">
        <f>INDEX(Projects[Year],64)</f>
        <v/>
      </c>
      <c r="CC65" s="5">
        <f>INDEX(Projects[Won?],64)&amp;""</f>
        <v/>
      </c>
      <c r="CD65" s="5">
        <f>INDEX(Projects[Value (USD M)],64)</f>
        <v/>
      </c>
    </row>
    <row r="66" ht="15" customHeight="1" s="74">
      <c r="A66" s="66">
        <f>INDEX(Projects[Project ID *],65)&amp;""</f>
        <v/>
      </c>
      <c r="B66" s="66">
        <f>INDEX(Projects[Project Name *],65)&amp;""</f>
        <v/>
      </c>
      <c r="C66" s="66">
        <f>INDEX(Projects[MS Shuttles],65)</f>
        <v/>
      </c>
      <c r="D66" s="66">
        <f>INDEX(Projects[MS Tote Locations],65)</f>
        <v/>
      </c>
      <c r="E66" s="66">
        <f>INDEX(Projects[AS Robots],65)</f>
        <v/>
      </c>
      <c r="F66" s="66">
        <f>INDEX(Projects[AS Tote Locations],65)</f>
        <v/>
      </c>
      <c r="G66" s="66">
        <f>INDEX(Projects[PS Shuttles],65)</f>
        <v/>
      </c>
      <c r="H66" s="66">
        <f>INDEX(Projects[PS Pallet Locations],65)</f>
        <v/>
      </c>
      <c r="I66" s="66">
        <f>INDEX(Projects[SRM Cranes],65)</f>
        <v/>
      </c>
      <c r="J66" s="66">
        <f>INDEX(Projects[SRM Pallet Locations],65)</f>
        <v/>
      </c>
      <c r="K66" s="66">
        <f>INDEX(Projects[Case Conv (m)],65)</f>
        <v/>
      </c>
      <c r="L66" s="66">
        <f>INDEX(Projects[Pallet Conv (m)],65)</f>
        <v/>
      </c>
      <c r="M66" s="66">
        <f>INDEX(Projects[Mech Eng (wks)],65)</f>
        <v/>
      </c>
      <c r="N66" s="66">
        <f>INDEX(Projects[Controls Eng (wks)],65)</f>
        <v/>
      </c>
      <c r="O66" s="66">
        <f>INDEX(Projects[Systems Eng (wks)],65)</f>
        <v/>
      </c>
      <c r="P66" s="66">
        <f>INDEX(Projects[Software Eng (wks)],65)</f>
        <v/>
      </c>
      <c r="Q66" s="66">
        <f>INDEX(Projects[M&amp;E Installation (wks)],65)</f>
        <v/>
      </c>
      <c r="R66" s="66">
        <f>INDEX(Projects[Commissioning (wks)],65)</f>
        <v/>
      </c>
      <c r="S66" s="66">
        <f>INDEX(Projects[Total Timeline (wks)],65)</f>
        <v/>
      </c>
      <c r="T66" s="66">
        <f>INDEX(Projects[Currency],65)&amp;""</f>
        <v/>
      </c>
      <c r="U66" s="67">
        <f>INDEX(Projects[Value (M)],65)</f>
        <v/>
      </c>
      <c r="V66" s="66">
        <f>IF('Smart Search'!B13=1,IFERROR(1/'Smart Search'!H13,0),0)</f>
        <v/>
      </c>
      <c r="W66" s="66">
        <f>IF('Smart Search'!B13=1,IFERROR(1/'Smart Search'!H13,0),0)</f>
        <v/>
      </c>
      <c r="X66" s="66">
        <f>IF('Smart Search'!C13=1,IFERROR(1/'Smart Search'!H13,0),0)</f>
        <v/>
      </c>
      <c r="Y66" s="66">
        <f>IF('Smart Search'!C13=1,IFERROR(1/'Smart Search'!H13,0),0)</f>
        <v/>
      </c>
      <c r="Z66" s="66">
        <f>IF('Smart Search'!D13=1,IFERROR(1/'Smart Search'!H13,0),0)</f>
        <v/>
      </c>
      <c r="AA66" s="66">
        <f>IF('Smart Search'!D13=1,IFERROR(1/'Smart Search'!H13,0),0)</f>
        <v/>
      </c>
      <c r="AB66" s="66">
        <f>IF('Smart Search'!E13=1,IFERROR(1/'Smart Search'!H13,0),0)</f>
        <v/>
      </c>
      <c r="AC66" s="66">
        <f>IF('Smart Search'!E13=1,IFERROR(1/'Smart Search'!H13,0),0)</f>
        <v/>
      </c>
      <c r="AD66" s="66">
        <f>IF('Smart Search'!F13=1,IFERROR(1/'Smart Search'!H13,0),0)</f>
        <v/>
      </c>
      <c r="AE66" s="66">
        <f>IF('Smart Search'!F13=1,IFERROR(1/'Smart Search'!H13,0),0)</f>
        <v/>
      </c>
      <c r="AF66" s="66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66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66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66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66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66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66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66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66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66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66">
        <f>AF66*V66</f>
        <v/>
      </c>
      <c r="AQ66" s="66">
        <f>AG66*W66</f>
        <v/>
      </c>
      <c r="AR66" s="66">
        <f>AH66*X66</f>
        <v/>
      </c>
      <c r="AS66" s="66">
        <f>AI66*Y66</f>
        <v/>
      </c>
      <c r="AT66" s="66">
        <f>AJ66*Z66</f>
        <v/>
      </c>
      <c r="AU66" s="66">
        <f>AK66*AA66</f>
        <v/>
      </c>
      <c r="AV66" s="66">
        <f>AL66*AB66</f>
        <v/>
      </c>
      <c r="AW66" s="66">
        <f>AM66*AC66</f>
        <v/>
      </c>
      <c r="AX66" s="66">
        <f>AN66*AD66</f>
        <v/>
      </c>
      <c r="AY66" s="66">
        <f>AO66*AE66</f>
        <v/>
      </c>
      <c r="AZ66" s="66">
        <f>INDEX(Projects[Automation Equipment],65)&amp;""</f>
        <v/>
      </c>
      <c r="BA66" s="66">
        <f>IF(OR(A66="",'Smart Search'!H13=0),"",MAX(0,BE66*BF66*MAX(0,1-BG66)))</f>
        <v/>
      </c>
      <c r="BB66" s="66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66">
        <f>IF('Smart Search'!G13=1,IFERROR(1/'Smart Search'!H13,0),0)</f>
        <v/>
      </c>
      <c r="BD66" s="66">
        <f>BB66*BC66</f>
        <v/>
      </c>
      <c r="BE66" s="66">
        <f>AP66+AQ66+AR66+AS66+AT66+AU66+AV66+AW66+AX66+AY66+BD66</f>
        <v/>
      </c>
      <c r="BF66" s="5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5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5">
        <f>IF(AND(A66&lt;&gt;"",OR('Smart Search'!$L$5="",'Smart Search'!$L$5="All",TRIM(BZ66)=TRIM('Smart Search'!$L$5)),OR(TRIM('Smart Search'!$L$6)="",TRIM('Smart Search'!$L$6)="All",ISNUMBER(SEARCH(SUBSTITUTE(SUBSTITUTE(SUBSTITUTE(TRIM('Smart Search'!$L$6),"~","~~"),"*","~*"),"?","~?"),CA66))),OR('Smart Search'!$L$7="",AND(CB66&lt;&gt;0,CB66='Smart Search'!$L$7)),OR('Smart Search'!$L$8="",'Smart Search'!$L$8="All",TRIM(CC66)=TRIM('Smart Search'!$L$8))),IF(BA66="","",BA66+ROW()*0.0000000001),"")</f>
        <v/>
      </c>
      <c r="BI66" s="5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5">
        <f>IF(A66="","",N(INDEX(Projects[Mech Inst],65)))</f>
        <v/>
      </c>
      <c r="BK66" s="5">
        <f>IF(A66="","",N(INDEX(Projects[Elec Inst],65)))</f>
        <v/>
      </c>
      <c r="BL66" s="5">
        <f>IF(A66="","",N(INDEX(Projects[Project Management],65)))</f>
        <v/>
      </c>
      <c r="BM66" s="5">
        <f>IF(A66="","",N(INDEX(Projects[Systems Eng],65)))</f>
        <v/>
      </c>
      <c r="BN66" s="5">
        <f>IF(A66="","",N(INDEX(Projects[Mechanical Eng],65)))</f>
        <v/>
      </c>
      <c r="BO66" s="5">
        <f>IF(A66="","",N(INDEX(Projects[Structural Engineering],65)))</f>
        <v/>
      </c>
      <c r="BP66" s="5">
        <f>IF(A66="","",N(INDEX(Projects[Site Sup],65)))</f>
        <v/>
      </c>
      <c r="BQ66" s="5">
        <f>IF(A66="","",N(INDEX(Projects[Controls Commissioning],65)))</f>
        <v/>
      </c>
      <c r="BR66" s="5">
        <f>IF(A66="","",N(INDEX(Projects[Systems Commissioning],65)))</f>
        <v/>
      </c>
      <c r="BS66" s="5">
        <f>IF(A66="","",N(INDEX(Projects[Service Commissioning],65)))</f>
        <v/>
      </c>
      <c r="BT66" s="5">
        <f>IF(A66="","",N(INDEX(Projects[Controls Eng],65)))</f>
        <v/>
      </c>
      <c r="BU66" s="5">
        <f>IF(A66="","",N(INDEX(Projects[Controls Purchase],65)))</f>
        <v/>
      </c>
      <c r="BV66" s="5">
        <f>IF(A66="","",N(INDEX(Projects[Software Eng],65)))</f>
        <v/>
      </c>
      <c r="BW66" s="5">
        <f>IF(A66="","",N(INDEX(Projects[Misc],65)))</f>
        <v/>
      </c>
      <c r="BX66" s="5">
        <f>IF(A66="","",SUM(BJ66:BW66))</f>
        <v/>
      </c>
      <c r="BY66" s="5">
        <f>IF(A66="","",IFERROR(IF(ISNUMBER(U66),U66,VALUE(SUBSTITUTE(SUBSTITUTE(SUBSTITUTE(UPPER(TRIM(U66)),"M",""),",","")," ",""))),0))</f>
        <v/>
      </c>
      <c r="BZ66" s="5">
        <f>INDEX(Projects[Solution Type],65)&amp;""</f>
        <v/>
      </c>
      <c r="CA66" s="5">
        <f>INDEX(Projects[Client / Region],65)&amp;""</f>
        <v/>
      </c>
      <c r="CB66" s="5">
        <f>INDEX(Projects[Year],65)</f>
        <v/>
      </c>
      <c r="CC66" s="5">
        <f>INDEX(Projects[Won?],65)&amp;""</f>
        <v/>
      </c>
      <c r="CD66" s="5">
        <f>INDEX(Projects[Value (USD M)],65)</f>
        <v/>
      </c>
    </row>
    <row r="67" ht="15" customHeight="1" s="74">
      <c r="A67" s="66">
        <f>INDEX(Projects[Project ID *],66)&amp;""</f>
        <v/>
      </c>
      <c r="B67" s="66">
        <f>INDEX(Projects[Project Name *],66)&amp;""</f>
        <v/>
      </c>
      <c r="C67" s="66">
        <f>INDEX(Projects[MS Shuttles],66)</f>
        <v/>
      </c>
      <c r="D67" s="66">
        <f>INDEX(Projects[MS Tote Locations],66)</f>
        <v/>
      </c>
      <c r="E67" s="66">
        <f>INDEX(Projects[AS Robots],66)</f>
        <v/>
      </c>
      <c r="F67" s="66">
        <f>INDEX(Projects[AS Tote Locations],66)</f>
        <v/>
      </c>
      <c r="G67" s="66">
        <f>INDEX(Projects[PS Shuttles],66)</f>
        <v/>
      </c>
      <c r="H67" s="66">
        <f>INDEX(Projects[PS Pallet Locations],66)</f>
        <v/>
      </c>
      <c r="I67" s="66">
        <f>INDEX(Projects[SRM Cranes],66)</f>
        <v/>
      </c>
      <c r="J67" s="66">
        <f>INDEX(Projects[SRM Pallet Locations],66)</f>
        <v/>
      </c>
      <c r="K67" s="66">
        <f>INDEX(Projects[Case Conv (m)],66)</f>
        <v/>
      </c>
      <c r="L67" s="66">
        <f>INDEX(Projects[Pallet Conv (m)],66)</f>
        <v/>
      </c>
      <c r="M67" s="66">
        <f>INDEX(Projects[Mech Eng (wks)],66)</f>
        <v/>
      </c>
      <c r="N67" s="66">
        <f>INDEX(Projects[Controls Eng (wks)],66)</f>
        <v/>
      </c>
      <c r="O67" s="66">
        <f>INDEX(Projects[Systems Eng (wks)],66)</f>
        <v/>
      </c>
      <c r="P67" s="66">
        <f>INDEX(Projects[Software Eng (wks)],66)</f>
        <v/>
      </c>
      <c r="Q67" s="66">
        <f>INDEX(Projects[M&amp;E Installation (wks)],66)</f>
        <v/>
      </c>
      <c r="R67" s="66">
        <f>INDEX(Projects[Commissioning (wks)],66)</f>
        <v/>
      </c>
      <c r="S67" s="66">
        <f>INDEX(Projects[Total Timeline (wks)],66)</f>
        <v/>
      </c>
      <c r="T67" s="66">
        <f>INDEX(Projects[Currency],66)&amp;""</f>
        <v/>
      </c>
      <c r="U67" s="67">
        <f>INDEX(Projects[Value (M)],66)</f>
        <v/>
      </c>
      <c r="V67" s="66">
        <f>IF('Smart Search'!B13=1,IFERROR(1/'Smart Search'!H13,0),0)</f>
        <v/>
      </c>
      <c r="W67" s="66">
        <f>IF('Smart Search'!B13=1,IFERROR(1/'Smart Search'!H13,0),0)</f>
        <v/>
      </c>
      <c r="X67" s="66">
        <f>IF('Smart Search'!C13=1,IFERROR(1/'Smart Search'!H13,0),0)</f>
        <v/>
      </c>
      <c r="Y67" s="66">
        <f>IF('Smart Search'!C13=1,IFERROR(1/'Smart Search'!H13,0),0)</f>
        <v/>
      </c>
      <c r="Z67" s="66">
        <f>IF('Smart Search'!D13=1,IFERROR(1/'Smart Search'!H13,0),0)</f>
        <v/>
      </c>
      <c r="AA67" s="66">
        <f>IF('Smart Search'!D13=1,IFERROR(1/'Smart Search'!H13,0),0)</f>
        <v/>
      </c>
      <c r="AB67" s="66">
        <f>IF('Smart Search'!E13=1,IFERROR(1/'Smart Search'!H13,0),0)</f>
        <v/>
      </c>
      <c r="AC67" s="66">
        <f>IF('Smart Search'!E13=1,IFERROR(1/'Smart Search'!H13,0),0)</f>
        <v/>
      </c>
      <c r="AD67" s="66">
        <f>IF('Smart Search'!F13=1,IFERROR(1/'Smart Search'!H13,0),0)</f>
        <v/>
      </c>
      <c r="AE67" s="66">
        <f>IF('Smart Search'!F13=1,IFERROR(1/'Smart Search'!H13,0),0)</f>
        <v/>
      </c>
      <c r="AF67" s="66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66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66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66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66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66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66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66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66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66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66">
        <f>AF67*V67</f>
        <v/>
      </c>
      <c r="AQ67" s="66">
        <f>AG67*W67</f>
        <v/>
      </c>
      <c r="AR67" s="66">
        <f>AH67*X67</f>
        <v/>
      </c>
      <c r="AS67" s="66">
        <f>AI67*Y67</f>
        <v/>
      </c>
      <c r="AT67" s="66">
        <f>AJ67*Z67</f>
        <v/>
      </c>
      <c r="AU67" s="66">
        <f>AK67*AA67</f>
        <v/>
      </c>
      <c r="AV67" s="66">
        <f>AL67*AB67</f>
        <v/>
      </c>
      <c r="AW67" s="66">
        <f>AM67*AC67</f>
        <v/>
      </c>
      <c r="AX67" s="66">
        <f>AN67*AD67</f>
        <v/>
      </c>
      <c r="AY67" s="66">
        <f>AO67*AE67</f>
        <v/>
      </c>
      <c r="AZ67" s="66">
        <f>INDEX(Projects[Automation Equipment],66)&amp;""</f>
        <v/>
      </c>
      <c r="BA67" s="66">
        <f>IF(OR(A67="",'Smart Search'!H13=0),"",MAX(0,BE67*BF67*MAX(0,1-BG67)))</f>
        <v/>
      </c>
      <c r="BB67" s="66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66">
        <f>IF('Smart Search'!G13=1,IFERROR(1/'Smart Search'!H13,0),0)</f>
        <v/>
      </c>
      <c r="BD67" s="66">
        <f>BB67*BC67</f>
        <v/>
      </c>
      <c r="BE67" s="66">
        <f>AP67+AQ67+AR67+AS67+AT67+AU67+AV67+AW67+AX67+AY67+BD67</f>
        <v/>
      </c>
      <c r="BF67" s="5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5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5">
        <f>IF(AND(A67&lt;&gt;"",OR('Smart Search'!$L$5="",'Smart Search'!$L$5="All",TRIM(BZ67)=TRIM('Smart Search'!$L$5)),OR(TRIM('Smart Search'!$L$6)="",TRIM('Smart Search'!$L$6)="All",ISNUMBER(SEARCH(SUBSTITUTE(SUBSTITUTE(SUBSTITUTE(TRIM('Smart Search'!$L$6),"~","~~"),"*","~*"),"?","~?"),CA67))),OR('Smart Search'!$L$7="",AND(CB67&lt;&gt;0,CB67='Smart Search'!$L$7)),OR('Smart Search'!$L$8="",'Smart Search'!$L$8="All",TRIM(CC67)=TRIM('Smart Search'!$L$8))),IF(BA67="","",BA67+ROW()*0.0000000001),"")</f>
        <v/>
      </c>
      <c r="BI67" s="5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5">
        <f>IF(A67="","",N(INDEX(Projects[Mech Inst],66)))</f>
        <v/>
      </c>
      <c r="BK67" s="5">
        <f>IF(A67="","",N(INDEX(Projects[Elec Inst],66)))</f>
        <v/>
      </c>
      <c r="BL67" s="5">
        <f>IF(A67="","",N(INDEX(Projects[Project Management],66)))</f>
        <v/>
      </c>
      <c r="BM67" s="5">
        <f>IF(A67="","",N(INDEX(Projects[Systems Eng],66)))</f>
        <v/>
      </c>
      <c r="BN67" s="5">
        <f>IF(A67="","",N(INDEX(Projects[Mechanical Eng],66)))</f>
        <v/>
      </c>
      <c r="BO67" s="5">
        <f>IF(A67="","",N(INDEX(Projects[Structural Engineering],66)))</f>
        <v/>
      </c>
      <c r="BP67" s="5">
        <f>IF(A67="","",N(INDEX(Projects[Site Sup],66)))</f>
        <v/>
      </c>
      <c r="BQ67" s="5">
        <f>IF(A67="","",N(INDEX(Projects[Controls Commissioning],66)))</f>
        <v/>
      </c>
      <c r="BR67" s="5">
        <f>IF(A67="","",N(INDEX(Projects[Systems Commissioning],66)))</f>
        <v/>
      </c>
      <c r="BS67" s="5">
        <f>IF(A67="","",N(INDEX(Projects[Service Commissioning],66)))</f>
        <v/>
      </c>
      <c r="BT67" s="5">
        <f>IF(A67="","",N(INDEX(Projects[Controls Eng],66)))</f>
        <v/>
      </c>
      <c r="BU67" s="5">
        <f>IF(A67="","",N(INDEX(Projects[Controls Purchase],66)))</f>
        <v/>
      </c>
      <c r="BV67" s="5">
        <f>IF(A67="","",N(INDEX(Projects[Software Eng],66)))</f>
        <v/>
      </c>
      <c r="BW67" s="5">
        <f>IF(A67="","",N(INDEX(Projects[Misc],66)))</f>
        <v/>
      </c>
      <c r="BX67" s="5">
        <f>IF(A67="","",SUM(BJ67:BW67))</f>
        <v/>
      </c>
      <c r="BY67" s="5">
        <f>IF(A67="","",IFERROR(IF(ISNUMBER(U67),U67,VALUE(SUBSTITUTE(SUBSTITUTE(SUBSTITUTE(UPPER(TRIM(U67)),"M",""),",","")," ",""))),0))</f>
        <v/>
      </c>
      <c r="BZ67" s="5">
        <f>INDEX(Projects[Solution Type],66)&amp;""</f>
        <v/>
      </c>
      <c r="CA67" s="5">
        <f>INDEX(Projects[Client / Region],66)&amp;""</f>
        <v/>
      </c>
      <c r="CB67" s="5">
        <f>INDEX(Projects[Year],66)</f>
        <v/>
      </c>
      <c r="CC67" s="5">
        <f>INDEX(Projects[Won?],66)&amp;""</f>
        <v/>
      </c>
      <c r="CD67" s="5">
        <f>INDEX(Projects[Value (USD M)],66)</f>
        <v/>
      </c>
    </row>
    <row r="68" ht="15" customHeight="1" s="74">
      <c r="A68" s="66">
        <f>INDEX(Projects[Project ID *],67)&amp;""</f>
        <v/>
      </c>
      <c r="B68" s="66">
        <f>INDEX(Projects[Project Name *],67)&amp;""</f>
        <v/>
      </c>
      <c r="C68" s="66">
        <f>INDEX(Projects[MS Shuttles],67)</f>
        <v/>
      </c>
      <c r="D68" s="66">
        <f>INDEX(Projects[MS Tote Locations],67)</f>
        <v/>
      </c>
      <c r="E68" s="66">
        <f>INDEX(Projects[AS Robots],67)</f>
        <v/>
      </c>
      <c r="F68" s="66">
        <f>INDEX(Projects[AS Tote Locations],67)</f>
        <v/>
      </c>
      <c r="G68" s="66">
        <f>INDEX(Projects[PS Shuttles],67)</f>
        <v/>
      </c>
      <c r="H68" s="66">
        <f>INDEX(Projects[PS Pallet Locations],67)</f>
        <v/>
      </c>
      <c r="I68" s="66">
        <f>INDEX(Projects[SRM Cranes],67)</f>
        <v/>
      </c>
      <c r="J68" s="66">
        <f>INDEX(Projects[SRM Pallet Locations],67)</f>
        <v/>
      </c>
      <c r="K68" s="66">
        <f>INDEX(Projects[Case Conv (m)],67)</f>
        <v/>
      </c>
      <c r="L68" s="66">
        <f>INDEX(Projects[Pallet Conv (m)],67)</f>
        <v/>
      </c>
      <c r="M68" s="66">
        <f>INDEX(Projects[Mech Eng (wks)],67)</f>
        <v/>
      </c>
      <c r="N68" s="66">
        <f>INDEX(Projects[Controls Eng (wks)],67)</f>
        <v/>
      </c>
      <c r="O68" s="66">
        <f>INDEX(Projects[Systems Eng (wks)],67)</f>
        <v/>
      </c>
      <c r="P68" s="66">
        <f>INDEX(Projects[Software Eng (wks)],67)</f>
        <v/>
      </c>
      <c r="Q68" s="66">
        <f>INDEX(Projects[M&amp;E Installation (wks)],67)</f>
        <v/>
      </c>
      <c r="R68" s="66">
        <f>INDEX(Projects[Commissioning (wks)],67)</f>
        <v/>
      </c>
      <c r="S68" s="66">
        <f>INDEX(Projects[Total Timeline (wks)],67)</f>
        <v/>
      </c>
      <c r="T68" s="66">
        <f>INDEX(Projects[Currency],67)&amp;""</f>
        <v/>
      </c>
      <c r="U68" s="67">
        <f>INDEX(Projects[Value (M)],67)</f>
        <v/>
      </c>
      <c r="V68" s="66">
        <f>IF('Smart Search'!B13=1,IFERROR(1/'Smart Search'!H13,0),0)</f>
        <v/>
      </c>
      <c r="W68" s="66">
        <f>IF('Smart Search'!B13=1,IFERROR(1/'Smart Search'!H13,0),0)</f>
        <v/>
      </c>
      <c r="X68" s="66">
        <f>IF('Smart Search'!C13=1,IFERROR(1/'Smart Search'!H13,0),0)</f>
        <v/>
      </c>
      <c r="Y68" s="66">
        <f>IF('Smart Search'!C13=1,IFERROR(1/'Smart Search'!H13,0),0)</f>
        <v/>
      </c>
      <c r="Z68" s="66">
        <f>IF('Smart Search'!D13=1,IFERROR(1/'Smart Search'!H13,0),0)</f>
        <v/>
      </c>
      <c r="AA68" s="66">
        <f>IF('Smart Search'!D13=1,IFERROR(1/'Smart Search'!H13,0),0)</f>
        <v/>
      </c>
      <c r="AB68" s="66">
        <f>IF('Smart Search'!E13=1,IFERROR(1/'Smart Search'!H13,0),0)</f>
        <v/>
      </c>
      <c r="AC68" s="66">
        <f>IF('Smart Search'!E13=1,IFERROR(1/'Smart Search'!H13,0),0)</f>
        <v/>
      </c>
      <c r="AD68" s="66">
        <f>IF('Smart Search'!F13=1,IFERROR(1/'Smart Search'!H13,0),0)</f>
        <v/>
      </c>
      <c r="AE68" s="66">
        <f>IF('Smart Search'!F13=1,IFERROR(1/'Smart Search'!H13,0),0)</f>
        <v/>
      </c>
      <c r="AF68" s="66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66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66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66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66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66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66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66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66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66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66">
        <f>AF68*V68</f>
        <v/>
      </c>
      <c r="AQ68" s="66">
        <f>AG68*W68</f>
        <v/>
      </c>
      <c r="AR68" s="66">
        <f>AH68*X68</f>
        <v/>
      </c>
      <c r="AS68" s="66">
        <f>AI68*Y68</f>
        <v/>
      </c>
      <c r="AT68" s="66">
        <f>AJ68*Z68</f>
        <v/>
      </c>
      <c r="AU68" s="66">
        <f>AK68*AA68</f>
        <v/>
      </c>
      <c r="AV68" s="66">
        <f>AL68*AB68</f>
        <v/>
      </c>
      <c r="AW68" s="66">
        <f>AM68*AC68</f>
        <v/>
      </c>
      <c r="AX68" s="66">
        <f>AN68*AD68</f>
        <v/>
      </c>
      <c r="AY68" s="66">
        <f>AO68*AE68</f>
        <v/>
      </c>
      <c r="AZ68" s="66">
        <f>INDEX(Projects[Automation Equipment],67)&amp;""</f>
        <v/>
      </c>
      <c r="BA68" s="66">
        <f>IF(OR(A68="",'Smart Search'!H13=0),"",MAX(0,BE68*BF68*MAX(0,1-BG68)))</f>
        <v/>
      </c>
      <c r="BB68" s="66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66">
        <f>IF('Smart Search'!G13=1,IFERROR(1/'Smart Search'!H13,0),0)</f>
        <v/>
      </c>
      <c r="BD68" s="66">
        <f>BB68*BC68</f>
        <v/>
      </c>
      <c r="BE68" s="66">
        <f>AP68+AQ68+AR68+AS68+AT68+AU68+AV68+AW68+AX68+AY68+BD68</f>
        <v/>
      </c>
      <c r="BF68" s="5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5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5">
        <f>IF(AND(A68&lt;&gt;"",OR('Smart Search'!$L$5="",'Smart Search'!$L$5="All",TRIM(BZ68)=TRIM('Smart Search'!$L$5)),OR(TRIM('Smart Search'!$L$6)="",TRIM('Smart Search'!$L$6)="All",ISNUMBER(SEARCH(SUBSTITUTE(SUBSTITUTE(SUBSTITUTE(TRIM('Smart Search'!$L$6),"~","~~"),"*","~*"),"?","~?"),CA68))),OR('Smart Search'!$L$7="",AND(CB68&lt;&gt;0,CB68='Smart Search'!$L$7)),OR('Smart Search'!$L$8="",'Smart Search'!$L$8="All",TRIM(CC68)=TRIM('Smart Search'!$L$8))),IF(BA68="","",BA68+ROW()*0.0000000001),"")</f>
        <v/>
      </c>
      <c r="BI68" s="5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5">
        <f>IF(A68="","",N(INDEX(Projects[Mech Inst],67)))</f>
        <v/>
      </c>
      <c r="BK68" s="5">
        <f>IF(A68="","",N(INDEX(Projects[Elec Inst],67)))</f>
        <v/>
      </c>
      <c r="BL68" s="5">
        <f>IF(A68="","",N(INDEX(Projects[Project Management],67)))</f>
        <v/>
      </c>
      <c r="BM68" s="5">
        <f>IF(A68="","",N(INDEX(Projects[Systems Eng],67)))</f>
        <v/>
      </c>
      <c r="BN68" s="5">
        <f>IF(A68="","",N(INDEX(Projects[Mechanical Eng],67)))</f>
        <v/>
      </c>
      <c r="BO68" s="5">
        <f>IF(A68="","",N(INDEX(Projects[Structural Engineering],67)))</f>
        <v/>
      </c>
      <c r="BP68" s="5">
        <f>IF(A68="","",N(INDEX(Projects[Site Sup],67)))</f>
        <v/>
      </c>
      <c r="BQ68" s="5">
        <f>IF(A68="","",N(INDEX(Projects[Controls Commissioning],67)))</f>
        <v/>
      </c>
      <c r="BR68" s="5">
        <f>IF(A68="","",N(INDEX(Projects[Systems Commissioning],67)))</f>
        <v/>
      </c>
      <c r="BS68" s="5">
        <f>IF(A68="","",N(INDEX(Projects[Service Commissioning],67)))</f>
        <v/>
      </c>
      <c r="BT68" s="5">
        <f>IF(A68="","",N(INDEX(Projects[Controls Eng],67)))</f>
        <v/>
      </c>
      <c r="BU68" s="5">
        <f>IF(A68="","",N(INDEX(Projects[Controls Purchase],67)))</f>
        <v/>
      </c>
      <c r="BV68" s="5">
        <f>IF(A68="","",N(INDEX(Projects[Software Eng],67)))</f>
        <v/>
      </c>
      <c r="BW68" s="5">
        <f>IF(A68="","",N(INDEX(Projects[Misc],67)))</f>
        <v/>
      </c>
      <c r="BX68" s="5">
        <f>IF(A68="","",SUM(BJ68:BW68))</f>
        <v/>
      </c>
      <c r="BY68" s="5">
        <f>IF(A68="","",IFERROR(IF(ISNUMBER(U68),U68,VALUE(SUBSTITUTE(SUBSTITUTE(SUBSTITUTE(UPPER(TRIM(U68)),"M",""),",","")," ",""))),0))</f>
        <v/>
      </c>
      <c r="BZ68" s="5">
        <f>INDEX(Projects[Solution Type],67)&amp;""</f>
        <v/>
      </c>
      <c r="CA68" s="5">
        <f>INDEX(Projects[Client / Region],67)&amp;""</f>
        <v/>
      </c>
      <c r="CB68" s="5">
        <f>INDEX(Projects[Year],67)</f>
        <v/>
      </c>
      <c r="CC68" s="5">
        <f>INDEX(Projects[Won?],67)&amp;""</f>
        <v/>
      </c>
      <c r="CD68" s="5">
        <f>INDEX(Projects[Value (USD M)],67)</f>
        <v/>
      </c>
    </row>
    <row r="69" ht="15" customHeight="1" s="74">
      <c r="A69" s="66">
        <f>INDEX(Projects[Project ID *],68)&amp;""</f>
        <v/>
      </c>
      <c r="B69" s="66">
        <f>INDEX(Projects[Project Name *],68)&amp;""</f>
        <v/>
      </c>
      <c r="C69" s="66">
        <f>INDEX(Projects[MS Shuttles],68)</f>
        <v/>
      </c>
      <c r="D69" s="66">
        <f>INDEX(Projects[MS Tote Locations],68)</f>
        <v/>
      </c>
      <c r="E69" s="66">
        <f>INDEX(Projects[AS Robots],68)</f>
        <v/>
      </c>
      <c r="F69" s="66">
        <f>INDEX(Projects[AS Tote Locations],68)</f>
        <v/>
      </c>
      <c r="G69" s="66">
        <f>INDEX(Projects[PS Shuttles],68)</f>
        <v/>
      </c>
      <c r="H69" s="66">
        <f>INDEX(Projects[PS Pallet Locations],68)</f>
        <v/>
      </c>
      <c r="I69" s="66">
        <f>INDEX(Projects[SRM Cranes],68)</f>
        <v/>
      </c>
      <c r="J69" s="66">
        <f>INDEX(Projects[SRM Pallet Locations],68)</f>
        <v/>
      </c>
      <c r="K69" s="66">
        <f>INDEX(Projects[Case Conv (m)],68)</f>
        <v/>
      </c>
      <c r="L69" s="66">
        <f>INDEX(Projects[Pallet Conv (m)],68)</f>
        <v/>
      </c>
      <c r="M69" s="66">
        <f>INDEX(Projects[Mech Eng (wks)],68)</f>
        <v/>
      </c>
      <c r="N69" s="66">
        <f>INDEX(Projects[Controls Eng (wks)],68)</f>
        <v/>
      </c>
      <c r="O69" s="66">
        <f>INDEX(Projects[Systems Eng (wks)],68)</f>
        <v/>
      </c>
      <c r="P69" s="66">
        <f>INDEX(Projects[Software Eng (wks)],68)</f>
        <v/>
      </c>
      <c r="Q69" s="66">
        <f>INDEX(Projects[M&amp;E Installation (wks)],68)</f>
        <v/>
      </c>
      <c r="R69" s="66">
        <f>INDEX(Projects[Commissioning (wks)],68)</f>
        <v/>
      </c>
      <c r="S69" s="66">
        <f>INDEX(Projects[Total Timeline (wks)],68)</f>
        <v/>
      </c>
      <c r="T69" s="66">
        <f>INDEX(Projects[Currency],68)&amp;""</f>
        <v/>
      </c>
      <c r="U69" s="67">
        <f>INDEX(Projects[Value (M)],68)</f>
        <v/>
      </c>
      <c r="V69" s="66">
        <f>IF('Smart Search'!B13=1,IFERROR(1/'Smart Search'!H13,0),0)</f>
        <v/>
      </c>
      <c r="W69" s="66">
        <f>IF('Smart Search'!B13=1,IFERROR(1/'Smart Search'!H13,0),0)</f>
        <v/>
      </c>
      <c r="X69" s="66">
        <f>IF('Smart Search'!C13=1,IFERROR(1/'Smart Search'!H13,0),0)</f>
        <v/>
      </c>
      <c r="Y69" s="66">
        <f>IF('Smart Search'!C13=1,IFERROR(1/'Smart Search'!H13,0),0)</f>
        <v/>
      </c>
      <c r="Z69" s="66">
        <f>IF('Smart Search'!D13=1,IFERROR(1/'Smart Search'!H13,0),0)</f>
        <v/>
      </c>
      <c r="AA69" s="66">
        <f>IF('Smart Search'!D13=1,IFERROR(1/'Smart Search'!H13,0),0)</f>
        <v/>
      </c>
      <c r="AB69" s="66">
        <f>IF('Smart Search'!E13=1,IFERROR(1/'Smart Search'!H13,0),0)</f>
        <v/>
      </c>
      <c r="AC69" s="66">
        <f>IF('Smart Search'!E13=1,IFERROR(1/'Smart Search'!H13,0),0)</f>
        <v/>
      </c>
      <c r="AD69" s="66">
        <f>IF('Smart Search'!F13=1,IFERROR(1/'Smart Search'!H13,0),0)</f>
        <v/>
      </c>
      <c r="AE69" s="66">
        <f>IF('Smart Search'!F13=1,IFERROR(1/'Smart Search'!H13,0),0)</f>
        <v/>
      </c>
      <c r="AF69" s="66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66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66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66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66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66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66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66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66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66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66">
        <f>AF69*V69</f>
        <v/>
      </c>
      <c r="AQ69" s="66">
        <f>AG69*W69</f>
        <v/>
      </c>
      <c r="AR69" s="66">
        <f>AH69*X69</f>
        <v/>
      </c>
      <c r="AS69" s="66">
        <f>AI69*Y69</f>
        <v/>
      </c>
      <c r="AT69" s="66">
        <f>AJ69*Z69</f>
        <v/>
      </c>
      <c r="AU69" s="66">
        <f>AK69*AA69</f>
        <v/>
      </c>
      <c r="AV69" s="66">
        <f>AL69*AB69</f>
        <v/>
      </c>
      <c r="AW69" s="66">
        <f>AM69*AC69</f>
        <v/>
      </c>
      <c r="AX69" s="66">
        <f>AN69*AD69</f>
        <v/>
      </c>
      <c r="AY69" s="66">
        <f>AO69*AE69</f>
        <v/>
      </c>
      <c r="AZ69" s="66">
        <f>INDEX(Projects[Automation Equipment],68)&amp;""</f>
        <v/>
      </c>
      <c r="BA69" s="66">
        <f>IF(OR(A69="",'Smart Search'!H13=0),"",MAX(0,BE69*BF69*MAX(0,1-BG69)))</f>
        <v/>
      </c>
      <c r="BB69" s="66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66">
        <f>IF('Smart Search'!G13=1,IFERROR(1/'Smart Search'!H13,0),0)</f>
        <v/>
      </c>
      <c r="BD69" s="66">
        <f>BB69*BC69</f>
        <v/>
      </c>
      <c r="BE69" s="66">
        <f>AP69+AQ69+AR69+AS69+AT69+AU69+AV69+AW69+AX69+AY69+BD69</f>
        <v/>
      </c>
      <c r="BF69" s="5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5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5">
        <f>IF(AND(A69&lt;&gt;"",OR('Smart Search'!$L$5="",'Smart Search'!$L$5="All",TRIM(BZ69)=TRIM('Smart Search'!$L$5)),OR(TRIM('Smart Search'!$L$6)="",TRIM('Smart Search'!$L$6)="All",ISNUMBER(SEARCH(SUBSTITUTE(SUBSTITUTE(SUBSTITUTE(TRIM('Smart Search'!$L$6),"~","~~"),"*","~*"),"?","~?"),CA69))),OR('Smart Search'!$L$7="",AND(CB69&lt;&gt;0,CB69='Smart Search'!$L$7)),OR('Smart Search'!$L$8="",'Smart Search'!$L$8="All",TRIM(CC69)=TRIM('Smart Search'!$L$8))),IF(BA69="","",BA69+ROW()*0.0000000001),"")</f>
        <v/>
      </c>
      <c r="BI69" s="5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5">
        <f>IF(A69="","",N(INDEX(Projects[Mech Inst],68)))</f>
        <v/>
      </c>
      <c r="BK69" s="5">
        <f>IF(A69="","",N(INDEX(Projects[Elec Inst],68)))</f>
        <v/>
      </c>
      <c r="BL69" s="5">
        <f>IF(A69="","",N(INDEX(Projects[Project Management],68)))</f>
        <v/>
      </c>
      <c r="BM69" s="5">
        <f>IF(A69="","",N(INDEX(Projects[Systems Eng],68)))</f>
        <v/>
      </c>
      <c r="BN69" s="5">
        <f>IF(A69="","",N(INDEX(Projects[Mechanical Eng],68)))</f>
        <v/>
      </c>
      <c r="BO69" s="5">
        <f>IF(A69="","",N(INDEX(Projects[Structural Engineering],68)))</f>
        <v/>
      </c>
      <c r="BP69" s="5">
        <f>IF(A69="","",N(INDEX(Projects[Site Sup],68)))</f>
        <v/>
      </c>
      <c r="BQ69" s="5">
        <f>IF(A69="","",N(INDEX(Projects[Controls Commissioning],68)))</f>
        <v/>
      </c>
      <c r="BR69" s="5">
        <f>IF(A69="","",N(INDEX(Projects[Systems Commissioning],68)))</f>
        <v/>
      </c>
      <c r="BS69" s="5">
        <f>IF(A69="","",N(INDEX(Projects[Service Commissioning],68)))</f>
        <v/>
      </c>
      <c r="BT69" s="5">
        <f>IF(A69="","",N(INDEX(Projects[Controls Eng],68)))</f>
        <v/>
      </c>
      <c r="BU69" s="5">
        <f>IF(A69="","",N(INDEX(Projects[Controls Purchase],68)))</f>
        <v/>
      </c>
      <c r="BV69" s="5">
        <f>IF(A69="","",N(INDEX(Projects[Software Eng],68)))</f>
        <v/>
      </c>
      <c r="BW69" s="5">
        <f>IF(A69="","",N(INDEX(Projects[Misc],68)))</f>
        <v/>
      </c>
      <c r="BX69" s="5">
        <f>IF(A69="","",SUM(BJ69:BW69))</f>
        <v/>
      </c>
      <c r="BY69" s="5">
        <f>IF(A69="","",IFERROR(IF(ISNUMBER(U69),U69,VALUE(SUBSTITUTE(SUBSTITUTE(SUBSTITUTE(UPPER(TRIM(U69)),"M",""),",","")," ",""))),0))</f>
        <v/>
      </c>
      <c r="BZ69" s="5">
        <f>INDEX(Projects[Solution Type],68)&amp;""</f>
        <v/>
      </c>
      <c r="CA69" s="5">
        <f>INDEX(Projects[Client / Region],68)&amp;""</f>
        <v/>
      </c>
      <c r="CB69" s="5">
        <f>INDEX(Projects[Year],68)</f>
        <v/>
      </c>
      <c r="CC69" s="5">
        <f>INDEX(Projects[Won?],68)&amp;""</f>
        <v/>
      </c>
      <c r="CD69" s="5">
        <f>INDEX(Projects[Value (USD M)],68)</f>
        <v/>
      </c>
    </row>
    <row r="70" ht="15" customHeight="1" s="74">
      <c r="A70" s="66">
        <f>INDEX(Projects[Project ID *],69)&amp;""</f>
        <v/>
      </c>
      <c r="B70" s="66">
        <f>INDEX(Projects[Project Name *],69)&amp;""</f>
        <v/>
      </c>
      <c r="C70" s="66">
        <f>INDEX(Projects[MS Shuttles],69)</f>
        <v/>
      </c>
      <c r="D70" s="66">
        <f>INDEX(Projects[MS Tote Locations],69)</f>
        <v/>
      </c>
      <c r="E70" s="66">
        <f>INDEX(Projects[AS Robots],69)</f>
        <v/>
      </c>
      <c r="F70" s="66">
        <f>INDEX(Projects[AS Tote Locations],69)</f>
        <v/>
      </c>
      <c r="G70" s="66">
        <f>INDEX(Projects[PS Shuttles],69)</f>
        <v/>
      </c>
      <c r="H70" s="66">
        <f>INDEX(Projects[PS Pallet Locations],69)</f>
        <v/>
      </c>
      <c r="I70" s="66">
        <f>INDEX(Projects[SRM Cranes],69)</f>
        <v/>
      </c>
      <c r="J70" s="66">
        <f>INDEX(Projects[SRM Pallet Locations],69)</f>
        <v/>
      </c>
      <c r="K70" s="66">
        <f>INDEX(Projects[Case Conv (m)],69)</f>
        <v/>
      </c>
      <c r="L70" s="66">
        <f>INDEX(Projects[Pallet Conv (m)],69)</f>
        <v/>
      </c>
      <c r="M70" s="66">
        <f>INDEX(Projects[Mech Eng (wks)],69)</f>
        <v/>
      </c>
      <c r="N70" s="66">
        <f>INDEX(Projects[Controls Eng (wks)],69)</f>
        <v/>
      </c>
      <c r="O70" s="66">
        <f>INDEX(Projects[Systems Eng (wks)],69)</f>
        <v/>
      </c>
      <c r="P70" s="66">
        <f>INDEX(Projects[Software Eng (wks)],69)</f>
        <v/>
      </c>
      <c r="Q70" s="66">
        <f>INDEX(Projects[M&amp;E Installation (wks)],69)</f>
        <v/>
      </c>
      <c r="R70" s="66">
        <f>INDEX(Projects[Commissioning (wks)],69)</f>
        <v/>
      </c>
      <c r="S70" s="66">
        <f>INDEX(Projects[Total Timeline (wks)],69)</f>
        <v/>
      </c>
      <c r="T70" s="66">
        <f>INDEX(Projects[Currency],69)&amp;""</f>
        <v/>
      </c>
      <c r="U70" s="67">
        <f>INDEX(Projects[Value (M)],69)</f>
        <v/>
      </c>
      <c r="V70" s="66">
        <f>IF('Smart Search'!B13=1,IFERROR(1/'Smart Search'!H13,0),0)</f>
        <v/>
      </c>
      <c r="W70" s="66">
        <f>IF('Smart Search'!B13=1,IFERROR(1/'Smart Search'!H13,0),0)</f>
        <v/>
      </c>
      <c r="X70" s="66">
        <f>IF('Smart Search'!C13=1,IFERROR(1/'Smart Search'!H13,0),0)</f>
        <v/>
      </c>
      <c r="Y70" s="66">
        <f>IF('Smart Search'!C13=1,IFERROR(1/'Smart Search'!H13,0),0)</f>
        <v/>
      </c>
      <c r="Z70" s="66">
        <f>IF('Smart Search'!D13=1,IFERROR(1/'Smart Search'!H13,0),0)</f>
        <v/>
      </c>
      <c r="AA70" s="66">
        <f>IF('Smart Search'!D13=1,IFERROR(1/'Smart Search'!H13,0),0)</f>
        <v/>
      </c>
      <c r="AB70" s="66">
        <f>IF('Smart Search'!E13=1,IFERROR(1/'Smart Search'!H13,0),0)</f>
        <v/>
      </c>
      <c r="AC70" s="66">
        <f>IF('Smart Search'!E13=1,IFERROR(1/'Smart Search'!H13,0),0)</f>
        <v/>
      </c>
      <c r="AD70" s="66">
        <f>IF('Smart Search'!F13=1,IFERROR(1/'Smart Search'!H13,0),0)</f>
        <v/>
      </c>
      <c r="AE70" s="66">
        <f>IF('Smart Search'!F13=1,IFERROR(1/'Smart Search'!H13,0),0)</f>
        <v/>
      </c>
      <c r="AF70" s="66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66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66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66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66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66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66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66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66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66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66">
        <f>AF70*V70</f>
        <v/>
      </c>
      <c r="AQ70" s="66">
        <f>AG70*W70</f>
        <v/>
      </c>
      <c r="AR70" s="66">
        <f>AH70*X70</f>
        <v/>
      </c>
      <c r="AS70" s="66">
        <f>AI70*Y70</f>
        <v/>
      </c>
      <c r="AT70" s="66">
        <f>AJ70*Z70</f>
        <v/>
      </c>
      <c r="AU70" s="66">
        <f>AK70*AA70</f>
        <v/>
      </c>
      <c r="AV70" s="66">
        <f>AL70*AB70</f>
        <v/>
      </c>
      <c r="AW70" s="66">
        <f>AM70*AC70</f>
        <v/>
      </c>
      <c r="AX70" s="66">
        <f>AN70*AD70</f>
        <v/>
      </c>
      <c r="AY70" s="66">
        <f>AO70*AE70</f>
        <v/>
      </c>
      <c r="AZ70" s="66">
        <f>INDEX(Projects[Automation Equipment],69)&amp;""</f>
        <v/>
      </c>
      <c r="BA70" s="66">
        <f>IF(OR(A70="",'Smart Search'!H13=0),"",MAX(0,BE70*BF70*MAX(0,1-BG70)))</f>
        <v/>
      </c>
      <c r="BB70" s="66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66">
        <f>IF('Smart Search'!G13=1,IFERROR(1/'Smart Search'!H13,0),0)</f>
        <v/>
      </c>
      <c r="BD70" s="66">
        <f>BB70*BC70</f>
        <v/>
      </c>
      <c r="BE70" s="66">
        <f>AP70+AQ70+AR70+AS70+AT70+AU70+AV70+AW70+AX70+AY70+BD70</f>
        <v/>
      </c>
      <c r="BF70" s="5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5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5">
        <f>IF(AND(A70&lt;&gt;"",OR('Smart Search'!$L$5="",'Smart Search'!$L$5="All",TRIM(BZ70)=TRIM('Smart Search'!$L$5)),OR(TRIM('Smart Search'!$L$6)="",TRIM('Smart Search'!$L$6)="All",ISNUMBER(SEARCH(SUBSTITUTE(SUBSTITUTE(SUBSTITUTE(TRIM('Smart Search'!$L$6),"~","~~"),"*","~*"),"?","~?"),CA70))),OR('Smart Search'!$L$7="",AND(CB70&lt;&gt;0,CB70='Smart Search'!$L$7)),OR('Smart Search'!$L$8="",'Smart Search'!$L$8="All",TRIM(CC70)=TRIM('Smart Search'!$L$8))),IF(BA70="","",BA70+ROW()*0.0000000001),"")</f>
        <v/>
      </c>
      <c r="BI70" s="5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5">
        <f>IF(A70="","",N(INDEX(Projects[Mech Inst],69)))</f>
        <v/>
      </c>
      <c r="BK70" s="5">
        <f>IF(A70="","",N(INDEX(Projects[Elec Inst],69)))</f>
        <v/>
      </c>
      <c r="BL70" s="5">
        <f>IF(A70="","",N(INDEX(Projects[Project Management],69)))</f>
        <v/>
      </c>
      <c r="BM70" s="5">
        <f>IF(A70="","",N(INDEX(Projects[Systems Eng],69)))</f>
        <v/>
      </c>
      <c r="BN70" s="5">
        <f>IF(A70="","",N(INDEX(Projects[Mechanical Eng],69)))</f>
        <v/>
      </c>
      <c r="BO70" s="5">
        <f>IF(A70="","",N(INDEX(Projects[Structural Engineering],69)))</f>
        <v/>
      </c>
      <c r="BP70" s="5">
        <f>IF(A70="","",N(INDEX(Projects[Site Sup],69)))</f>
        <v/>
      </c>
      <c r="BQ70" s="5">
        <f>IF(A70="","",N(INDEX(Projects[Controls Commissioning],69)))</f>
        <v/>
      </c>
      <c r="BR70" s="5">
        <f>IF(A70="","",N(INDEX(Projects[Systems Commissioning],69)))</f>
        <v/>
      </c>
      <c r="BS70" s="5">
        <f>IF(A70="","",N(INDEX(Projects[Service Commissioning],69)))</f>
        <v/>
      </c>
      <c r="BT70" s="5">
        <f>IF(A70="","",N(INDEX(Projects[Controls Eng],69)))</f>
        <v/>
      </c>
      <c r="BU70" s="5">
        <f>IF(A70="","",N(INDEX(Projects[Controls Purchase],69)))</f>
        <v/>
      </c>
      <c r="BV70" s="5">
        <f>IF(A70="","",N(INDEX(Projects[Software Eng],69)))</f>
        <v/>
      </c>
      <c r="BW70" s="5">
        <f>IF(A70="","",N(INDEX(Projects[Misc],69)))</f>
        <v/>
      </c>
      <c r="BX70" s="5">
        <f>IF(A70="","",SUM(BJ70:BW70))</f>
        <v/>
      </c>
      <c r="BY70" s="5">
        <f>IF(A70="","",IFERROR(IF(ISNUMBER(U70),U70,VALUE(SUBSTITUTE(SUBSTITUTE(SUBSTITUTE(UPPER(TRIM(U70)),"M",""),",","")," ",""))),0))</f>
        <v/>
      </c>
      <c r="BZ70" s="5">
        <f>INDEX(Projects[Solution Type],69)&amp;""</f>
        <v/>
      </c>
      <c r="CA70" s="5">
        <f>INDEX(Projects[Client / Region],69)&amp;""</f>
        <v/>
      </c>
      <c r="CB70" s="5">
        <f>INDEX(Projects[Year],69)</f>
        <v/>
      </c>
      <c r="CC70" s="5">
        <f>INDEX(Projects[Won?],69)&amp;""</f>
        <v/>
      </c>
      <c r="CD70" s="5">
        <f>INDEX(Projects[Value (USD M)],69)</f>
        <v/>
      </c>
    </row>
    <row r="71" ht="15" customHeight="1" s="74">
      <c r="A71" s="66">
        <f>INDEX(Projects[Project ID *],70)&amp;""</f>
        <v/>
      </c>
      <c r="B71" s="66">
        <f>INDEX(Projects[Project Name *],70)&amp;""</f>
        <v/>
      </c>
      <c r="C71" s="66">
        <f>INDEX(Projects[MS Shuttles],70)</f>
        <v/>
      </c>
      <c r="D71" s="66">
        <f>INDEX(Projects[MS Tote Locations],70)</f>
        <v/>
      </c>
      <c r="E71" s="66">
        <f>INDEX(Projects[AS Robots],70)</f>
        <v/>
      </c>
      <c r="F71" s="66">
        <f>INDEX(Projects[AS Tote Locations],70)</f>
        <v/>
      </c>
      <c r="G71" s="66">
        <f>INDEX(Projects[PS Shuttles],70)</f>
        <v/>
      </c>
      <c r="H71" s="66">
        <f>INDEX(Projects[PS Pallet Locations],70)</f>
        <v/>
      </c>
      <c r="I71" s="66">
        <f>INDEX(Projects[SRM Cranes],70)</f>
        <v/>
      </c>
      <c r="J71" s="66">
        <f>INDEX(Projects[SRM Pallet Locations],70)</f>
        <v/>
      </c>
      <c r="K71" s="66">
        <f>INDEX(Projects[Case Conv (m)],70)</f>
        <v/>
      </c>
      <c r="L71" s="66">
        <f>INDEX(Projects[Pallet Conv (m)],70)</f>
        <v/>
      </c>
      <c r="M71" s="66">
        <f>INDEX(Projects[Mech Eng (wks)],70)</f>
        <v/>
      </c>
      <c r="N71" s="66">
        <f>INDEX(Projects[Controls Eng (wks)],70)</f>
        <v/>
      </c>
      <c r="O71" s="66">
        <f>INDEX(Projects[Systems Eng (wks)],70)</f>
        <v/>
      </c>
      <c r="P71" s="66">
        <f>INDEX(Projects[Software Eng (wks)],70)</f>
        <v/>
      </c>
      <c r="Q71" s="66">
        <f>INDEX(Projects[M&amp;E Installation (wks)],70)</f>
        <v/>
      </c>
      <c r="R71" s="66">
        <f>INDEX(Projects[Commissioning (wks)],70)</f>
        <v/>
      </c>
      <c r="S71" s="66">
        <f>INDEX(Projects[Total Timeline (wks)],70)</f>
        <v/>
      </c>
      <c r="T71" s="66">
        <f>INDEX(Projects[Currency],70)&amp;""</f>
        <v/>
      </c>
      <c r="U71" s="67">
        <f>INDEX(Projects[Value (M)],70)</f>
        <v/>
      </c>
      <c r="V71" s="66">
        <f>IF('Smart Search'!B13=1,IFERROR(1/'Smart Search'!H13,0),0)</f>
        <v/>
      </c>
      <c r="W71" s="66">
        <f>IF('Smart Search'!B13=1,IFERROR(1/'Smart Search'!H13,0),0)</f>
        <v/>
      </c>
      <c r="X71" s="66">
        <f>IF('Smart Search'!C13=1,IFERROR(1/'Smart Search'!H13,0),0)</f>
        <v/>
      </c>
      <c r="Y71" s="66">
        <f>IF('Smart Search'!C13=1,IFERROR(1/'Smart Search'!H13,0),0)</f>
        <v/>
      </c>
      <c r="Z71" s="66">
        <f>IF('Smart Search'!D13=1,IFERROR(1/'Smart Search'!H13,0),0)</f>
        <v/>
      </c>
      <c r="AA71" s="66">
        <f>IF('Smart Search'!D13=1,IFERROR(1/'Smart Search'!H13,0),0)</f>
        <v/>
      </c>
      <c r="AB71" s="66">
        <f>IF('Smart Search'!E13=1,IFERROR(1/'Smart Search'!H13,0),0)</f>
        <v/>
      </c>
      <c r="AC71" s="66">
        <f>IF('Smart Search'!E13=1,IFERROR(1/'Smart Search'!H13,0),0)</f>
        <v/>
      </c>
      <c r="AD71" s="66">
        <f>IF('Smart Search'!F13=1,IFERROR(1/'Smart Search'!H13,0),0)</f>
        <v/>
      </c>
      <c r="AE71" s="66">
        <f>IF('Smart Search'!F13=1,IFERROR(1/'Smart Search'!H13,0),0)</f>
        <v/>
      </c>
      <c r="AF71" s="66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66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66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66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66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66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66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66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66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66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66">
        <f>AF71*V71</f>
        <v/>
      </c>
      <c r="AQ71" s="66">
        <f>AG71*W71</f>
        <v/>
      </c>
      <c r="AR71" s="66">
        <f>AH71*X71</f>
        <v/>
      </c>
      <c r="AS71" s="66">
        <f>AI71*Y71</f>
        <v/>
      </c>
      <c r="AT71" s="66">
        <f>AJ71*Z71</f>
        <v/>
      </c>
      <c r="AU71" s="66">
        <f>AK71*AA71</f>
        <v/>
      </c>
      <c r="AV71" s="66">
        <f>AL71*AB71</f>
        <v/>
      </c>
      <c r="AW71" s="66">
        <f>AM71*AC71</f>
        <v/>
      </c>
      <c r="AX71" s="66">
        <f>AN71*AD71</f>
        <v/>
      </c>
      <c r="AY71" s="66">
        <f>AO71*AE71</f>
        <v/>
      </c>
      <c r="AZ71" s="66">
        <f>INDEX(Projects[Automation Equipment],70)&amp;""</f>
        <v/>
      </c>
      <c r="BA71" s="66">
        <f>IF(OR(A71="",'Smart Search'!H13=0),"",MAX(0,BE71*BF71*MAX(0,1-BG71)))</f>
        <v/>
      </c>
      <c r="BB71" s="66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66">
        <f>IF('Smart Search'!G13=1,IFERROR(1/'Smart Search'!H13,0),0)</f>
        <v/>
      </c>
      <c r="BD71" s="66">
        <f>BB71*BC71</f>
        <v/>
      </c>
      <c r="BE71" s="66">
        <f>AP71+AQ71+AR71+AS71+AT71+AU71+AV71+AW71+AX71+AY71+BD71</f>
        <v/>
      </c>
      <c r="BF71" s="5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5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5">
        <f>IF(AND(A71&lt;&gt;"",OR('Smart Search'!$L$5="",'Smart Search'!$L$5="All",TRIM(BZ71)=TRIM('Smart Search'!$L$5)),OR(TRIM('Smart Search'!$L$6)="",TRIM('Smart Search'!$L$6)="All",ISNUMBER(SEARCH(SUBSTITUTE(SUBSTITUTE(SUBSTITUTE(TRIM('Smart Search'!$L$6),"~","~~"),"*","~*"),"?","~?"),CA71))),OR('Smart Search'!$L$7="",AND(CB71&lt;&gt;0,CB71='Smart Search'!$L$7)),OR('Smart Search'!$L$8="",'Smart Search'!$L$8="All",TRIM(CC71)=TRIM('Smart Search'!$L$8))),IF(BA71="","",BA71+ROW()*0.0000000001),"")</f>
        <v/>
      </c>
      <c r="BI71" s="5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5">
        <f>IF(A71="","",N(INDEX(Projects[Mech Inst],70)))</f>
        <v/>
      </c>
      <c r="BK71" s="5">
        <f>IF(A71="","",N(INDEX(Projects[Elec Inst],70)))</f>
        <v/>
      </c>
      <c r="BL71" s="5">
        <f>IF(A71="","",N(INDEX(Projects[Project Management],70)))</f>
        <v/>
      </c>
      <c r="BM71" s="5">
        <f>IF(A71="","",N(INDEX(Projects[Systems Eng],70)))</f>
        <v/>
      </c>
      <c r="BN71" s="5">
        <f>IF(A71="","",N(INDEX(Projects[Mechanical Eng],70)))</f>
        <v/>
      </c>
      <c r="BO71" s="5">
        <f>IF(A71="","",N(INDEX(Projects[Structural Engineering],70)))</f>
        <v/>
      </c>
      <c r="BP71" s="5">
        <f>IF(A71="","",N(INDEX(Projects[Site Sup],70)))</f>
        <v/>
      </c>
      <c r="BQ71" s="5">
        <f>IF(A71="","",N(INDEX(Projects[Controls Commissioning],70)))</f>
        <v/>
      </c>
      <c r="BR71" s="5">
        <f>IF(A71="","",N(INDEX(Projects[Systems Commissioning],70)))</f>
        <v/>
      </c>
      <c r="BS71" s="5">
        <f>IF(A71="","",N(INDEX(Projects[Service Commissioning],70)))</f>
        <v/>
      </c>
      <c r="BT71" s="5">
        <f>IF(A71="","",N(INDEX(Projects[Controls Eng],70)))</f>
        <v/>
      </c>
      <c r="BU71" s="5">
        <f>IF(A71="","",N(INDEX(Projects[Controls Purchase],70)))</f>
        <v/>
      </c>
      <c r="BV71" s="5">
        <f>IF(A71="","",N(INDEX(Projects[Software Eng],70)))</f>
        <v/>
      </c>
      <c r="BW71" s="5">
        <f>IF(A71="","",N(INDEX(Projects[Misc],70)))</f>
        <v/>
      </c>
      <c r="BX71" s="5">
        <f>IF(A71="","",SUM(BJ71:BW71))</f>
        <v/>
      </c>
      <c r="BY71" s="5">
        <f>IF(A71="","",IFERROR(IF(ISNUMBER(U71),U71,VALUE(SUBSTITUTE(SUBSTITUTE(SUBSTITUTE(UPPER(TRIM(U71)),"M",""),",","")," ",""))),0))</f>
        <v/>
      </c>
      <c r="BZ71" s="5">
        <f>INDEX(Projects[Solution Type],70)&amp;""</f>
        <v/>
      </c>
      <c r="CA71" s="5">
        <f>INDEX(Projects[Client / Region],70)&amp;""</f>
        <v/>
      </c>
      <c r="CB71" s="5">
        <f>INDEX(Projects[Year],70)</f>
        <v/>
      </c>
      <c r="CC71" s="5">
        <f>INDEX(Projects[Won?],70)&amp;""</f>
        <v/>
      </c>
      <c r="CD71" s="5">
        <f>INDEX(Projects[Value (USD M)],70)</f>
        <v/>
      </c>
    </row>
    <row r="72" ht="15" customHeight="1" s="74">
      <c r="A72" s="66">
        <f>INDEX(Projects[Project ID *],71)&amp;""</f>
        <v/>
      </c>
      <c r="B72" s="66">
        <f>INDEX(Projects[Project Name *],71)&amp;""</f>
        <v/>
      </c>
      <c r="C72" s="66">
        <f>INDEX(Projects[MS Shuttles],71)</f>
        <v/>
      </c>
      <c r="D72" s="66">
        <f>INDEX(Projects[MS Tote Locations],71)</f>
        <v/>
      </c>
      <c r="E72" s="66">
        <f>INDEX(Projects[AS Robots],71)</f>
        <v/>
      </c>
      <c r="F72" s="66">
        <f>INDEX(Projects[AS Tote Locations],71)</f>
        <v/>
      </c>
      <c r="G72" s="66">
        <f>INDEX(Projects[PS Shuttles],71)</f>
        <v/>
      </c>
      <c r="H72" s="66">
        <f>INDEX(Projects[PS Pallet Locations],71)</f>
        <v/>
      </c>
      <c r="I72" s="66">
        <f>INDEX(Projects[SRM Cranes],71)</f>
        <v/>
      </c>
      <c r="J72" s="66">
        <f>INDEX(Projects[SRM Pallet Locations],71)</f>
        <v/>
      </c>
      <c r="K72" s="66">
        <f>INDEX(Projects[Case Conv (m)],71)</f>
        <v/>
      </c>
      <c r="L72" s="66">
        <f>INDEX(Projects[Pallet Conv (m)],71)</f>
        <v/>
      </c>
      <c r="M72" s="66">
        <f>INDEX(Projects[Mech Eng (wks)],71)</f>
        <v/>
      </c>
      <c r="N72" s="66">
        <f>INDEX(Projects[Controls Eng (wks)],71)</f>
        <v/>
      </c>
      <c r="O72" s="66">
        <f>INDEX(Projects[Systems Eng (wks)],71)</f>
        <v/>
      </c>
      <c r="P72" s="66">
        <f>INDEX(Projects[Software Eng (wks)],71)</f>
        <v/>
      </c>
      <c r="Q72" s="66">
        <f>INDEX(Projects[M&amp;E Installation (wks)],71)</f>
        <v/>
      </c>
      <c r="R72" s="66">
        <f>INDEX(Projects[Commissioning (wks)],71)</f>
        <v/>
      </c>
      <c r="S72" s="66">
        <f>INDEX(Projects[Total Timeline (wks)],71)</f>
        <v/>
      </c>
      <c r="T72" s="66">
        <f>INDEX(Projects[Currency],71)&amp;""</f>
        <v/>
      </c>
      <c r="U72" s="67">
        <f>INDEX(Projects[Value (M)],71)</f>
        <v/>
      </c>
      <c r="V72" s="66">
        <f>IF('Smart Search'!B13=1,IFERROR(1/'Smart Search'!H13,0),0)</f>
        <v/>
      </c>
      <c r="W72" s="66">
        <f>IF('Smart Search'!B13=1,IFERROR(1/'Smart Search'!H13,0),0)</f>
        <v/>
      </c>
      <c r="X72" s="66">
        <f>IF('Smart Search'!C13=1,IFERROR(1/'Smart Search'!H13,0),0)</f>
        <v/>
      </c>
      <c r="Y72" s="66">
        <f>IF('Smart Search'!C13=1,IFERROR(1/'Smart Search'!H13,0),0)</f>
        <v/>
      </c>
      <c r="Z72" s="66">
        <f>IF('Smart Search'!D13=1,IFERROR(1/'Smart Search'!H13,0),0)</f>
        <v/>
      </c>
      <c r="AA72" s="66">
        <f>IF('Smart Search'!D13=1,IFERROR(1/'Smart Search'!H13,0),0)</f>
        <v/>
      </c>
      <c r="AB72" s="66">
        <f>IF('Smart Search'!E13=1,IFERROR(1/'Smart Search'!H13,0),0)</f>
        <v/>
      </c>
      <c r="AC72" s="66">
        <f>IF('Smart Search'!E13=1,IFERROR(1/'Smart Search'!H13,0),0)</f>
        <v/>
      </c>
      <c r="AD72" s="66">
        <f>IF('Smart Search'!F13=1,IFERROR(1/'Smart Search'!H13,0),0)</f>
        <v/>
      </c>
      <c r="AE72" s="66">
        <f>IF('Smart Search'!F13=1,IFERROR(1/'Smart Search'!H13,0),0)</f>
        <v/>
      </c>
      <c r="AF72" s="66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66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66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66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66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66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66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66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66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66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66">
        <f>AF72*V72</f>
        <v/>
      </c>
      <c r="AQ72" s="66">
        <f>AG72*W72</f>
        <v/>
      </c>
      <c r="AR72" s="66">
        <f>AH72*X72</f>
        <v/>
      </c>
      <c r="AS72" s="66">
        <f>AI72*Y72</f>
        <v/>
      </c>
      <c r="AT72" s="66">
        <f>AJ72*Z72</f>
        <v/>
      </c>
      <c r="AU72" s="66">
        <f>AK72*AA72</f>
        <v/>
      </c>
      <c r="AV72" s="66">
        <f>AL72*AB72</f>
        <v/>
      </c>
      <c r="AW72" s="66">
        <f>AM72*AC72</f>
        <v/>
      </c>
      <c r="AX72" s="66">
        <f>AN72*AD72</f>
        <v/>
      </c>
      <c r="AY72" s="66">
        <f>AO72*AE72</f>
        <v/>
      </c>
      <c r="AZ72" s="66">
        <f>INDEX(Projects[Automation Equipment],71)&amp;""</f>
        <v/>
      </c>
      <c r="BA72" s="66">
        <f>IF(OR(A72="",'Smart Search'!H13=0),"",MAX(0,BE72*BF72*MAX(0,1-BG72)))</f>
        <v/>
      </c>
      <c r="BB72" s="66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66">
        <f>IF('Smart Search'!G13=1,IFERROR(1/'Smart Search'!H13,0),0)</f>
        <v/>
      </c>
      <c r="BD72" s="66">
        <f>BB72*BC72</f>
        <v/>
      </c>
      <c r="BE72" s="66">
        <f>AP72+AQ72+AR72+AS72+AT72+AU72+AV72+AW72+AX72+AY72+BD72</f>
        <v/>
      </c>
      <c r="BF72" s="5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5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5">
        <f>IF(AND(A72&lt;&gt;"",OR('Smart Search'!$L$5="",'Smart Search'!$L$5="All",TRIM(BZ72)=TRIM('Smart Search'!$L$5)),OR(TRIM('Smart Search'!$L$6)="",TRIM('Smart Search'!$L$6)="All",ISNUMBER(SEARCH(SUBSTITUTE(SUBSTITUTE(SUBSTITUTE(TRIM('Smart Search'!$L$6),"~","~~"),"*","~*"),"?","~?"),CA72))),OR('Smart Search'!$L$7="",AND(CB72&lt;&gt;0,CB72='Smart Search'!$L$7)),OR('Smart Search'!$L$8="",'Smart Search'!$L$8="All",TRIM(CC72)=TRIM('Smart Search'!$L$8))),IF(BA72="","",BA72+ROW()*0.0000000001),"")</f>
        <v/>
      </c>
      <c r="BI72" s="5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5">
        <f>IF(A72="","",N(INDEX(Projects[Mech Inst],71)))</f>
        <v/>
      </c>
      <c r="BK72" s="5">
        <f>IF(A72="","",N(INDEX(Projects[Elec Inst],71)))</f>
        <v/>
      </c>
      <c r="BL72" s="5">
        <f>IF(A72="","",N(INDEX(Projects[Project Management],71)))</f>
        <v/>
      </c>
      <c r="BM72" s="5">
        <f>IF(A72="","",N(INDEX(Projects[Systems Eng],71)))</f>
        <v/>
      </c>
      <c r="BN72" s="5">
        <f>IF(A72="","",N(INDEX(Projects[Mechanical Eng],71)))</f>
        <v/>
      </c>
      <c r="BO72" s="5">
        <f>IF(A72="","",N(INDEX(Projects[Structural Engineering],71)))</f>
        <v/>
      </c>
      <c r="BP72" s="5">
        <f>IF(A72="","",N(INDEX(Projects[Site Sup],71)))</f>
        <v/>
      </c>
      <c r="BQ72" s="5">
        <f>IF(A72="","",N(INDEX(Projects[Controls Commissioning],71)))</f>
        <v/>
      </c>
      <c r="BR72" s="5">
        <f>IF(A72="","",N(INDEX(Projects[Systems Commissioning],71)))</f>
        <v/>
      </c>
      <c r="BS72" s="5">
        <f>IF(A72="","",N(INDEX(Projects[Service Commissioning],71)))</f>
        <v/>
      </c>
      <c r="BT72" s="5">
        <f>IF(A72="","",N(INDEX(Projects[Controls Eng],71)))</f>
        <v/>
      </c>
      <c r="BU72" s="5">
        <f>IF(A72="","",N(INDEX(Projects[Controls Purchase],71)))</f>
        <v/>
      </c>
      <c r="BV72" s="5">
        <f>IF(A72="","",N(INDEX(Projects[Software Eng],71)))</f>
        <v/>
      </c>
      <c r="BW72" s="5">
        <f>IF(A72="","",N(INDEX(Projects[Misc],71)))</f>
        <v/>
      </c>
      <c r="BX72" s="5">
        <f>IF(A72="","",SUM(BJ72:BW72))</f>
        <v/>
      </c>
      <c r="BY72" s="5">
        <f>IF(A72="","",IFERROR(IF(ISNUMBER(U72),U72,VALUE(SUBSTITUTE(SUBSTITUTE(SUBSTITUTE(UPPER(TRIM(U72)),"M",""),",","")," ",""))),0))</f>
        <v/>
      </c>
      <c r="BZ72" s="5">
        <f>INDEX(Projects[Solution Type],71)&amp;""</f>
        <v/>
      </c>
      <c r="CA72" s="5">
        <f>INDEX(Projects[Client / Region],71)&amp;""</f>
        <v/>
      </c>
      <c r="CB72" s="5">
        <f>INDEX(Projects[Year],71)</f>
        <v/>
      </c>
      <c r="CC72" s="5">
        <f>INDEX(Projects[Won?],71)&amp;""</f>
        <v/>
      </c>
      <c r="CD72" s="5">
        <f>INDEX(Projects[Value (USD M)],71)</f>
        <v/>
      </c>
    </row>
    <row r="73" ht="15" customHeight="1" s="74">
      <c r="A73" s="66">
        <f>INDEX(Projects[Project ID *],72)&amp;""</f>
        <v/>
      </c>
      <c r="B73" s="66">
        <f>INDEX(Projects[Project Name *],72)&amp;""</f>
        <v/>
      </c>
      <c r="C73" s="66">
        <f>INDEX(Projects[MS Shuttles],72)</f>
        <v/>
      </c>
      <c r="D73" s="66">
        <f>INDEX(Projects[MS Tote Locations],72)</f>
        <v/>
      </c>
      <c r="E73" s="66">
        <f>INDEX(Projects[AS Robots],72)</f>
        <v/>
      </c>
      <c r="F73" s="66">
        <f>INDEX(Projects[AS Tote Locations],72)</f>
        <v/>
      </c>
      <c r="G73" s="66">
        <f>INDEX(Projects[PS Shuttles],72)</f>
        <v/>
      </c>
      <c r="H73" s="66">
        <f>INDEX(Projects[PS Pallet Locations],72)</f>
        <v/>
      </c>
      <c r="I73" s="66">
        <f>INDEX(Projects[SRM Cranes],72)</f>
        <v/>
      </c>
      <c r="J73" s="66">
        <f>INDEX(Projects[SRM Pallet Locations],72)</f>
        <v/>
      </c>
      <c r="K73" s="66">
        <f>INDEX(Projects[Case Conv (m)],72)</f>
        <v/>
      </c>
      <c r="L73" s="66">
        <f>INDEX(Projects[Pallet Conv (m)],72)</f>
        <v/>
      </c>
      <c r="M73" s="66">
        <f>INDEX(Projects[Mech Eng (wks)],72)</f>
        <v/>
      </c>
      <c r="N73" s="66">
        <f>INDEX(Projects[Controls Eng (wks)],72)</f>
        <v/>
      </c>
      <c r="O73" s="66">
        <f>INDEX(Projects[Systems Eng (wks)],72)</f>
        <v/>
      </c>
      <c r="P73" s="66">
        <f>INDEX(Projects[Software Eng (wks)],72)</f>
        <v/>
      </c>
      <c r="Q73" s="66">
        <f>INDEX(Projects[M&amp;E Installation (wks)],72)</f>
        <v/>
      </c>
      <c r="R73" s="66">
        <f>INDEX(Projects[Commissioning (wks)],72)</f>
        <v/>
      </c>
      <c r="S73" s="66">
        <f>INDEX(Projects[Total Timeline (wks)],72)</f>
        <v/>
      </c>
      <c r="T73" s="66">
        <f>INDEX(Projects[Currency],72)&amp;""</f>
        <v/>
      </c>
      <c r="U73" s="67">
        <f>INDEX(Projects[Value (M)],72)</f>
        <v/>
      </c>
      <c r="V73" s="66">
        <f>IF('Smart Search'!B13=1,IFERROR(1/'Smart Search'!H13,0),0)</f>
        <v/>
      </c>
      <c r="W73" s="66">
        <f>IF('Smart Search'!B13=1,IFERROR(1/'Smart Search'!H13,0),0)</f>
        <v/>
      </c>
      <c r="X73" s="66">
        <f>IF('Smart Search'!C13=1,IFERROR(1/'Smart Search'!H13,0),0)</f>
        <v/>
      </c>
      <c r="Y73" s="66">
        <f>IF('Smart Search'!C13=1,IFERROR(1/'Smart Search'!H13,0),0)</f>
        <v/>
      </c>
      <c r="Z73" s="66">
        <f>IF('Smart Search'!D13=1,IFERROR(1/'Smart Search'!H13,0),0)</f>
        <v/>
      </c>
      <c r="AA73" s="66">
        <f>IF('Smart Search'!D13=1,IFERROR(1/'Smart Search'!H13,0),0)</f>
        <v/>
      </c>
      <c r="AB73" s="66">
        <f>IF('Smart Search'!E13=1,IFERROR(1/'Smart Search'!H13,0),0)</f>
        <v/>
      </c>
      <c r="AC73" s="66">
        <f>IF('Smart Search'!E13=1,IFERROR(1/'Smart Search'!H13,0),0)</f>
        <v/>
      </c>
      <c r="AD73" s="66">
        <f>IF('Smart Search'!F13=1,IFERROR(1/'Smart Search'!H13,0),0)</f>
        <v/>
      </c>
      <c r="AE73" s="66">
        <f>IF('Smart Search'!F13=1,IFERROR(1/'Smart Search'!H13,0),0)</f>
        <v/>
      </c>
      <c r="AF73" s="66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66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66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66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66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66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66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66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66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66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66">
        <f>AF73*V73</f>
        <v/>
      </c>
      <c r="AQ73" s="66">
        <f>AG73*W73</f>
        <v/>
      </c>
      <c r="AR73" s="66">
        <f>AH73*X73</f>
        <v/>
      </c>
      <c r="AS73" s="66">
        <f>AI73*Y73</f>
        <v/>
      </c>
      <c r="AT73" s="66">
        <f>AJ73*Z73</f>
        <v/>
      </c>
      <c r="AU73" s="66">
        <f>AK73*AA73</f>
        <v/>
      </c>
      <c r="AV73" s="66">
        <f>AL73*AB73</f>
        <v/>
      </c>
      <c r="AW73" s="66">
        <f>AM73*AC73</f>
        <v/>
      </c>
      <c r="AX73" s="66">
        <f>AN73*AD73</f>
        <v/>
      </c>
      <c r="AY73" s="66">
        <f>AO73*AE73</f>
        <v/>
      </c>
      <c r="AZ73" s="66">
        <f>INDEX(Projects[Automation Equipment],72)&amp;""</f>
        <v/>
      </c>
      <c r="BA73" s="66">
        <f>IF(OR(A73="",'Smart Search'!H13=0),"",MAX(0,BE73*BF73*MAX(0,1-BG73)))</f>
        <v/>
      </c>
      <c r="BB73" s="66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66">
        <f>IF('Smart Search'!G13=1,IFERROR(1/'Smart Search'!H13,0),0)</f>
        <v/>
      </c>
      <c r="BD73" s="66">
        <f>BB73*BC73</f>
        <v/>
      </c>
      <c r="BE73" s="66">
        <f>AP73+AQ73+AR73+AS73+AT73+AU73+AV73+AW73+AX73+AY73+BD73</f>
        <v/>
      </c>
      <c r="BF73" s="5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5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5">
        <f>IF(AND(A73&lt;&gt;"",OR('Smart Search'!$L$5="",'Smart Search'!$L$5="All",TRIM(BZ73)=TRIM('Smart Search'!$L$5)),OR(TRIM('Smart Search'!$L$6)="",TRIM('Smart Search'!$L$6)="All",ISNUMBER(SEARCH(SUBSTITUTE(SUBSTITUTE(SUBSTITUTE(TRIM('Smart Search'!$L$6),"~","~~"),"*","~*"),"?","~?"),CA73))),OR('Smart Search'!$L$7="",AND(CB73&lt;&gt;0,CB73='Smart Search'!$L$7)),OR('Smart Search'!$L$8="",'Smart Search'!$L$8="All",TRIM(CC73)=TRIM('Smart Search'!$L$8))),IF(BA73="","",BA73+ROW()*0.0000000001),"")</f>
        <v/>
      </c>
      <c r="BI73" s="5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5">
        <f>IF(A73="","",N(INDEX(Projects[Mech Inst],72)))</f>
        <v/>
      </c>
      <c r="BK73" s="5">
        <f>IF(A73="","",N(INDEX(Projects[Elec Inst],72)))</f>
        <v/>
      </c>
      <c r="BL73" s="5">
        <f>IF(A73="","",N(INDEX(Projects[Project Management],72)))</f>
        <v/>
      </c>
      <c r="BM73" s="5">
        <f>IF(A73="","",N(INDEX(Projects[Systems Eng],72)))</f>
        <v/>
      </c>
      <c r="BN73" s="5">
        <f>IF(A73="","",N(INDEX(Projects[Mechanical Eng],72)))</f>
        <v/>
      </c>
      <c r="BO73" s="5">
        <f>IF(A73="","",N(INDEX(Projects[Structural Engineering],72)))</f>
        <v/>
      </c>
      <c r="BP73" s="5">
        <f>IF(A73="","",N(INDEX(Projects[Site Sup],72)))</f>
        <v/>
      </c>
      <c r="BQ73" s="5">
        <f>IF(A73="","",N(INDEX(Projects[Controls Commissioning],72)))</f>
        <v/>
      </c>
      <c r="BR73" s="5">
        <f>IF(A73="","",N(INDEX(Projects[Systems Commissioning],72)))</f>
        <v/>
      </c>
      <c r="BS73" s="5">
        <f>IF(A73="","",N(INDEX(Projects[Service Commissioning],72)))</f>
        <v/>
      </c>
      <c r="BT73" s="5">
        <f>IF(A73="","",N(INDEX(Projects[Controls Eng],72)))</f>
        <v/>
      </c>
      <c r="BU73" s="5">
        <f>IF(A73="","",N(INDEX(Projects[Controls Purchase],72)))</f>
        <v/>
      </c>
      <c r="BV73" s="5">
        <f>IF(A73="","",N(INDEX(Projects[Software Eng],72)))</f>
        <v/>
      </c>
      <c r="BW73" s="5">
        <f>IF(A73="","",N(INDEX(Projects[Misc],72)))</f>
        <v/>
      </c>
      <c r="BX73" s="5">
        <f>IF(A73="","",SUM(BJ73:BW73))</f>
        <v/>
      </c>
      <c r="BY73" s="5">
        <f>IF(A73="","",IFERROR(IF(ISNUMBER(U73),U73,VALUE(SUBSTITUTE(SUBSTITUTE(SUBSTITUTE(UPPER(TRIM(U73)),"M",""),",","")," ",""))),0))</f>
        <v/>
      </c>
      <c r="BZ73" s="5">
        <f>INDEX(Projects[Solution Type],72)&amp;""</f>
        <v/>
      </c>
      <c r="CA73" s="5">
        <f>INDEX(Projects[Client / Region],72)&amp;""</f>
        <v/>
      </c>
      <c r="CB73" s="5">
        <f>INDEX(Projects[Year],72)</f>
        <v/>
      </c>
      <c r="CC73" s="5">
        <f>INDEX(Projects[Won?],72)&amp;""</f>
        <v/>
      </c>
      <c r="CD73" s="5">
        <f>INDEX(Projects[Value (USD M)],72)</f>
        <v/>
      </c>
    </row>
    <row r="74" ht="15" customHeight="1" s="74">
      <c r="A74" s="66">
        <f>INDEX(Projects[Project ID *],73)&amp;""</f>
        <v/>
      </c>
      <c r="B74" s="66">
        <f>INDEX(Projects[Project Name *],73)&amp;""</f>
        <v/>
      </c>
      <c r="C74" s="66">
        <f>INDEX(Projects[MS Shuttles],73)</f>
        <v/>
      </c>
      <c r="D74" s="66">
        <f>INDEX(Projects[MS Tote Locations],73)</f>
        <v/>
      </c>
      <c r="E74" s="66">
        <f>INDEX(Projects[AS Robots],73)</f>
        <v/>
      </c>
      <c r="F74" s="66">
        <f>INDEX(Projects[AS Tote Locations],73)</f>
        <v/>
      </c>
      <c r="G74" s="66">
        <f>INDEX(Projects[PS Shuttles],73)</f>
        <v/>
      </c>
      <c r="H74" s="66">
        <f>INDEX(Projects[PS Pallet Locations],73)</f>
        <v/>
      </c>
      <c r="I74" s="66">
        <f>INDEX(Projects[SRM Cranes],73)</f>
        <v/>
      </c>
      <c r="J74" s="66">
        <f>INDEX(Projects[SRM Pallet Locations],73)</f>
        <v/>
      </c>
      <c r="K74" s="66">
        <f>INDEX(Projects[Case Conv (m)],73)</f>
        <v/>
      </c>
      <c r="L74" s="66">
        <f>INDEX(Projects[Pallet Conv (m)],73)</f>
        <v/>
      </c>
      <c r="M74" s="66">
        <f>INDEX(Projects[Mech Eng (wks)],73)</f>
        <v/>
      </c>
      <c r="N74" s="66">
        <f>INDEX(Projects[Controls Eng (wks)],73)</f>
        <v/>
      </c>
      <c r="O74" s="66">
        <f>INDEX(Projects[Systems Eng (wks)],73)</f>
        <v/>
      </c>
      <c r="P74" s="66">
        <f>INDEX(Projects[Software Eng (wks)],73)</f>
        <v/>
      </c>
      <c r="Q74" s="66">
        <f>INDEX(Projects[M&amp;E Installation (wks)],73)</f>
        <v/>
      </c>
      <c r="R74" s="66">
        <f>INDEX(Projects[Commissioning (wks)],73)</f>
        <v/>
      </c>
      <c r="S74" s="66">
        <f>INDEX(Projects[Total Timeline (wks)],73)</f>
        <v/>
      </c>
      <c r="T74" s="66">
        <f>INDEX(Projects[Currency],73)&amp;""</f>
        <v/>
      </c>
      <c r="U74" s="67">
        <f>INDEX(Projects[Value (M)],73)</f>
        <v/>
      </c>
      <c r="V74" s="66">
        <f>IF('Smart Search'!B13=1,IFERROR(1/'Smart Search'!H13,0),0)</f>
        <v/>
      </c>
      <c r="W74" s="66">
        <f>IF('Smart Search'!B13=1,IFERROR(1/'Smart Search'!H13,0),0)</f>
        <v/>
      </c>
      <c r="X74" s="66">
        <f>IF('Smart Search'!C13=1,IFERROR(1/'Smart Search'!H13,0),0)</f>
        <v/>
      </c>
      <c r="Y74" s="66">
        <f>IF('Smart Search'!C13=1,IFERROR(1/'Smart Search'!H13,0),0)</f>
        <v/>
      </c>
      <c r="Z74" s="66">
        <f>IF('Smart Search'!D13=1,IFERROR(1/'Smart Search'!H13,0),0)</f>
        <v/>
      </c>
      <c r="AA74" s="66">
        <f>IF('Smart Search'!D13=1,IFERROR(1/'Smart Search'!H13,0),0)</f>
        <v/>
      </c>
      <c r="AB74" s="66">
        <f>IF('Smart Search'!E13=1,IFERROR(1/'Smart Search'!H13,0),0)</f>
        <v/>
      </c>
      <c r="AC74" s="66">
        <f>IF('Smart Search'!E13=1,IFERROR(1/'Smart Search'!H13,0),0)</f>
        <v/>
      </c>
      <c r="AD74" s="66">
        <f>IF('Smart Search'!F13=1,IFERROR(1/'Smart Search'!H13,0),0)</f>
        <v/>
      </c>
      <c r="AE74" s="66">
        <f>IF('Smart Search'!F13=1,IFERROR(1/'Smart Search'!H13,0),0)</f>
        <v/>
      </c>
      <c r="AF74" s="66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66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66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66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66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66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66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66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66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66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66">
        <f>AF74*V74</f>
        <v/>
      </c>
      <c r="AQ74" s="66">
        <f>AG74*W74</f>
        <v/>
      </c>
      <c r="AR74" s="66">
        <f>AH74*X74</f>
        <v/>
      </c>
      <c r="AS74" s="66">
        <f>AI74*Y74</f>
        <v/>
      </c>
      <c r="AT74" s="66">
        <f>AJ74*Z74</f>
        <v/>
      </c>
      <c r="AU74" s="66">
        <f>AK74*AA74</f>
        <v/>
      </c>
      <c r="AV74" s="66">
        <f>AL74*AB74</f>
        <v/>
      </c>
      <c r="AW74" s="66">
        <f>AM74*AC74</f>
        <v/>
      </c>
      <c r="AX74" s="66">
        <f>AN74*AD74</f>
        <v/>
      </c>
      <c r="AY74" s="66">
        <f>AO74*AE74</f>
        <v/>
      </c>
      <c r="AZ74" s="66">
        <f>INDEX(Projects[Automation Equipment],73)&amp;""</f>
        <v/>
      </c>
      <c r="BA74" s="66">
        <f>IF(OR(A74="",'Smart Search'!H13=0),"",MAX(0,BE74*BF74*MAX(0,1-BG74)))</f>
        <v/>
      </c>
      <c r="BB74" s="66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66">
        <f>IF('Smart Search'!G13=1,IFERROR(1/'Smart Search'!H13,0),0)</f>
        <v/>
      </c>
      <c r="BD74" s="66">
        <f>BB74*BC74</f>
        <v/>
      </c>
      <c r="BE74" s="66">
        <f>AP74+AQ74+AR74+AS74+AT74+AU74+AV74+AW74+AX74+AY74+BD74</f>
        <v/>
      </c>
      <c r="BF74" s="5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5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5">
        <f>IF(AND(A74&lt;&gt;"",OR('Smart Search'!$L$5="",'Smart Search'!$L$5="All",TRIM(BZ74)=TRIM('Smart Search'!$L$5)),OR(TRIM('Smart Search'!$L$6)="",TRIM('Smart Search'!$L$6)="All",ISNUMBER(SEARCH(SUBSTITUTE(SUBSTITUTE(SUBSTITUTE(TRIM('Smart Search'!$L$6),"~","~~"),"*","~*"),"?","~?"),CA74))),OR('Smart Search'!$L$7="",AND(CB74&lt;&gt;0,CB74='Smart Search'!$L$7)),OR('Smart Search'!$L$8="",'Smart Search'!$L$8="All",TRIM(CC74)=TRIM('Smart Search'!$L$8))),IF(BA74="","",BA74+ROW()*0.0000000001),"")</f>
        <v/>
      </c>
      <c r="BI74" s="5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5">
        <f>IF(A74="","",N(INDEX(Projects[Mech Inst],73)))</f>
        <v/>
      </c>
      <c r="BK74" s="5">
        <f>IF(A74="","",N(INDEX(Projects[Elec Inst],73)))</f>
        <v/>
      </c>
      <c r="BL74" s="5">
        <f>IF(A74="","",N(INDEX(Projects[Project Management],73)))</f>
        <v/>
      </c>
      <c r="BM74" s="5">
        <f>IF(A74="","",N(INDEX(Projects[Systems Eng],73)))</f>
        <v/>
      </c>
      <c r="BN74" s="5">
        <f>IF(A74="","",N(INDEX(Projects[Mechanical Eng],73)))</f>
        <v/>
      </c>
      <c r="BO74" s="5">
        <f>IF(A74="","",N(INDEX(Projects[Structural Engineering],73)))</f>
        <v/>
      </c>
      <c r="BP74" s="5">
        <f>IF(A74="","",N(INDEX(Projects[Site Sup],73)))</f>
        <v/>
      </c>
      <c r="BQ74" s="5">
        <f>IF(A74="","",N(INDEX(Projects[Controls Commissioning],73)))</f>
        <v/>
      </c>
      <c r="BR74" s="5">
        <f>IF(A74="","",N(INDEX(Projects[Systems Commissioning],73)))</f>
        <v/>
      </c>
      <c r="BS74" s="5">
        <f>IF(A74="","",N(INDEX(Projects[Service Commissioning],73)))</f>
        <v/>
      </c>
      <c r="BT74" s="5">
        <f>IF(A74="","",N(INDEX(Projects[Controls Eng],73)))</f>
        <v/>
      </c>
      <c r="BU74" s="5">
        <f>IF(A74="","",N(INDEX(Projects[Controls Purchase],73)))</f>
        <v/>
      </c>
      <c r="BV74" s="5">
        <f>IF(A74="","",N(INDEX(Projects[Software Eng],73)))</f>
        <v/>
      </c>
      <c r="BW74" s="5">
        <f>IF(A74="","",N(INDEX(Projects[Misc],73)))</f>
        <v/>
      </c>
      <c r="BX74" s="5">
        <f>IF(A74="","",SUM(BJ74:BW74))</f>
        <v/>
      </c>
      <c r="BY74" s="5">
        <f>IF(A74="","",IFERROR(IF(ISNUMBER(U74),U74,VALUE(SUBSTITUTE(SUBSTITUTE(SUBSTITUTE(UPPER(TRIM(U74)),"M",""),",","")," ",""))),0))</f>
        <v/>
      </c>
      <c r="BZ74" s="5">
        <f>INDEX(Projects[Solution Type],73)&amp;""</f>
        <v/>
      </c>
      <c r="CA74" s="5">
        <f>INDEX(Projects[Client / Region],73)&amp;""</f>
        <v/>
      </c>
      <c r="CB74" s="5">
        <f>INDEX(Projects[Year],73)</f>
        <v/>
      </c>
      <c r="CC74" s="5">
        <f>INDEX(Projects[Won?],73)&amp;""</f>
        <v/>
      </c>
      <c r="CD74" s="5">
        <f>INDEX(Projects[Value (USD M)],73)</f>
        <v/>
      </c>
    </row>
    <row r="75" ht="15" customHeight="1" s="74">
      <c r="A75" s="66">
        <f>INDEX(Projects[Project ID *],74)&amp;""</f>
        <v/>
      </c>
      <c r="B75" s="66">
        <f>INDEX(Projects[Project Name *],74)&amp;""</f>
        <v/>
      </c>
      <c r="C75" s="66">
        <f>INDEX(Projects[MS Shuttles],74)</f>
        <v/>
      </c>
      <c r="D75" s="66">
        <f>INDEX(Projects[MS Tote Locations],74)</f>
        <v/>
      </c>
      <c r="E75" s="66">
        <f>INDEX(Projects[AS Robots],74)</f>
        <v/>
      </c>
      <c r="F75" s="66">
        <f>INDEX(Projects[AS Tote Locations],74)</f>
        <v/>
      </c>
      <c r="G75" s="66">
        <f>INDEX(Projects[PS Shuttles],74)</f>
        <v/>
      </c>
      <c r="H75" s="66">
        <f>INDEX(Projects[PS Pallet Locations],74)</f>
        <v/>
      </c>
      <c r="I75" s="66">
        <f>INDEX(Projects[SRM Cranes],74)</f>
        <v/>
      </c>
      <c r="J75" s="66">
        <f>INDEX(Projects[SRM Pallet Locations],74)</f>
        <v/>
      </c>
      <c r="K75" s="66">
        <f>INDEX(Projects[Case Conv (m)],74)</f>
        <v/>
      </c>
      <c r="L75" s="66">
        <f>INDEX(Projects[Pallet Conv (m)],74)</f>
        <v/>
      </c>
      <c r="M75" s="66">
        <f>INDEX(Projects[Mech Eng (wks)],74)</f>
        <v/>
      </c>
      <c r="N75" s="66">
        <f>INDEX(Projects[Controls Eng (wks)],74)</f>
        <v/>
      </c>
      <c r="O75" s="66">
        <f>INDEX(Projects[Systems Eng (wks)],74)</f>
        <v/>
      </c>
      <c r="P75" s="66">
        <f>INDEX(Projects[Software Eng (wks)],74)</f>
        <v/>
      </c>
      <c r="Q75" s="66">
        <f>INDEX(Projects[M&amp;E Installation (wks)],74)</f>
        <v/>
      </c>
      <c r="R75" s="66">
        <f>INDEX(Projects[Commissioning (wks)],74)</f>
        <v/>
      </c>
      <c r="S75" s="66">
        <f>INDEX(Projects[Total Timeline (wks)],74)</f>
        <v/>
      </c>
      <c r="T75" s="66">
        <f>INDEX(Projects[Currency],74)&amp;""</f>
        <v/>
      </c>
      <c r="U75" s="67">
        <f>INDEX(Projects[Value (M)],74)</f>
        <v/>
      </c>
      <c r="V75" s="66">
        <f>IF('Smart Search'!B13=1,IFERROR(1/'Smart Search'!H13,0),0)</f>
        <v/>
      </c>
      <c r="W75" s="66">
        <f>IF('Smart Search'!B13=1,IFERROR(1/'Smart Search'!H13,0),0)</f>
        <v/>
      </c>
      <c r="X75" s="66">
        <f>IF('Smart Search'!C13=1,IFERROR(1/'Smart Search'!H13,0),0)</f>
        <v/>
      </c>
      <c r="Y75" s="66">
        <f>IF('Smart Search'!C13=1,IFERROR(1/'Smart Search'!H13,0),0)</f>
        <v/>
      </c>
      <c r="Z75" s="66">
        <f>IF('Smart Search'!D13=1,IFERROR(1/'Smart Search'!H13,0),0)</f>
        <v/>
      </c>
      <c r="AA75" s="66">
        <f>IF('Smart Search'!D13=1,IFERROR(1/'Smart Search'!H13,0),0)</f>
        <v/>
      </c>
      <c r="AB75" s="66">
        <f>IF('Smart Search'!E13=1,IFERROR(1/'Smart Search'!H13,0),0)</f>
        <v/>
      </c>
      <c r="AC75" s="66">
        <f>IF('Smart Search'!E13=1,IFERROR(1/'Smart Search'!H13,0),0)</f>
        <v/>
      </c>
      <c r="AD75" s="66">
        <f>IF('Smart Search'!F13=1,IFERROR(1/'Smart Search'!H13,0),0)</f>
        <v/>
      </c>
      <c r="AE75" s="66">
        <f>IF('Smart Search'!F13=1,IFERROR(1/'Smart Search'!H13,0),0)</f>
        <v/>
      </c>
      <c r="AF75" s="66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66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66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66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66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66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66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66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66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66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66">
        <f>AF75*V75</f>
        <v/>
      </c>
      <c r="AQ75" s="66">
        <f>AG75*W75</f>
        <v/>
      </c>
      <c r="AR75" s="66">
        <f>AH75*X75</f>
        <v/>
      </c>
      <c r="AS75" s="66">
        <f>AI75*Y75</f>
        <v/>
      </c>
      <c r="AT75" s="66">
        <f>AJ75*Z75</f>
        <v/>
      </c>
      <c r="AU75" s="66">
        <f>AK75*AA75</f>
        <v/>
      </c>
      <c r="AV75" s="66">
        <f>AL75*AB75</f>
        <v/>
      </c>
      <c r="AW75" s="66">
        <f>AM75*AC75</f>
        <v/>
      </c>
      <c r="AX75" s="66">
        <f>AN75*AD75</f>
        <v/>
      </c>
      <c r="AY75" s="66">
        <f>AO75*AE75</f>
        <v/>
      </c>
      <c r="AZ75" s="66">
        <f>INDEX(Projects[Automation Equipment],74)&amp;""</f>
        <v/>
      </c>
      <c r="BA75" s="66">
        <f>IF(OR(A75="",'Smart Search'!H13=0),"",MAX(0,BE75*BF75*MAX(0,1-BG75)))</f>
        <v/>
      </c>
      <c r="BB75" s="66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66">
        <f>IF('Smart Search'!G13=1,IFERROR(1/'Smart Search'!H13,0),0)</f>
        <v/>
      </c>
      <c r="BD75" s="66">
        <f>BB75*BC75</f>
        <v/>
      </c>
      <c r="BE75" s="66">
        <f>AP75+AQ75+AR75+AS75+AT75+AU75+AV75+AW75+AX75+AY75+BD75</f>
        <v/>
      </c>
      <c r="BF75" s="5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5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5">
        <f>IF(AND(A75&lt;&gt;"",OR('Smart Search'!$L$5="",'Smart Search'!$L$5="All",TRIM(BZ75)=TRIM('Smart Search'!$L$5)),OR(TRIM('Smart Search'!$L$6)="",TRIM('Smart Search'!$L$6)="All",ISNUMBER(SEARCH(SUBSTITUTE(SUBSTITUTE(SUBSTITUTE(TRIM('Smart Search'!$L$6),"~","~~"),"*","~*"),"?","~?"),CA75))),OR('Smart Search'!$L$7="",AND(CB75&lt;&gt;0,CB75='Smart Search'!$L$7)),OR('Smart Search'!$L$8="",'Smart Search'!$L$8="All",TRIM(CC75)=TRIM('Smart Search'!$L$8))),IF(BA75="","",BA75+ROW()*0.0000000001),"")</f>
        <v/>
      </c>
      <c r="BI75" s="5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5">
        <f>IF(A75="","",N(INDEX(Projects[Mech Inst],74)))</f>
        <v/>
      </c>
      <c r="BK75" s="5">
        <f>IF(A75="","",N(INDEX(Projects[Elec Inst],74)))</f>
        <v/>
      </c>
      <c r="BL75" s="5">
        <f>IF(A75="","",N(INDEX(Projects[Project Management],74)))</f>
        <v/>
      </c>
      <c r="BM75" s="5">
        <f>IF(A75="","",N(INDEX(Projects[Systems Eng],74)))</f>
        <v/>
      </c>
      <c r="BN75" s="5">
        <f>IF(A75="","",N(INDEX(Projects[Mechanical Eng],74)))</f>
        <v/>
      </c>
      <c r="BO75" s="5">
        <f>IF(A75="","",N(INDEX(Projects[Structural Engineering],74)))</f>
        <v/>
      </c>
      <c r="BP75" s="5">
        <f>IF(A75="","",N(INDEX(Projects[Site Sup],74)))</f>
        <v/>
      </c>
      <c r="BQ75" s="5">
        <f>IF(A75="","",N(INDEX(Projects[Controls Commissioning],74)))</f>
        <v/>
      </c>
      <c r="BR75" s="5">
        <f>IF(A75="","",N(INDEX(Projects[Systems Commissioning],74)))</f>
        <v/>
      </c>
      <c r="BS75" s="5">
        <f>IF(A75="","",N(INDEX(Projects[Service Commissioning],74)))</f>
        <v/>
      </c>
      <c r="BT75" s="5">
        <f>IF(A75="","",N(INDEX(Projects[Controls Eng],74)))</f>
        <v/>
      </c>
      <c r="BU75" s="5">
        <f>IF(A75="","",N(INDEX(Projects[Controls Purchase],74)))</f>
        <v/>
      </c>
      <c r="BV75" s="5">
        <f>IF(A75="","",N(INDEX(Projects[Software Eng],74)))</f>
        <v/>
      </c>
      <c r="BW75" s="5">
        <f>IF(A75="","",N(INDEX(Projects[Misc],74)))</f>
        <v/>
      </c>
      <c r="BX75" s="5">
        <f>IF(A75="","",SUM(BJ75:BW75))</f>
        <v/>
      </c>
      <c r="BY75" s="5">
        <f>IF(A75="","",IFERROR(IF(ISNUMBER(U75),U75,VALUE(SUBSTITUTE(SUBSTITUTE(SUBSTITUTE(UPPER(TRIM(U75)),"M",""),",","")," ",""))),0))</f>
        <v/>
      </c>
      <c r="BZ75" s="5">
        <f>INDEX(Projects[Solution Type],74)&amp;""</f>
        <v/>
      </c>
      <c r="CA75" s="5">
        <f>INDEX(Projects[Client / Region],74)&amp;""</f>
        <v/>
      </c>
      <c r="CB75" s="5">
        <f>INDEX(Projects[Year],74)</f>
        <v/>
      </c>
      <c r="CC75" s="5">
        <f>INDEX(Projects[Won?],74)&amp;""</f>
        <v/>
      </c>
      <c r="CD75" s="5">
        <f>INDEX(Projects[Value (USD M)],74)</f>
        <v/>
      </c>
    </row>
    <row r="76" ht="15" customHeight="1" s="74">
      <c r="A76" s="66">
        <f>INDEX(Projects[Project ID *],75)&amp;""</f>
        <v/>
      </c>
      <c r="B76" s="66">
        <f>INDEX(Projects[Project Name *],75)&amp;""</f>
        <v/>
      </c>
      <c r="C76" s="66">
        <f>INDEX(Projects[MS Shuttles],75)</f>
        <v/>
      </c>
      <c r="D76" s="66">
        <f>INDEX(Projects[MS Tote Locations],75)</f>
        <v/>
      </c>
      <c r="E76" s="66">
        <f>INDEX(Projects[AS Robots],75)</f>
        <v/>
      </c>
      <c r="F76" s="66">
        <f>INDEX(Projects[AS Tote Locations],75)</f>
        <v/>
      </c>
      <c r="G76" s="66">
        <f>INDEX(Projects[PS Shuttles],75)</f>
        <v/>
      </c>
      <c r="H76" s="66">
        <f>INDEX(Projects[PS Pallet Locations],75)</f>
        <v/>
      </c>
      <c r="I76" s="66">
        <f>INDEX(Projects[SRM Cranes],75)</f>
        <v/>
      </c>
      <c r="J76" s="66">
        <f>INDEX(Projects[SRM Pallet Locations],75)</f>
        <v/>
      </c>
      <c r="K76" s="66">
        <f>INDEX(Projects[Case Conv (m)],75)</f>
        <v/>
      </c>
      <c r="L76" s="66">
        <f>INDEX(Projects[Pallet Conv (m)],75)</f>
        <v/>
      </c>
      <c r="M76" s="66">
        <f>INDEX(Projects[Mech Eng (wks)],75)</f>
        <v/>
      </c>
      <c r="N76" s="66">
        <f>INDEX(Projects[Controls Eng (wks)],75)</f>
        <v/>
      </c>
      <c r="O76" s="66">
        <f>INDEX(Projects[Systems Eng (wks)],75)</f>
        <v/>
      </c>
      <c r="P76" s="66">
        <f>INDEX(Projects[Software Eng (wks)],75)</f>
        <v/>
      </c>
      <c r="Q76" s="66">
        <f>INDEX(Projects[M&amp;E Installation (wks)],75)</f>
        <v/>
      </c>
      <c r="R76" s="66">
        <f>INDEX(Projects[Commissioning (wks)],75)</f>
        <v/>
      </c>
      <c r="S76" s="66">
        <f>INDEX(Projects[Total Timeline (wks)],75)</f>
        <v/>
      </c>
      <c r="T76" s="66">
        <f>INDEX(Projects[Currency],75)&amp;""</f>
        <v/>
      </c>
      <c r="U76" s="67">
        <f>INDEX(Projects[Value (M)],75)</f>
        <v/>
      </c>
      <c r="V76" s="66">
        <f>IF('Smart Search'!B13=1,IFERROR(1/'Smart Search'!H13,0),0)</f>
        <v/>
      </c>
      <c r="W76" s="66">
        <f>IF('Smart Search'!B13=1,IFERROR(1/'Smart Search'!H13,0),0)</f>
        <v/>
      </c>
      <c r="X76" s="66">
        <f>IF('Smart Search'!C13=1,IFERROR(1/'Smart Search'!H13,0),0)</f>
        <v/>
      </c>
      <c r="Y76" s="66">
        <f>IF('Smart Search'!C13=1,IFERROR(1/'Smart Search'!H13,0),0)</f>
        <v/>
      </c>
      <c r="Z76" s="66">
        <f>IF('Smart Search'!D13=1,IFERROR(1/'Smart Search'!H13,0),0)</f>
        <v/>
      </c>
      <c r="AA76" s="66">
        <f>IF('Smart Search'!D13=1,IFERROR(1/'Smart Search'!H13,0),0)</f>
        <v/>
      </c>
      <c r="AB76" s="66">
        <f>IF('Smart Search'!E13=1,IFERROR(1/'Smart Search'!H13,0),0)</f>
        <v/>
      </c>
      <c r="AC76" s="66">
        <f>IF('Smart Search'!E13=1,IFERROR(1/'Smart Search'!H13,0),0)</f>
        <v/>
      </c>
      <c r="AD76" s="66">
        <f>IF('Smart Search'!F13=1,IFERROR(1/'Smart Search'!H13,0),0)</f>
        <v/>
      </c>
      <c r="AE76" s="66">
        <f>IF('Smart Search'!F13=1,IFERROR(1/'Smart Search'!H13,0),0)</f>
        <v/>
      </c>
      <c r="AF76" s="66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66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66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66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66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66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66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66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66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66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66">
        <f>AF76*V76</f>
        <v/>
      </c>
      <c r="AQ76" s="66">
        <f>AG76*W76</f>
        <v/>
      </c>
      <c r="AR76" s="66">
        <f>AH76*X76</f>
        <v/>
      </c>
      <c r="AS76" s="66">
        <f>AI76*Y76</f>
        <v/>
      </c>
      <c r="AT76" s="66">
        <f>AJ76*Z76</f>
        <v/>
      </c>
      <c r="AU76" s="66">
        <f>AK76*AA76</f>
        <v/>
      </c>
      <c r="AV76" s="66">
        <f>AL76*AB76</f>
        <v/>
      </c>
      <c r="AW76" s="66">
        <f>AM76*AC76</f>
        <v/>
      </c>
      <c r="AX76" s="66">
        <f>AN76*AD76</f>
        <v/>
      </c>
      <c r="AY76" s="66">
        <f>AO76*AE76</f>
        <v/>
      </c>
      <c r="AZ76" s="66">
        <f>INDEX(Projects[Automation Equipment],75)&amp;""</f>
        <v/>
      </c>
      <c r="BA76" s="66">
        <f>IF(OR(A76="",'Smart Search'!H13=0),"",MAX(0,BE76*BF76*MAX(0,1-BG76)))</f>
        <v/>
      </c>
      <c r="BB76" s="66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66">
        <f>IF('Smart Search'!G13=1,IFERROR(1/'Smart Search'!H13,0),0)</f>
        <v/>
      </c>
      <c r="BD76" s="66">
        <f>BB76*BC76</f>
        <v/>
      </c>
      <c r="BE76" s="66">
        <f>AP76+AQ76+AR76+AS76+AT76+AU76+AV76+AW76+AX76+AY76+BD76</f>
        <v/>
      </c>
      <c r="BF76" s="5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5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5">
        <f>IF(AND(A76&lt;&gt;"",OR('Smart Search'!$L$5="",'Smart Search'!$L$5="All",TRIM(BZ76)=TRIM('Smart Search'!$L$5)),OR(TRIM('Smart Search'!$L$6)="",TRIM('Smart Search'!$L$6)="All",ISNUMBER(SEARCH(SUBSTITUTE(SUBSTITUTE(SUBSTITUTE(TRIM('Smart Search'!$L$6),"~","~~"),"*","~*"),"?","~?"),CA76))),OR('Smart Search'!$L$7="",AND(CB76&lt;&gt;0,CB76='Smart Search'!$L$7)),OR('Smart Search'!$L$8="",'Smart Search'!$L$8="All",TRIM(CC76)=TRIM('Smart Search'!$L$8))),IF(BA76="","",BA76+ROW()*0.0000000001),"")</f>
        <v/>
      </c>
      <c r="BI76" s="5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5">
        <f>IF(A76="","",N(INDEX(Projects[Mech Inst],75)))</f>
        <v/>
      </c>
      <c r="BK76" s="5">
        <f>IF(A76="","",N(INDEX(Projects[Elec Inst],75)))</f>
        <v/>
      </c>
      <c r="BL76" s="5">
        <f>IF(A76="","",N(INDEX(Projects[Project Management],75)))</f>
        <v/>
      </c>
      <c r="BM76" s="5">
        <f>IF(A76="","",N(INDEX(Projects[Systems Eng],75)))</f>
        <v/>
      </c>
      <c r="BN76" s="5">
        <f>IF(A76="","",N(INDEX(Projects[Mechanical Eng],75)))</f>
        <v/>
      </c>
      <c r="BO76" s="5">
        <f>IF(A76="","",N(INDEX(Projects[Structural Engineering],75)))</f>
        <v/>
      </c>
      <c r="BP76" s="5">
        <f>IF(A76="","",N(INDEX(Projects[Site Sup],75)))</f>
        <v/>
      </c>
      <c r="BQ76" s="5">
        <f>IF(A76="","",N(INDEX(Projects[Controls Commissioning],75)))</f>
        <v/>
      </c>
      <c r="BR76" s="5">
        <f>IF(A76="","",N(INDEX(Projects[Systems Commissioning],75)))</f>
        <v/>
      </c>
      <c r="BS76" s="5">
        <f>IF(A76="","",N(INDEX(Projects[Service Commissioning],75)))</f>
        <v/>
      </c>
      <c r="BT76" s="5">
        <f>IF(A76="","",N(INDEX(Projects[Controls Eng],75)))</f>
        <v/>
      </c>
      <c r="BU76" s="5">
        <f>IF(A76="","",N(INDEX(Projects[Controls Purchase],75)))</f>
        <v/>
      </c>
      <c r="BV76" s="5">
        <f>IF(A76="","",N(INDEX(Projects[Software Eng],75)))</f>
        <v/>
      </c>
      <c r="BW76" s="5">
        <f>IF(A76="","",N(INDEX(Projects[Misc],75)))</f>
        <v/>
      </c>
      <c r="BX76" s="5">
        <f>IF(A76="","",SUM(BJ76:BW76))</f>
        <v/>
      </c>
      <c r="BY76" s="5">
        <f>IF(A76="","",IFERROR(IF(ISNUMBER(U76),U76,VALUE(SUBSTITUTE(SUBSTITUTE(SUBSTITUTE(UPPER(TRIM(U76)),"M",""),",","")," ",""))),0))</f>
        <v/>
      </c>
      <c r="BZ76" s="5">
        <f>INDEX(Projects[Solution Type],75)&amp;""</f>
        <v/>
      </c>
      <c r="CA76" s="5">
        <f>INDEX(Projects[Client / Region],75)&amp;""</f>
        <v/>
      </c>
      <c r="CB76" s="5">
        <f>INDEX(Projects[Year],75)</f>
        <v/>
      </c>
      <c r="CC76" s="5">
        <f>INDEX(Projects[Won?],75)&amp;""</f>
        <v/>
      </c>
      <c r="CD76" s="5">
        <f>INDEX(Projects[Value (USD M)],75)</f>
        <v/>
      </c>
    </row>
    <row r="77" ht="15" customHeight="1" s="74">
      <c r="A77" s="66">
        <f>INDEX(Projects[Project ID *],76)&amp;""</f>
        <v/>
      </c>
      <c r="B77" s="66">
        <f>INDEX(Projects[Project Name *],76)&amp;""</f>
        <v/>
      </c>
      <c r="C77" s="66">
        <f>INDEX(Projects[MS Shuttles],76)</f>
        <v/>
      </c>
      <c r="D77" s="66">
        <f>INDEX(Projects[MS Tote Locations],76)</f>
        <v/>
      </c>
      <c r="E77" s="66">
        <f>INDEX(Projects[AS Robots],76)</f>
        <v/>
      </c>
      <c r="F77" s="66">
        <f>INDEX(Projects[AS Tote Locations],76)</f>
        <v/>
      </c>
      <c r="G77" s="66">
        <f>INDEX(Projects[PS Shuttles],76)</f>
        <v/>
      </c>
      <c r="H77" s="66">
        <f>INDEX(Projects[PS Pallet Locations],76)</f>
        <v/>
      </c>
      <c r="I77" s="66">
        <f>INDEX(Projects[SRM Cranes],76)</f>
        <v/>
      </c>
      <c r="J77" s="66">
        <f>INDEX(Projects[SRM Pallet Locations],76)</f>
        <v/>
      </c>
      <c r="K77" s="66">
        <f>INDEX(Projects[Case Conv (m)],76)</f>
        <v/>
      </c>
      <c r="L77" s="66">
        <f>INDEX(Projects[Pallet Conv (m)],76)</f>
        <v/>
      </c>
      <c r="M77" s="66">
        <f>INDEX(Projects[Mech Eng (wks)],76)</f>
        <v/>
      </c>
      <c r="N77" s="66">
        <f>INDEX(Projects[Controls Eng (wks)],76)</f>
        <v/>
      </c>
      <c r="O77" s="66">
        <f>INDEX(Projects[Systems Eng (wks)],76)</f>
        <v/>
      </c>
      <c r="P77" s="66">
        <f>INDEX(Projects[Software Eng (wks)],76)</f>
        <v/>
      </c>
      <c r="Q77" s="66">
        <f>INDEX(Projects[M&amp;E Installation (wks)],76)</f>
        <v/>
      </c>
      <c r="R77" s="66">
        <f>INDEX(Projects[Commissioning (wks)],76)</f>
        <v/>
      </c>
      <c r="S77" s="66">
        <f>INDEX(Projects[Total Timeline (wks)],76)</f>
        <v/>
      </c>
      <c r="T77" s="66">
        <f>INDEX(Projects[Currency],76)&amp;""</f>
        <v/>
      </c>
      <c r="U77" s="67">
        <f>INDEX(Projects[Value (M)],76)</f>
        <v/>
      </c>
      <c r="V77" s="66">
        <f>IF('Smart Search'!B13=1,IFERROR(1/'Smart Search'!H13,0),0)</f>
        <v/>
      </c>
      <c r="W77" s="66">
        <f>IF('Smart Search'!B13=1,IFERROR(1/'Smart Search'!H13,0),0)</f>
        <v/>
      </c>
      <c r="X77" s="66">
        <f>IF('Smart Search'!C13=1,IFERROR(1/'Smart Search'!H13,0),0)</f>
        <v/>
      </c>
      <c r="Y77" s="66">
        <f>IF('Smart Search'!C13=1,IFERROR(1/'Smart Search'!H13,0),0)</f>
        <v/>
      </c>
      <c r="Z77" s="66">
        <f>IF('Smart Search'!D13=1,IFERROR(1/'Smart Search'!H13,0),0)</f>
        <v/>
      </c>
      <c r="AA77" s="66">
        <f>IF('Smart Search'!D13=1,IFERROR(1/'Smart Search'!H13,0),0)</f>
        <v/>
      </c>
      <c r="AB77" s="66">
        <f>IF('Smart Search'!E13=1,IFERROR(1/'Smart Search'!H13,0),0)</f>
        <v/>
      </c>
      <c r="AC77" s="66">
        <f>IF('Smart Search'!E13=1,IFERROR(1/'Smart Search'!H13,0),0)</f>
        <v/>
      </c>
      <c r="AD77" s="66">
        <f>IF('Smart Search'!F13=1,IFERROR(1/'Smart Search'!H13,0),0)</f>
        <v/>
      </c>
      <c r="AE77" s="66">
        <f>IF('Smart Search'!F13=1,IFERROR(1/'Smart Search'!H13,0),0)</f>
        <v/>
      </c>
      <c r="AF77" s="66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66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66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66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66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66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66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66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66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66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66">
        <f>AF77*V77</f>
        <v/>
      </c>
      <c r="AQ77" s="66">
        <f>AG77*W77</f>
        <v/>
      </c>
      <c r="AR77" s="66">
        <f>AH77*X77</f>
        <v/>
      </c>
      <c r="AS77" s="66">
        <f>AI77*Y77</f>
        <v/>
      </c>
      <c r="AT77" s="66">
        <f>AJ77*Z77</f>
        <v/>
      </c>
      <c r="AU77" s="66">
        <f>AK77*AA77</f>
        <v/>
      </c>
      <c r="AV77" s="66">
        <f>AL77*AB77</f>
        <v/>
      </c>
      <c r="AW77" s="66">
        <f>AM77*AC77</f>
        <v/>
      </c>
      <c r="AX77" s="66">
        <f>AN77*AD77</f>
        <v/>
      </c>
      <c r="AY77" s="66">
        <f>AO77*AE77</f>
        <v/>
      </c>
      <c r="AZ77" s="66">
        <f>INDEX(Projects[Automation Equipment],76)&amp;""</f>
        <v/>
      </c>
      <c r="BA77" s="66">
        <f>IF(OR(A77="",'Smart Search'!H13=0),"",MAX(0,BE77*BF77*MAX(0,1-BG77)))</f>
        <v/>
      </c>
      <c r="BB77" s="66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66">
        <f>IF('Smart Search'!G13=1,IFERROR(1/'Smart Search'!H13,0),0)</f>
        <v/>
      </c>
      <c r="BD77" s="66">
        <f>BB77*BC77</f>
        <v/>
      </c>
      <c r="BE77" s="66">
        <f>AP77+AQ77+AR77+AS77+AT77+AU77+AV77+AW77+AX77+AY77+BD77</f>
        <v/>
      </c>
      <c r="BF77" s="5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5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5">
        <f>IF(AND(A77&lt;&gt;"",OR('Smart Search'!$L$5="",'Smart Search'!$L$5="All",TRIM(BZ77)=TRIM('Smart Search'!$L$5)),OR(TRIM('Smart Search'!$L$6)="",TRIM('Smart Search'!$L$6)="All",ISNUMBER(SEARCH(SUBSTITUTE(SUBSTITUTE(SUBSTITUTE(TRIM('Smart Search'!$L$6),"~","~~"),"*","~*"),"?","~?"),CA77))),OR('Smart Search'!$L$7="",AND(CB77&lt;&gt;0,CB77='Smart Search'!$L$7)),OR('Smart Search'!$L$8="",'Smart Search'!$L$8="All",TRIM(CC77)=TRIM('Smart Search'!$L$8))),IF(BA77="","",BA77+ROW()*0.0000000001),"")</f>
        <v/>
      </c>
      <c r="BI77" s="5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5">
        <f>IF(A77="","",N(INDEX(Projects[Mech Inst],76)))</f>
        <v/>
      </c>
      <c r="BK77" s="5">
        <f>IF(A77="","",N(INDEX(Projects[Elec Inst],76)))</f>
        <v/>
      </c>
      <c r="BL77" s="5">
        <f>IF(A77="","",N(INDEX(Projects[Project Management],76)))</f>
        <v/>
      </c>
      <c r="BM77" s="5">
        <f>IF(A77="","",N(INDEX(Projects[Systems Eng],76)))</f>
        <v/>
      </c>
      <c r="BN77" s="5">
        <f>IF(A77="","",N(INDEX(Projects[Mechanical Eng],76)))</f>
        <v/>
      </c>
      <c r="BO77" s="5">
        <f>IF(A77="","",N(INDEX(Projects[Structural Engineering],76)))</f>
        <v/>
      </c>
      <c r="BP77" s="5">
        <f>IF(A77="","",N(INDEX(Projects[Site Sup],76)))</f>
        <v/>
      </c>
      <c r="BQ77" s="5">
        <f>IF(A77="","",N(INDEX(Projects[Controls Commissioning],76)))</f>
        <v/>
      </c>
      <c r="BR77" s="5">
        <f>IF(A77="","",N(INDEX(Projects[Systems Commissioning],76)))</f>
        <v/>
      </c>
      <c r="BS77" s="5">
        <f>IF(A77="","",N(INDEX(Projects[Service Commissioning],76)))</f>
        <v/>
      </c>
      <c r="BT77" s="5">
        <f>IF(A77="","",N(INDEX(Projects[Controls Eng],76)))</f>
        <v/>
      </c>
      <c r="BU77" s="5">
        <f>IF(A77="","",N(INDEX(Projects[Controls Purchase],76)))</f>
        <v/>
      </c>
      <c r="BV77" s="5">
        <f>IF(A77="","",N(INDEX(Projects[Software Eng],76)))</f>
        <v/>
      </c>
      <c r="BW77" s="5">
        <f>IF(A77="","",N(INDEX(Projects[Misc],76)))</f>
        <v/>
      </c>
      <c r="BX77" s="5">
        <f>IF(A77="","",SUM(BJ77:BW77))</f>
        <v/>
      </c>
      <c r="BY77" s="5">
        <f>IF(A77="","",IFERROR(IF(ISNUMBER(U77),U77,VALUE(SUBSTITUTE(SUBSTITUTE(SUBSTITUTE(UPPER(TRIM(U77)),"M",""),",","")," ",""))),0))</f>
        <v/>
      </c>
      <c r="BZ77" s="5">
        <f>INDEX(Projects[Solution Type],76)&amp;""</f>
        <v/>
      </c>
      <c r="CA77" s="5">
        <f>INDEX(Projects[Client / Region],76)&amp;""</f>
        <v/>
      </c>
      <c r="CB77" s="5">
        <f>INDEX(Projects[Year],76)</f>
        <v/>
      </c>
      <c r="CC77" s="5">
        <f>INDEX(Projects[Won?],76)&amp;""</f>
        <v/>
      </c>
      <c r="CD77" s="5">
        <f>INDEX(Projects[Value (USD M)],76)</f>
        <v/>
      </c>
    </row>
    <row r="78" ht="15" customHeight="1" s="74">
      <c r="A78" s="66">
        <f>INDEX(Projects[Project ID *],77)&amp;""</f>
        <v/>
      </c>
      <c r="B78" s="66">
        <f>INDEX(Projects[Project Name *],77)&amp;""</f>
        <v/>
      </c>
      <c r="C78" s="66">
        <f>INDEX(Projects[MS Shuttles],77)</f>
        <v/>
      </c>
      <c r="D78" s="66">
        <f>INDEX(Projects[MS Tote Locations],77)</f>
        <v/>
      </c>
      <c r="E78" s="66">
        <f>INDEX(Projects[AS Robots],77)</f>
        <v/>
      </c>
      <c r="F78" s="66">
        <f>INDEX(Projects[AS Tote Locations],77)</f>
        <v/>
      </c>
      <c r="G78" s="66">
        <f>INDEX(Projects[PS Shuttles],77)</f>
        <v/>
      </c>
      <c r="H78" s="66">
        <f>INDEX(Projects[PS Pallet Locations],77)</f>
        <v/>
      </c>
      <c r="I78" s="66">
        <f>INDEX(Projects[SRM Cranes],77)</f>
        <v/>
      </c>
      <c r="J78" s="66">
        <f>INDEX(Projects[SRM Pallet Locations],77)</f>
        <v/>
      </c>
      <c r="K78" s="66">
        <f>INDEX(Projects[Case Conv (m)],77)</f>
        <v/>
      </c>
      <c r="L78" s="66">
        <f>INDEX(Projects[Pallet Conv (m)],77)</f>
        <v/>
      </c>
      <c r="M78" s="66">
        <f>INDEX(Projects[Mech Eng (wks)],77)</f>
        <v/>
      </c>
      <c r="N78" s="66">
        <f>INDEX(Projects[Controls Eng (wks)],77)</f>
        <v/>
      </c>
      <c r="O78" s="66">
        <f>INDEX(Projects[Systems Eng (wks)],77)</f>
        <v/>
      </c>
      <c r="P78" s="66">
        <f>INDEX(Projects[Software Eng (wks)],77)</f>
        <v/>
      </c>
      <c r="Q78" s="66">
        <f>INDEX(Projects[M&amp;E Installation (wks)],77)</f>
        <v/>
      </c>
      <c r="R78" s="66">
        <f>INDEX(Projects[Commissioning (wks)],77)</f>
        <v/>
      </c>
      <c r="S78" s="66">
        <f>INDEX(Projects[Total Timeline (wks)],77)</f>
        <v/>
      </c>
      <c r="T78" s="66">
        <f>INDEX(Projects[Currency],77)&amp;""</f>
        <v/>
      </c>
      <c r="U78" s="67">
        <f>INDEX(Projects[Value (M)],77)</f>
        <v/>
      </c>
      <c r="V78" s="66">
        <f>IF('Smart Search'!B13=1,IFERROR(1/'Smart Search'!H13,0),0)</f>
        <v/>
      </c>
      <c r="W78" s="66">
        <f>IF('Smart Search'!B13=1,IFERROR(1/'Smart Search'!H13,0),0)</f>
        <v/>
      </c>
      <c r="X78" s="66">
        <f>IF('Smart Search'!C13=1,IFERROR(1/'Smart Search'!H13,0),0)</f>
        <v/>
      </c>
      <c r="Y78" s="66">
        <f>IF('Smart Search'!C13=1,IFERROR(1/'Smart Search'!H13,0),0)</f>
        <v/>
      </c>
      <c r="Z78" s="66">
        <f>IF('Smart Search'!D13=1,IFERROR(1/'Smart Search'!H13,0),0)</f>
        <v/>
      </c>
      <c r="AA78" s="66">
        <f>IF('Smart Search'!D13=1,IFERROR(1/'Smart Search'!H13,0),0)</f>
        <v/>
      </c>
      <c r="AB78" s="66">
        <f>IF('Smart Search'!E13=1,IFERROR(1/'Smart Search'!H13,0),0)</f>
        <v/>
      </c>
      <c r="AC78" s="66">
        <f>IF('Smart Search'!E13=1,IFERROR(1/'Smart Search'!H13,0),0)</f>
        <v/>
      </c>
      <c r="AD78" s="66">
        <f>IF('Smart Search'!F13=1,IFERROR(1/'Smart Search'!H13,0),0)</f>
        <v/>
      </c>
      <c r="AE78" s="66">
        <f>IF('Smart Search'!F13=1,IFERROR(1/'Smart Search'!H13,0),0)</f>
        <v/>
      </c>
      <c r="AF78" s="66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66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66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66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66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66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66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66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66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66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66">
        <f>AF78*V78</f>
        <v/>
      </c>
      <c r="AQ78" s="66">
        <f>AG78*W78</f>
        <v/>
      </c>
      <c r="AR78" s="66">
        <f>AH78*X78</f>
        <v/>
      </c>
      <c r="AS78" s="66">
        <f>AI78*Y78</f>
        <v/>
      </c>
      <c r="AT78" s="66">
        <f>AJ78*Z78</f>
        <v/>
      </c>
      <c r="AU78" s="66">
        <f>AK78*AA78</f>
        <v/>
      </c>
      <c r="AV78" s="66">
        <f>AL78*AB78</f>
        <v/>
      </c>
      <c r="AW78" s="66">
        <f>AM78*AC78</f>
        <v/>
      </c>
      <c r="AX78" s="66">
        <f>AN78*AD78</f>
        <v/>
      </c>
      <c r="AY78" s="66">
        <f>AO78*AE78</f>
        <v/>
      </c>
      <c r="AZ78" s="66">
        <f>INDEX(Projects[Automation Equipment],77)&amp;""</f>
        <v/>
      </c>
      <c r="BA78" s="66">
        <f>IF(OR(A78="",'Smart Search'!H13=0),"",MAX(0,BE78*BF78*MAX(0,1-BG78)))</f>
        <v/>
      </c>
      <c r="BB78" s="66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66">
        <f>IF('Smart Search'!G13=1,IFERROR(1/'Smart Search'!H13,0),0)</f>
        <v/>
      </c>
      <c r="BD78" s="66">
        <f>BB78*BC78</f>
        <v/>
      </c>
      <c r="BE78" s="66">
        <f>AP78+AQ78+AR78+AS78+AT78+AU78+AV78+AW78+AX78+AY78+BD78</f>
        <v/>
      </c>
      <c r="BF78" s="5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5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5">
        <f>IF(AND(A78&lt;&gt;"",OR('Smart Search'!$L$5="",'Smart Search'!$L$5="All",TRIM(BZ78)=TRIM('Smart Search'!$L$5)),OR(TRIM('Smart Search'!$L$6)="",TRIM('Smart Search'!$L$6)="All",ISNUMBER(SEARCH(SUBSTITUTE(SUBSTITUTE(SUBSTITUTE(TRIM('Smart Search'!$L$6),"~","~~"),"*","~*"),"?","~?"),CA78))),OR('Smart Search'!$L$7="",AND(CB78&lt;&gt;0,CB78='Smart Search'!$L$7)),OR('Smart Search'!$L$8="",'Smart Search'!$L$8="All",TRIM(CC78)=TRIM('Smart Search'!$L$8))),IF(BA78="","",BA78+ROW()*0.0000000001),"")</f>
        <v/>
      </c>
      <c r="BI78" s="5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5">
        <f>IF(A78="","",N(INDEX(Projects[Mech Inst],77)))</f>
        <v/>
      </c>
      <c r="BK78" s="5">
        <f>IF(A78="","",N(INDEX(Projects[Elec Inst],77)))</f>
        <v/>
      </c>
      <c r="BL78" s="5">
        <f>IF(A78="","",N(INDEX(Projects[Project Management],77)))</f>
        <v/>
      </c>
      <c r="BM78" s="5">
        <f>IF(A78="","",N(INDEX(Projects[Systems Eng],77)))</f>
        <v/>
      </c>
      <c r="BN78" s="5">
        <f>IF(A78="","",N(INDEX(Projects[Mechanical Eng],77)))</f>
        <v/>
      </c>
      <c r="BO78" s="5">
        <f>IF(A78="","",N(INDEX(Projects[Structural Engineering],77)))</f>
        <v/>
      </c>
      <c r="BP78" s="5">
        <f>IF(A78="","",N(INDEX(Projects[Site Sup],77)))</f>
        <v/>
      </c>
      <c r="BQ78" s="5">
        <f>IF(A78="","",N(INDEX(Projects[Controls Commissioning],77)))</f>
        <v/>
      </c>
      <c r="BR78" s="5">
        <f>IF(A78="","",N(INDEX(Projects[Systems Commissioning],77)))</f>
        <v/>
      </c>
      <c r="BS78" s="5">
        <f>IF(A78="","",N(INDEX(Projects[Service Commissioning],77)))</f>
        <v/>
      </c>
      <c r="BT78" s="5">
        <f>IF(A78="","",N(INDEX(Projects[Controls Eng],77)))</f>
        <v/>
      </c>
      <c r="BU78" s="5">
        <f>IF(A78="","",N(INDEX(Projects[Controls Purchase],77)))</f>
        <v/>
      </c>
      <c r="BV78" s="5">
        <f>IF(A78="","",N(INDEX(Projects[Software Eng],77)))</f>
        <v/>
      </c>
      <c r="BW78" s="5">
        <f>IF(A78="","",N(INDEX(Projects[Misc],77)))</f>
        <v/>
      </c>
      <c r="BX78" s="5">
        <f>IF(A78="","",SUM(BJ78:BW78))</f>
        <v/>
      </c>
      <c r="BY78" s="5">
        <f>IF(A78="","",IFERROR(IF(ISNUMBER(U78),U78,VALUE(SUBSTITUTE(SUBSTITUTE(SUBSTITUTE(UPPER(TRIM(U78)),"M",""),",","")," ",""))),0))</f>
        <v/>
      </c>
      <c r="BZ78" s="5">
        <f>INDEX(Projects[Solution Type],77)&amp;""</f>
        <v/>
      </c>
      <c r="CA78" s="5">
        <f>INDEX(Projects[Client / Region],77)&amp;""</f>
        <v/>
      </c>
      <c r="CB78" s="5">
        <f>INDEX(Projects[Year],77)</f>
        <v/>
      </c>
      <c r="CC78" s="5">
        <f>INDEX(Projects[Won?],77)&amp;""</f>
        <v/>
      </c>
      <c r="CD78" s="5">
        <f>INDEX(Projects[Value (USD M)],77)</f>
        <v/>
      </c>
    </row>
    <row r="79" ht="15" customHeight="1" s="74">
      <c r="A79" s="66">
        <f>INDEX(Projects[Project ID *],78)&amp;""</f>
        <v/>
      </c>
      <c r="B79" s="66">
        <f>INDEX(Projects[Project Name *],78)&amp;""</f>
        <v/>
      </c>
      <c r="C79" s="66">
        <f>INDEX(Projects[MS Shuttles],78)</f>
        <v/>
      </c>
      <c r="D79" s="66">
        <f>INDEX(Projects[MS Tote Locations],78)</f>
        <v/>
      </c>
      <c r="E79" s="66">
        <f>INDEX(Projects[AS Robots],78)</f>
        <v/>
      </c>
      <c r="F79" s="66">
        <f>INDEX(Projects[AS Tote Locations],78)</f>
        <v/>
      </c>
      <c r="G79" s="66">
        <f>INDEX(Projects[PS Shuttles],78)</f>
        <v/>
      </c>
      <c r="H79" s="66">
        <f>INDEX(Projects[PS Pallet Locations],78)</f>
        <v/>
      </c>
      <c r="I79" s="66">
        <f>INDEX(Projects[SRM Cranes],78)</f>
        <v/>
      </c>
      <c r="J79" s="66">
        <f>INDEX(Projects[SRM Pallet Locations],78)</f>
        <v/>
      </c>
      <c r="K79" s="66">
        <f>INDEX(Projects[Case Conv (m)],78)</f>
        <v/>
      </c>
      <c r="L79" s="66">
        <f>INDEX(Projects[Pallet Conv (m)],78)</f>
        <v/>
      </c>
      <c r="M79" s="66">
        <f>INDEX(Projects[Mech Eng (wks)],78)</f>
        <v/>
      </c>
      <c r="N79" s="66">
        <f>INDEX(Projects[Controls Eng (wks)],78)</f>
        <v/>
      </c>
      <c r="O79" s="66">
        <f>INDEX(Projects[Systems Eng (wks)],78)</f>
        <v/>
      </c>
      <c r="P79" s="66">
        <f>INDEX(Projects[Software Eng (wks)],78)</f>
        <v/>
      </c>
      <c r="Q79" s="66">
        <f>INDEX(Projects[M&amp;E Installation (wks)],78)</f>
        <v/>
      </c>
      <c r="R79" s="66">
        <f>INDEX(Projects[Commissioning (wks)],78)</f>
        <v/>
      </c>
      <c r="S79" s="66">
        <f>INDEX(Projects[Total Timeline (wks)],78)</f>
        <v/>
      </c>
      <c r="T79" s="66">
        <f>INDEX(Projects[Currency],78)&amp;""</f>
        <v/>
      </c>
      <c r="U79" s="67">
        <f>INDEX(Projects[Value (M)],78)</f>
        <v/>
      </c>
      <c r="V79" s="66">
        <f>IF('Smart Search'!B13=1,IFERROR(1/'Smart Search'!H13,0),0)</f>
        <v/>
      </c>
      <c r="W79" s="66">
        <f>IF('Smart Search'!B13=1,IFERROR(1/'Smart Search'!H13,0),0)</f>
        <v/>
      </c>
      <c r="X79" s="66">
        <f>IF('Smart Search'!C13=1,IFERROR(1/'Smart Search'!H13,0),0)</f>
        <v/>
      </c>
      <c r="Y79" s="66">
        <f>IF('Smart Search'!C13=1,IFERROR(1/'Smart Search'!H13,0),0)</f>
        <v/>
      </c>
      <c r="Z79" s="66">
        <f>IF('Smart Search'!D13=1,IFERROR(1/'Smart Search'!H13,0),0)</f>
        <v/>
      </c>
      <c r="AA79" s="66">
        <f>IF('Smart Search'!D13=1,IFERROR(1/'Smart Search'!H13,0),0)</f>
        <v/>
      </c>
      <c r="AB79" s="66">
        <f>IF('Smart Search'!E13=1,IFERROR(1/'Smart Search'!H13,0),0)</f>
        <v/>
      </c>
      <c r="AC79" s="66">
        <f>IF('Smart Search'!E13=1,IFERROR(1/'Smart Search'!H13,0),0)</f>
        <v/>
      </c>
      <c r="AD79" s="66">
        <f>IF('Smart Search'!F13=1,IFERROR(1/'Smart Search'!H13,0),0)</f>
        <v/>
      </c>
      <c r="AE79" s="66">
        <f>IF('Smart Search'!F13=1,IFERROR(1/'Smart Search'!H13,0),0)</f>
        <v/>
      </c>
      <c r="AF79" s="66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66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66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66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66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66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66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66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66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66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66">
        <f>AF79*V79</f>
        <v/>
      </c>
      <c r="AQ79" s="66">
        <f>AG79*W79</f>
        <v/>
      </c>
      <c r="AR79" s="66">
        <f>AH79*X79</f>
        <v/>
      </c>
      <c r="AS79" s="66">
        <f>AI79*Y79</f>
        <v/>
      </c>
      <c r="AT79" s="66">
        <f>AJ79*Z79</f>
        <v/>
      </c>
      <c r="AU79" s="66">
        <f>AK79*AA79</f>
        <v/>
      </c>
      <c r="AV79" s="66">
        <f>AL79*AB79</f>
        <v/>
      </c>
      <c r="AW79" s="66">
        <f>AM79*AC79</f>
        <v/>
      </c>
      <c r="AX79" s="66">
        <f>AN79*AD79</f>
        <v/>
      </c>
      <c r="AY79" s="66">
        <f>AO79*AE79</f>
        <v/>
      </c>
      <c r="AZ79" s="66">
        <f>INDEX(Projects[Automation Equipment],78)&amp;""</f>
        <v/>
      </c>
      <c r="BA79" s="66">
        <f>IF(OR(A79="",'Smart Search'!H13=0),"",MAX(0,BE79*BF79*MAX(0,1-BG79)))</f>
        <v/>
      </c>
      <c r="BB79" s="66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66">
        <f>IF('Smart Search'!G13=1,IFERROR(1/'Smart Search'!H13,0),0)</f>
        <v/>
      </c>
      <c r="BD79" s="66">
        <f>BB79*BC79</f>
        <v/>
      </c>
      <c r="BE79" s="66">
        <f>AP79+AQ79+AR79+AS79+AT79+AU79+AV79+AW79+AX79+AY79+BD79</f>
        <v/>
      </c>
      <c r="BF79" s="5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5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5">
        <f>IF(AND(A79&lt;&gt;"",OR('Smart Search'!$L$5="",'Smart Search'!$L$5="All",TRIM(BZ79)=TRIM('Smart Search'!$L$5)),OR(TRIM('Smart Search'!$L$6)="",TRIM('Smart Search'!$L$6)="All",ISNUMBER(SEARCH(SUBSTITUTE(SUBSTITUTE(SUBSTITUTE(TRIM('Smart Search'!$L$6),"~","~~"),"*","~*"),"?","~?"),CA79))),OR('Smart Search'!$L$7="",AND(CB79&lt;&gt;0,CB79='Smart Search'!$L$7)),OR('Smart Search'!$L$8="",'Smart Search'!$L$8="All",TRIM(CC79)=TRIM('Smart Search'!$L$8))),IF(BA79="","",BA79+ROW()*0.0000000001),"")</f>
        <v/>
      </c>
      <c r="BI79" s="5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5">
        <f>IF(A79="","",N(INDEX(Projects[Mech Inst],78)))</f>
        <v/>
      </c>
      <c r="BK79" s="5">
        <f>IF(A79="","",N(INDEX(Projects[Elec Inst],78)))</f>
        <v/>
      </c>
      <c r="BL79" s="5">
        <f>IF(A79="","",N(INDEX(Projects[Project Management],78)))</f>
        <v/>
      </c>
      <c r="BM79" s="5">
        <f>IF(A79="","",N(INDEX(Projects[Systems Eng],78)))</f>
        <v/>
      </c>
      <c r="BN79" s="5">
        <f>IF(A79="","",N(INDEX(Projects[Mechanical Eng],78)))</f>
        <v/>
      </c>
      <c r="BO79" s="5">
        <f>IF(A79="","",N(INDEX(Projects[Structural Engineering],78)))</f>
        <v/>
      </c>
      <c r="BP79" s="5">
        <f>IF(A79="","",N(INDEX(Projects[Site Sup],78)))</f>
        <v/>
      </c>
      <c r="BQ79" s="5">
        <f>IF(A79="","",N(INDEX(Projects[Controls Commissioning],78)))</f>
        <v/>
      </c>
      <c r="BR79" s="5">
        <f>IF(A79="","",N(INDEX(Projects[Systems Commissioning],78)))</f>
        <v/>
      </c>
      <c r="BS79" s="5">
        <f>IF(A79="","",N(INDEX(Projects[Service Commissioning],78)))</f>
        <v/>
      </c>
      <c r="BT79" s="5">
        <f>IF(A79="","",N(INDEX(Projects[Controls Eng],78)))</f>
        <v/>
      </c>
      <c r="BU79" s="5">
        <f>IF(A79="","",N(INDEX(Projects[Controls Purchase],78)))</f>
        <v/>
      </c>
      <c r="BV79" s="5">
        <f>IF(A79="","",N(INDEX(Projects[Software Eng],78)))</f>
        <v/>
      </c>
      <c r="BW79" s="5">
        <f>IF(A79="","",N(INDEX(Projects[Misc],78)))</f>
        <v/>
      </c>
      <c r="BX79" s="5">
        <f>IF(A79="","",SUM(BJ79:BW79))</f>
        <v/>
      </c>
      <c r="BY79" s="5">
        <f>IF(A79="","",IFERROR(IF(ISNUMBER(U79),U79,VALUE(SUBSTITUTE(SUBSTITUTE(SUBSTITUTE(UPPER(TRIM(U79)),"M",""),",","")," ",""))),0))</f>
        <v/>
      </c>
      <c r="BZ79" s="5">
        <f>INDEX(Projects[Solution Type],78)&amp;""</f>
        <v/>
      </c>
      <c r="CA79" s="5">
        <f>INDEX(Projects[Client / Region],78)&amp;""</f>
        <v/>
      </c>
      <c r="CB79" s="5">
        <f>INDEX(Projects[Year],78)</f>
        <v/>
      </c>
      <c r="CC79" s="5">
        <f>INDEX(Projects[Won?],78)&amp;""</f>
        <v/>
      </c>
      <c r="CD79" s="5">
        <f>INDEX(Projects[Value (USD M)],78)</f>
        <v/>
      </c>
    </row>
    <row r="80" ht="15" customHeight="1" s="74">
      <c r="A80" s="66">
        <f>INDEX(Projects[Project ID *],79)&amp;""</f>
        <v/>
      </c>
      <c r="B80" s="66">
        <f>INDEX(Projects[Project Name *],79)&amp;""</f>
        <v/>
      </c>
      <c r="C80" s="66">
        <f>INDEX(Projects[MS Shuttles],79)</f>
        <v/>
      </c>
      <c r="D80" s="66">
        <f>INDEX(Projects[MS Tote Locations],79)</f>
        <v/>
      </c>
      <c r="E80" s="66">
        <f>INDEX(Projects[AS Robots],79)</f>
        <v/>
      </c>
      <c r="F80" s="66">
        <f>INDEX(Projects[AS Tote Locations],79)</f>
        <v/>
      </c>
      <c r="G80" s="66">
        <f>INDEX(Projects[PS Shuttles],79)</f>
        <v/>
      </c>
      <c r="H80" s="66">
        <f>INDEX(Projects[PS Pallet Locations],79)</f>
        <v/>
      </c>
      <c r="I80" s="66">
        <f>INDEX(Projects[SRM Cranes],79)</f>
        <v/>
      </c>
      <c r="J80" s="66">
        <f>INDEX(Projects[SRM Pallet Locations],79)</f>
        <v/>
      </c>
      <c r="K80" s="66">
        <f>INDEX(Projects[Case Conv (m)],79)</f>
        <v/>
      </c>
      <c r="L80" s="66">
        <f>INDEX(Projects[Pallet Conv (m)],79)</f>
        <v/>
      </c>
      <c r="M80" s="66">
        <f>INDEX(Projects[Mech Eng (wks)],79)</f>
        <v/>
      </c>
      <c r="N80" s="66">
        <f>INDEX(Projects[Controls Eng (wks)],79)</f>
        <v/>
      </c>
      <c r="O80" s="66">
        <f>INDEX(Projects[Systems Eng (wks)],79)</f>
        <v/>
      </c>
      <c r="P80" s="66">
        <f>INDEX(Projects[Software Eng (wks)],79)</f>
        <v/>
      </c>
      <c r="Q80" s="66">
        <f>INDEX(Projects[M&amp;E Installation (wks)],79)</f>
        <v/>
      </c>
      <c r="R80" s="66">
        <f>INDEX(Projects[Commissioning (wks)],79)</f>
        <v/>
      </c>
      <c r="S80" s="66">
        <f>INDEX(Projects[Total Timeline (wks)],79)</f>
        <v/>
      </c>
      <c r="T80" s="66">
        <f>INDEX(Projects[Currency],79)&amp;""</f>
        <v/>
      </c>
      <c r="U80" s="67">
        <f>INDEX(Projects[Value (M)],79)</f>
        <v/>
      </c>
      <c r="V80" s="66">
        <f>IF('Smart Search'!B13=1,IFERROR(1/'Smart Search'!H13,0),0)</f>
        <v/>
      </c>
      <c r="W80" s="66">
        <f>IF('Smart Search'!B13=1,IFERROR(1/'Smart Search'!H13,0),0)</f>
        <v/>
      </c>
      <c r="X80" s="66">
        <f>IF('Smart Search'!C13=1,IFERROR(1/'Smart Search'!H13,0),0)</f>
        <v/>
      </c>
      <c r="Y80" s="66">
        <f>IF('Smart Search'!C13=1,IFERROR(1/'Smart Search'!H13,0),0)</f>
        <v/>
      </c>
      <c r="Z80" s="66">
        <f>IF('Smart Search'!D13=1,IFERROR(1/'Smart Search'!H13,0),0)</f>
        <v/>
      </c>
      <c r="AA80" s="66">
        <f>IF('Smart Search'!D13=1,IFERROR(1/'Smart Search'!H13,0),0)</f>
        <v/>
      </c>
      <c r="AB80" s="66">
        <f>IF('Smart Search'!E13=1,IFERROR(1/'Smart Search'!H13,0),0)</f>
        <v/>
      </c>
      <c r="AC80" s="66">
        <f>IF('Smart Search'!E13=1,IFERROR(1/'Smart Search'!H13,0),0)</f>
        <v/>
      </c>
      <c r="AD80" s="66">
        <f>IF('Smart Search'!F13=1,IFERROR(1/'Smart Search'!H13,0),0)</f>
        <v/>
      </c>
      <c r="AE80" s="66">
        <f>IF('Smart Search'!F13=1,IFERROR(1/'Smart Search'!H13,0),0)</f>
        <v/>
      </c>
      <c r="AF80" s="66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66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66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66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66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66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66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66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66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66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66">
        <f>AF80*V80</f>
        <v/>
      </c>
      <c r="AQ80" s="66">
        <f>AG80*W80</f>
        <v/>
      </c>
      <c r="AR80" s="66">
        <f>AH80*X80</f>
        <v/>
      </c>
      <c r="AS80" s="66">
        <f>AI80*Y80</f>
        <v/>
      </c>
      <c r="AT80" s="66">
        <f>AJ80*Z80</f>
        <v/>
      </c>
      <c r="AU80" s="66">
        <f>AK80*AA80</f>
        <v/>
      </c>
      <c r="AV80" s="66">
        <f>AL80*AB80</f>
        <v/>
      </c>
      <c r="AW80" s="66">
        <f>AM80*AC80</f>
        <v/>
      </c>
      <c r="AX80" s="66">
        <f>AN80*AD80</f>
        <v/>
      </c>
      <c r="AY80" s="66">
        <f>AO80*AE80</f>
        <v/>
      </c>
      <c r="AZ80" s="66">
        <f>INDEX(Projects[Automation Equipment],79)&amp;""</f>
        <v/>
      </c>
      <c r="BA80" s="66">
        <f>IF(OR(A80="",'Smart Search'!H13=0),"",MAX(0,BE80*BF80*MAX(0,1-BG80)))</f>
        <v/>
      </c>
      <c r="BB80" s="66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66">
        <f>IF('Smart Search'!G13=1,IFERROR(1/'Smart Search'!H13,0),0)</f>
        <v/>
      </c>
      <c r="BD80" s="66">
        <f>BB80*BC80</f>
        <v/>
      </c>
      <c r="BE80" s="66">
        <f>AP80+AQ80+AR80+AS80+AT80+AU80+AV80+AW80+AX80+AY80+BD80</f>
        <v/>
      </c>
      <c r="BF80" s="5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5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5">
        <f>IF(AND(A80&lt;&gt;"",OR('Smart Search'!$L$5="",'Smart Search'!$L$5="All",TRIM(BZ80)=TRIM('Smart Search'!$L$5)),OR(TRIM('Smart Search'!$L$6)="",TRIM('Smart Search'!$L$6)="All",ISNUMBER(SEARCH(SUBSTITUTE(SUBSTITUTE(SUBSTITUTE(TRIM('Smart Search'!$L$6),"~","~~"),"*","~*"),"?","~?"),CA80))),OR('Smart Search'!$L$7="",AND(CB80&lt;&gt;0,CB80='Smart Search'!$L$7)),OR('Smart Search'!$L$8="",'Smart Search'!$L$8="All",TRIM(CC80)=TRIM('Smart Search'!$L$8))),IF(BA80="","",BA80+ROW()*0.0000000001),"")</f>
        <v/>
      </c>
      <c r="BI80" s="5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5">
        <f>IF(A80="","",N(INDEX(Projects[Mech Inst],79)))</f>
        <v/>
      </c>
      <c r="BK80" s="5">
        <f>IF(A80="","",N(INDEX(Projects[Elec Inst],79)))</f>
        <v/>
      </c>
      <c r="BL80" s="5">
        <f>IF(A80="","",N(INDEX(Projects[Project Management],79)))</f>
        <v/>
      </c>
      <c r="BM80" s="5">
        <f>IF(A80="","",N(INDEX(Projects[Systems Eng],79)))</f>
        <v/>
      </c>
      <c r="BN80" s="5">
        <f>IF(A80="","",N(INDEX(Projects[Mechanical Eng],79)))</f>
        <v/>
      </c>
      <c r="BO80" s="5">
        <f>IF(A80="","",N(INDEX(Projects[Structural Engineering],79)))</f>
        <v/>
      </c>
      <c r="BP80" s="5">
        <f>IF(A80="","",N(INDEX(Projects[Site Sup],79)))</f>
        <v/>
      </c>
      <c r="BQ80" s="5">
        <f>IF(A80="","",N(INDEX(Projects[Controls Commissioning],79)))</f>
        <v/>
      </c>
      <c r="BR80" s="5">
        <f>IF(A80="","",N(INDEX(Projects[Systems Commissioning],79)))</f>
        <v/>
      </c>
      <c r="BS80" s="5">
        <f>IF(A80="","",N(INDEX(Projects[Service Commissioning],79)))</f>
        <v/>
      </c>
      <c r="BT80" s="5">
        <f>IF(A80="","",N(INDEX(Projects[Controls Eng],79)))</f>
        <v/>
      </c>
      <c r="BU80" s="5">
        <f>IF(A80="","",N(INDEX(Projects[Controls Purchase],79)))</f>
        <v/>
      </c>
      <c r="BV80" s="5">
        <f>IF(A80="","",N(INDEX(Projects[Software Eng],79)))</f>
        <v/>
      </c>
      <c r="BW80" s="5">
        <f>IF(A80="","",N(INDEX(Projects[Misc],79)))</f>
        <v/>
      </c>
      <c r="BX80" s="5">
        <f>IF(A80="","",SUM(BJ80:BW80))</f>
        <v/>
      </c>
      <c r="BY80" s="5">
        <f>IF(A80="","",IFERROR(IF(ISNUMBER(U80),U80,VALUE(SUBSTITUTE(SUBSTITUTE(SUBSTITUTE(UPPER(TRIM(U80)),"M",""),",","")," ",""))),0))</f>
        <v/>
      </c>
      <c r="BZ80" s="5">
        <f>INDEX(Projects[Solution Type],79)&amp;""</f>
        <v/>
      </c>
      <c r="CA80" s="5">
        <f>INDEX(Projects[Client / Region],79)&amp;""</f>
        <v/>
      </c>
      <c r="CB80" s="5">
        <f>INDEX(Projects[Year],79)</f>
        <v/>
      </c>
      <c r="CC80" s="5">
        <f>INDEX(Projects[Won?],79)&amp;""</f>
        <v/>
      </c>
      <c r="CD80" s="5">
        <f>INDEX(Projects[Value (USD M)],79)</f>
        <v/>
      </c>
    </row>
    <row r="81" ht="15" customHeight="1" s="74">
      <c r="A81" s="66">
        <f>INDEX(Projects[Project ID *],80)&amp;""</f>
        <v/>
      </c>
      <c r="B81" s="66">
        <f>INDEX(Projects[Project Name *],80)&amp;""</f>
        <v/>
      </c>
      <c r="C81" s="66">
        <f>INDEX(Projects[MS Shuttles],80)</f>
        <v/>
      </c>
      <c r="D81" s="66">
        <f>INDEX(Projects[MS Tote Locations],80)</f>
        <v/>
      </c>
      <c r="E81" s="66">
        <f>INDEX(Projects[AS Robots],80)</f>
        <v/>
      </c>
      <c r="F81" s="66">
        <f>INDEX(Projects[AS Tote Locations],80)</f>
        <v/>
      </c>
      <c r="G81" s="66">
        <f>INDEX(Projects[PS Shuttles],80)</f>
        <v/>
      </c>
      <c r="H81" s="66">
        <f>INDEX(Projects[PS Pallet Locations],80)</f>
        <v/>
      </c>
      <c r="I81" s="66">
        <f>INDEX(Projects[SRM Cranes],80)</f>
        <v/>
      </c>
      <c r="J81" s="66">
        <f>INDEX(Projects[SRM Pallet Locations],80)</f>
        <v/>
      </c>
      <c r="K81" s="66">
        <f>INDEX(Projects[Case Conv (m)],80)</f>
        <v/>
      </c>
      <c r="L81" s="66">
        <f>INDEX(Projects[Pallet Conv (m)],80)</f>
        <v/>
      </c>
      <c r="M81" s="66">
        <f>INDEX(Projects[Mech Eng (wks)],80)</f>
        <v/>
      </c>
      <c r="N81" s="66">
        <f>INDEX(Projects[Controls Eng (wks)],80)</f>
        <v/>
      </c>
      <c r="O81" s="66">
        <f>INDEX(Projects[Systems Eng (wks)],80)</f>
        <v/>
      </c>
      <c r="P81" s="66">
        <f>INDEX(Projects[Software Eng (wks)],80)</f>
        <v/>
      </c>
      <c r="Q81" s="66">
        <f>INDEX(Projects[M&amp;E Installation (wks)],80)</f>
        <v/>
      </c>
      <c r="R81" s="66">
        <f>INDEX(Projects[Commissioning (wks)],80)</f>
        <v/>
      </c>
      <c r="S81" s="66">
        <f>INDEX(Projects[Total Timeline (wks)],80)</f>
        <v/>
      </c>
      <c r="T81" s="66">
        <f>INDEX(Projects[Currency],80)&amp;""</f>
        <v/>
      </c>
      <c r="U81" s="67">
        <f>INDEX(Projects[Value (M)],80)</f>
        <v/>
      </c>
      <c r="V81" s="66">
        <f>IF('Smart Search'!B13=1,IFERROR(1/'Smart Search'!H13,0),0)</f>
        <v/>
      </c>
      <c r="W81" s="66">
        <f>IF('Smart Search'!B13=1,IFERROR(1/'Smart Search'!H13,0),0)</f>
        <v/>
      </c>
      <c r="X81" s="66">
        <f>IF('Smart Search'!C13=1,IFERROR(1/'Smart Search'!H13,0),0)</f>
        <v/>
      </c>
      <c r="Y81" s="66">
        <f>IF('Smart Search'!C13=1,IFERROR(1/'Smart Search'!H13,0),0)</f>
        <v/>
      </c>
      <c r="Z81" s="66">
        <f>IF('Smart Search'!D13=1,IFERROR(1/'Smart Search'!H13,0),0)</f>
        <v/>
      </c>
      <c r="AA81" s="66">
        <f>IF('Smart Search'!D13=1,IFERROR(1/'Smart Search'!H13,0),0)</f>
        <v/>
      </c>
      <c r="AB81" s="66">
        <f>IF('Smart Search'!E13=1,IFERROR(1/'Smart Search'!H13,0),0)</f>
        <v/>
      </c>
      <c r="AC81" s="66">
        <f>IF('Smart Search'!E13=1,IFERROR(1/'Smart Search'!H13,0),0)</f>
        <v/>
      </c>
      <c r="AD81" s="66">
        <f>IF('Smart Search'!F13=1,IFERROR(1/'Smart Search'!H13,0),0)</f>
        <v/>
      </c>
      <c r="AE81" s="66">
        <f>IF('Smart Search'!F13=1,IFERROR(1/'Smart Search'!H13,0),0)</f>
        <v/>
      </c>
      <c r="AF81" s="66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66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66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66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66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66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66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66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66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66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66">
        <f>AF81*V81</f>
        <v/>
      </c>
      <c r="AQ81" s="66">
        <f>AG81*W81</f>
        <v/>
      </c>
      <c r="AR81" s="66">
        <f>AH81*X81</f>
        <v/>
      </c>
      <c r="AS81" s="66">
        <f>AI81*Y81</f>
        <v/>
      </c>
      <c r="AT81" s="66">
        <f>AJ81*Z81</f>
        <v/>
      </c>
      <c r="AU81" s="66">
        <f>AK81*AA81</f>
        <v/>
      </c>
      <c r="AV81" s="66">
        <f>AL81*AB81</f>
        <v/>
      </c>
      <c r="AW81" s="66">
        <f>AM81*AC81</f>
        <v/>
      </c>
      <c r="AX81" s="66">
        <f>AN81*AD81</f>
        <v/>
      </c>
      <c r="AY81" s="66">
        <f>AO81*AE81</f>
        <v/>
      </c>
      <c r="AZ81" s="66">
        <f>INDEX(Projects[Automation Equipment],80)&amp;""</f>
        <v/>
      </c>
      <c r="BA81" s="66">
        <f>IF(OR(A81="",'Smart Search'!H13=0),"",MAX(0,BE81*BF81*MAX(0,1-BG81)))</f>
        <v/>
      </c>
      <c r="BB81" s="66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66">
        <f>IF('Smart Search'!G13=1,IFERROR(1/'Smart Search'!H13,0),0)</f>
        <v/>
      </c>
      <c r="BD81" s="66">
        <f>BB81*BC81</f>
        <v/>
      </c>
      <c r="BE81" s="66">
        <f>AP81+AQ81+AR81+AS81+AT81+AU81+AV81+AW81+AX81+AY81+BD81</f>
        <v/>
      </c>
      <c r="BF81" s="5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5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5">
        <f>IF(AND(A81&lt;&gt;"",OR('Smart Search'!$L$5="",'Smart Search'!$L$5="All",TRIM(BZ81)=TRIM('Smart Search'!$L$5)),OR(TRIM('Smart Search'!$L$6)="",TRIM('Smart Search'!$L$6)="All",ISNUMBER(SEARCH(SUBSTITUTE(SUBSTITUTE(SUBSTITUTE(TRIM('Smart Search'!$L$6),"~","~~"),"*","~*"),"?","~?"),CA81))),OR('Smart Search'!$L$7="",AND(CB81&lt;&gt;0,CB81='Smart Search'!$L$7)),OR('Smart Search'!$L$8="",'Smart Search'!$L$8="All",TRIM(CC81)=TRIM('Smart Search'!$L$8))),IF(BA81="","",BA81+ROW()*0.0000000001),"")</f>
        <v/>
      </c>
      <c r="BI81" s="5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5">
        <f>IF(A81="","",N(INDEX(Projects[Mech Inst],80)))</f>
        <v/>
      </c>
      <c r="BK81" s="5">
        <f>IF(A81="","",N(INDEX(Projects[Elec Inst],80)))</f>
        <v/>
      </c>
      <c r="BL81" s="5">
        <f>IF(A81="","",N(INDEX(Projects[Project Management],80)))</f>
        <v/>
      </c>
      <c r="BM81" s="5">
        <f>IF(A81="","",N(INDEX(Projects[Systems Eng],80)))</f>
        <v/>
      </c>
      <c r="BN81" s="5">
        <f>IF(A81="","",N(INDEX(Projects[Mechanical Eng],80)))</f>
        <v/>
      </c>
      <c r="BO81" s="5">
        <f>IF(A81="","",N(INDEX(Projects[Structural Engineering],80)))</f>
        <v/>
      </c>
      <c r="BP81" s="5">
        <f>IF(A81="","",N(INDEX(Projects[Site Sup],80)))</f>
        <v/>
      </c>
      <c r="BQ81" s="5">
        <f>IF(A81="","",N(INDEX(Projects[Controls Commissioning],80)))</f>
        <v/>
      </c>
      <c r="BR81" s="5">
        <f>IF(A81="","",N(INDEX(Projects[Systems Commissioning],80)))</f>
        <v/>
      </c>
      <c r="BS81" s="5">
        <f>IF(A81="","",N(INDEX(Projects[Service Commissioning],80)))</f>
        <v/>
      </c>
      <c r="BT81" s="5">
        <f>IF(A81="","",N(INDEX(Projects[Controls Eng],80)))</f>
        <v/>
      </c>
      <c r="BU81" s="5">
        <f>IF(A81="","",N(INDEX(Projects[Controls Purchase],80)))</f>
        <v/>
      </c>
      <c r="BV81" s="5">
        <f>IF(A81="","",N(INDEX(Projects[Software Eng],80)))</f>
        <v/>
      </c>
      <c r="BW81" s="5">
        <f>IF(A81="","",N(INDEX(Projects[Misc],80)))</f>
        <v/>
      </c>
      <c r="BX81" s="5">
        <f>IF(A81="","",SUM(BJ81:BW81))</f>
        <v/>
      </c>
      <c r="BY81" s="5">
        <f>IF(A81="","",IFERROR(IF(ISNUMBER(U81),U81,VALUE(SUBSTITUTE(SUBSTITUTE(SUBSTITUTE(UPPER(TRIM(U81)),"M",""),",","")," ",""))),0))</f>
        <v/>
      </c>
      <c r="BZ81" s="5">
        <f>INDEX(Projects[Solution Type],80)&amp;""</f>
        <v/>
      </c>
      <c r="CA81" s="5">
        <f>INDEX(Projects[Client / Region],80)&amp;""</f>
        <v/>
      </c>
      <c r="CB81" s="5">
        <f>INDEX(Projects[Year],80)</f>
        <v/>
      </c>
      <c r="CC81" s="5">
        <f>INDEX(Projects[Won?],80)&amp;""</f>
        <v/>
      </c>
      <c r="CD81" s="5">
        <f>INDEX(Projects[Value (USD M)],80)</f>
        <v/>
      </c>
    </row>
    <row r="82" ht="15" customHeight="1" s="74">
      <c r="A82" s="66">
        <f>INDEX(Projects[Project ID *],81)&amp;""</f>
        <v/>
      </c>
      <c r="B82" s="66">
        <f>INDEX(Projects[Project Name *],81)&amp;""</f>
        <v/>
      </c>
      <c r="C82" s="66">
        <f>INDEX(Projects[MS Shuttles],81)</f>
        <v/>
      </c>
      <c r="D82" s="66">
        <f>INDEX(Projects[MS Tote Locations],81)</f>
        <v/>
      </c>
      <c r="E82" s="66">
        <f>INDEX(Projects[AS Robots],81)</f>
        <v/>
      </c>
      <c r="F82" s="66">
        <f>INDEX(Projects[AS Tote Locations],81)</f>
        <v/>
      </c>
      <c r="G82" s="66">
        <f>INDEX(Projects[PS Shuttles],81)</f>
        <v/>
      </c>
      <c r="H82" s="66">
        <f>INDEX(Projects[PS Pallet Locations],81)</f>
        <v/>
      </c>
      <c r="I82" s="66">
        <f>INDEX(Projects[SRM Cranes],81)</f>
        <v/>
      </c>
      <c r="J82" s="66">
        <f>INDEX(Projects[SRM Pallet Locations],81)</f>
        <v/>
      </c>
      <c r="K82" s="66">
        <f>INDEX(Projects[Case Conv (m)],81)</f>
        <v/>
      </c>
      <c r="L82" s="66">
        <f>INDEX(Projects[Pallet Conv (m)],81)</f>
        <v/>
      </c>
      <c r="M82" s="66">
        <f>INDEX(Projects[Mech Eng (wks)],81)</f>
        <v/>
      </c>
      <c r="N82" s="66">
        <f>INDEX(Projects[Controls Eng (wks)],81)</f>
        <v/>
      </c>
      <c r="O82" s="66">
        <f>INDEX(Projects[Systems Eng (wks)],81)</f>
        <v/>
      </c>
      <c r="P82" s="66">
        <f>INDEX(Projects[Software Eng (wks)],81)</f>
        <v/>
      </c>
      <c r="Q82" s="66">
        <f>INDEX(Projects[M&amp;E Installation (wks)],81)</f>
        <v/>
      </c>
      <c r="R82" s="66">
        <f>INDEX(Projects[Commissioning (wks)],81)</f>
        <v/>
      </c>
      <c r="S82" s="66">
        <f>INDEX(Projects[Total Timeline (wks)],81)</f>
        <v/>
      </c>
      <c r="T82" s="66">
        <f>INDEX(Projects[Currency],81)&amp;""</f>
        <v/>
      </c>
      <c r="U82" s="67">
        <f>INDEX(Projects[Value (M)],81)</f>
        <v/>
      </c>
      <c r="V82" s="66">
        <f>IF('Smart Search'!B13=1,IFERROR(1/'Smart Search'!H13,0),0)</f>
        <v/>
      </c>
      <c r="W82" s="66">
        <f>IF('Smart Search'!B13=1,IFERROR(1/'Smart Search'!H13,0),0)</f>
        <v/>
      </c>
      <c r="X82" s="66">
        <f>IF('Smart Search'!C13=1,IFERROR(1/'Smart Search'!H13,0),0)</f>
        <v/>
      </c>
      <c r="Y82" s="66">
        <f>IF('Smart Search'!C13=1,IFERROR(1/'Smart Search'!H13,0),0)</f>
        <v/>
      </c>
      <c r="Z82" s="66">
        <f>IF('Smart Search'!D13=1,IFERROR(1/'Smart Search'!H13,0),0)</f>
        <v/>
      </c>
      <c r="AA82" s="66">
        <f>IF('Smart Search'!D13=1,IFERROR(1/'Smart Search'!H13,0),0)</f>
        <v/>
      </c>
      <c r="AB82" s="66">
        <f>IF('Smart Search'!E13=1,IFERROR(1/'Smart Search'!H13,0),0)</f>
        <v/>
      </c>
      <c r="AC82" s="66">
        <f>IF('Smart Search'!E13=1,IFERROR(1/'Smart Search'!H13,0),0)</f>
        <v/>
      </c>
      <c r="AD82" s="66">
        <f>IF('Smart Search'!F13=1,IFERROR(1/'Smart Search'!H13,0),0)</f>
        <v/>
      </c>
      <c r="AE82" s="66">
        <f>IF('Smart Search'!F13=1,IFERROR(1/'Smart Search'!H13,0),0)</f>
        <v/>
      </c>
      <c r="AF82" s="66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66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66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66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66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66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66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66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66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66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66">
        <f>AF82*V82</f>
        <v/>
      </c>
      <c r="AQ82" s="66">
        <f>AG82*W82</f>
        <v/>
      </c>
      <c r="AR82" s="66">
        <f>AH82*X82</f>
        <v/>
      </c>
      <c r="AS82" s="66">
        <f>AI82*Y82</f>
        <v/>
      </c>
      <c r="AT82" s="66">
        <f>AJ82*Z82</f>
        <v/>
      </c>
      <c r="AU82" s="66">
        <f>AK82*AA82</f>
        <v/>
      </c>
      <c r="AV82" s="66">
        <f>AL82*AB82</f>
        <v/>
      </c>
      <c r="AW82" s="66">
        <f>AM82*AC82</f>
        <v/>
      </c>
      <c r="AX82" s="66">
        <f>AN82*AD82</f>
        <v/>
      </c>
      <c r="AY82" s="66">
        <f>AO82*AE82</f>
        <v/>
      </c>
      <c r="AZ82" s="66">
        <f>INDEX(Projects[Automation Equipment],81)&amp;""</f>
        <v/>
      </c>
      <c r="BA82" s="66">
        <f>IF(OR(A82="",'Smart Search'!H13=0),"",MAX(0,BE82*BF82*MAX(0,1-BG82)))</f>
        <v/>
      </c>
      <c r="BB82" s="66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66">
        <f>IF('Smart Search'!G13=1,IFERROR(1/'Smart Search'!H13,0),0)</f>
        <v/>
      </c>
      <c r="BD82" s="66">
        <f>BB82*BC82</f>
        <v/>
      </c>
      <c r="BE82" s="66">
        <f>AP82+AQ82+AR82+AS82+AT82+AU82+AV82+AW82+AX82+AY82+BD82</f>
        <v/>
      </c>
      <c r="BF82" s="5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5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5">
        <f>IF(AND(A82&lt;&gt;"",OR('Smart Search'!$L$5="",'Smart Search'!$L$5="All",TRIM(BZ82)=TRIM('Smart Search'!$L$5)),OR(TRIM('Smart Search'!$L$6)="",TRIM('Smart Search'!$L$6)="All",ISNUMBER(SEARCH(SUBSTITUTE(SUBSTITUTE(SUBSTITUTE(TRIM('Smart Search'!$L$6),"~","~~"),"*","~*"),"?","~?"),CA82))),OR('Smart Search'!$L$7="",AND(CB82&lt;&gt;0,CB82='Smart Search'!$L$7)),OR('Smart Search'!$L$8="",'Smart Search'!$L$8="All",TRIM(CC82)=TRIM('Smart Search'!$L$8))),IF(BA82="","",BA82+ROW()*0.0000000001),"")</f>
        <v/>
      </c>
      <c r="BI82" s="5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5">
        <f>IF(A82="","",N(INDEX(Projects[Mech Inst],81)))</f>
        <v/>
      </c>
      <c r="BK82" s="5">
        <f>IF(A82="","",N(INDEX(Projects[Elec Inst],81)))</f>
        <v/>
      </c>
      <c r="BL82" s="5">
        <f>IF(A82="","",N(INDEX(Projects[Project Management],81)))</f>
        <v/>
      </c>
      <c r="BM82" s="5">
        <f>IF(A82="","",N(INDEX(Projects[Systems Eng],81)))</f>
        <v/>
      </c>
      <c r="BN82" s="5">
        <f>IF(A82="","",N(INDEX(Projects[Mechanical Eng],81)))</f>
        <v/>
      </c>
      <c r="BO82" s="5">
        <f>IF(A82="","",N(INDEX(Projects[Structural Engineering],81)))</f>
        <v/>
      </c>
      <c r="BP82" s="5">
        <f>IF(A82="","",N(INDEX(Projects[Site Sup],81)))</f>
        <v/>
      </c>
      <c r="BQ82" s="5">
        <f>IF(A82="","",N(INDEX(Projects[Controls Commissioning],81)))</f>
        <v/>
      </c>
      <c r="BR82" s="5">
        <f>IF(A82="","",N(INDEX(Projects[Systems Commissioning],81)))</f>
        <v/>
      </c>
      <c r="BS82" s="5">
        <f>IF(A82="","",N(INDEX(Projects[Service Commissioning],81)))</f>
        <v/>
      </c>
      <c r="BT82" s="5">
        <f>IF(A82="","",N(INDEX(Projects[Controls Eng],81)))</f>
        <v/>
      </c>
      <c r="BU82" s="5">
        <f>IF(A82="","",N(INDEX(Projects[Controls Purchase],81)))</f>
        <v/>
      </c>
      <c r="BV82" s="5">
        <f>IF(A82="","",N(INDEX(Projects[Software Eng],81)))</f>
        <v/>
      </c>
      <c r="BW82" s="5">
        <f>IF(A82="","",N(INDEX(Projects[Misc],81)))</f>
        <v/>
      </c>
      <c r="BX82" s="5">
        <f>IF(A82="","",SUM(BJ82:BW82))</f>
        <v/>
      </c>
      <c r="BY82" s="5">
        <f>IF(A82="","",IFERROR(IF(ISNUMBER(U82),U82,VALUE(SUBSTITUTE(SUBSTITUTE(SUBSTITUTE(UPPER(TRIM(U82)),"M",""),",","")," ",""))),0))</f>
        <v/>
      </c>
      <c r="BZ82" s="5">
        <f>INDEX(Projects[Solution Type],81)&amp;""</f>
        <v/>
      </c>
      <c r="CA82" s="5">
        <f>INDEX(Projects[Client / Region],81)&amp;""</f>
        <v/>
      </c>
      <c r="CB82" s="5">
        <f>INDEX(Projects[Year],81)</f>
        <v/>
      </c>
      <c r="CC82" s="5">
        <f>INDEX(Projects[Won?],81)&amp;""</f>
        <v/>
      </c>
      <c r="CD82" s="5">
        <f>INDEX(Projects[Value (USD M)],81)</f>
        <v/>
      </c>
    </row>
    <row r="83" ht="15" customHeight="1" s="74">
      <c r="A83" s="66">
        <f>INDEX(Projects[Project ID *],82)&amp;""</f>
        <v/>
      </c>
      <c r="B83" s="66">
        <f>INDEX(Projects[Project Name *],82)&amp;""</f>
        <v/>
      </c>
      <c r="C83" s="66">
        <f>INDEX(Projects[MS Shuttles],82)</f>
        <v/>
      </c>
      <c r="D83" s="66">
        <f>INDEX(Projects[MS Tote Locations],82)</f>
        <v/>
      </c>
      <c r="E83" s="66">
        <f>INDEX(Projects[AS Robots],82)</f>
        <v/>
      </c>
      <c r="F83" s="66">
        <f>INDEX(Projects[AS Tote Locations],82)</f>
        <v/>
      </c>
      <c r="G83" s="66">
        <f>INDEX(Projects[PS Shuttles],82)</f>
        <v/>
      </c>
      <c r="H83" s="66">
        <f>INDEX(Projects[PS Pallet Locations],82)</f>
        <v/>
      </c>
      <c r="I83" s="66">
        <f>INDEX(Projects[SRM Cranes],82)</f>
        <v/>
      </c>
      <c r="J83" s="66">
        <f>INDEX(Projects[SRM Pallet Locations],82)</f>
        <v/>
      </c>
      <c r="K83" s="66">
        <f>INDEX(Projects[Case Conv (m)],82)</f>
        <v/>
      </c>
      <c r="L83" s="66">
        <f>INDEX(Projects[Pallet Conv (m)],82)</f>
        <v/>
      </c>
      <c r="M83" s="66">
        <f>INDEX(Projects[Mech Eng (wks)],82)</f>
        <v/>
      </c>
      <c r="N83" s="66">
        <f>INDEX(Projects[Controls Eng (wks)],82)</f>
        <v/>
      </c>
      <c r="O83" s="66">
        <f>INDEX(Projects[Systems Eng (wks)],82)</f>
        <v/>
      </c>
      <c r="P83" s="66">
        <f>INDEX(Projects[Software Eng (wks)],82)</f>
        <v/>
      </c>
      <c r="Q83" s="66">
        <f>INDEX(Projects[M&amp;E Installation (wks)],82)</f>
        <v/>
      </c>
      <c r="R83" s="66">
        <f>INDEX(Projects[Commissioning (wks)],82)</f>
        <v/>
      </c>
      <c r="S83" s="66">
        <f>INDEX(Projects[Total Timeline (wks)],82)</f>
        <v/>
      </c>
      <c r="T83" s="66">
        <f>INDEX(Projects[Currency],82)&amp;""</f>
        <v/>
      </c>
      <c r="U83" s="67">
        <f>INDEX(Projects[Value (M)],82)</f>
        <v/>
      </c>
      <c r="V83" s="66">
        <f>IF('Smart Search'!B13=1,IFERROR(1/'Smart Search'!H13,0),0)</f>
        <v/>
      </c>
      <c r="W83" s="66">
        <f>IF('Smart Search'!B13=1,IFERROR(1/'Smart Search'!H13,0),0)</f>
        <v/>
      </c>
      <c r="X83" s="66">
        <f>IF('Smart Search'!C13=1,IFERROR(1/'Smart Search'!H13,0),0)</f>
        <v/>
      </c>
      <c r="Y83" s="66">
        <f>IF('Smart Search'!C13=1,IFERROR(1/'Smart Search'!H13,0),0)</f>
        <v/>
      </c>
      <c r="Z83" s="66">
        <f>IF('Smart Search'!D13=1,IFERROR(1/'Smart Search'!H13,0),0)</f>
        <v/>
      </c>
      <c r="AA83" s="66">
        <f>IF('Smart Search'!D13=1,IFERROR(1/'Smart Search'!H13,0),0)</f>
        <v/>
      </c>
      <c r="AB83" s="66">
        <f>IF('Smart Search'!E13=1,IFERROR(1/'Smart Search'!H13,0),0)</f>
        <v/>
      </c>
      <c r="AC83" s="66">
        <f>IF('Smart Search'!E13=1,IFERROR(1/'Smart Search'!H13,0),0)</f>
        <v/>
      </c>
      <c r="AD83" s="66">
        <f>IF('Smart Search'!F13=1,IFERROR(1/'Smart Search'!H13,0),0)</f>
        <v/>
      </c>
      <c r="AE83" s="66">
        <f>IF('Smart Search'!F13=1,IFERROR(1/'Smart Search'!H13,0),0)</f>
        <v/>
      </c>
      <c r="AF83" s="66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66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66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66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66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66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66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66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66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66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66">
        <f>AF83*V83</f>
        <v/>
      </c>
      <c r="AQ83" s="66">
        <f>AG83*W83</f>
        <v/>
      </c>
      <c r="AR83" s="66">
        <f>AH83*X83</f>
        <v/>
      </c>
      <c r="AS83" s="66">
        <f>AI83*Y83</f>
        <v/>
      </c>
      <c r="AT83" s="66">
        <f>AJ83*Z83</f>
        <v/>
      </c>
      <c r="AU83" s="66">
        <f>AK83*AA83</f>
        <v/>
      </c>
      <c r="AV83" s="66">
        <f>AL83*AB83</f>
        <v/>
      </c>
      <c r="AW83" s="66">
        <f>AM83*AC83</f>
        <v/>
      </c>
      <c r="AX83" s="66">
        <f>AN83*AD83</f>
        <v/>
      </c>
      <c r="AY83" s="66">
        <f>AO83*AE83</f>
        <v/>
      </c>
      <c r="AZ83" s="66">
        <f>INDEX(Projects[Automation Equipment],82)&amp;""</f>
        <v/>
      </c>
      <c r="BA83" s="66">
        <f>IF(OR(A83="",'Smart Search'!H13=0),"",MAX(0,BE83*BF83*MAX(0,1-BG83)))</f>
        <v/>
      </c>
      <c r="BB83" s="66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66">
        <f>IF('Smart Search'!G13=1,IFERROR(1/'Smart Search'!H13,0),0)</f>
        <v/>
      </c>
      <c r="BD83" s="66">
        <f>BB83*BC83</f>
        <v/>
      </c>
      <c r="BE83" s="66">
        <f>AP83+AQ83+AR83+AS83+AT83+AU83+AV83+AW83+AX83+AY83+BD83</f>
        <v/>
      </c>
      <c r="BF83" s="5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5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5">
        <f>IF(AND(A83&lt;&gt;"",OR('Smart Search'!$L$5="",'Smart Search'!$L$5="All",TRIM(BZ83)=TRIM('Smart Search'!$L$5)),OR(TRIM('Smart Search'!$L$6)="",TRIM('Smart Search'!$L$6)="All",ISNUMBER(SEARCH(SUBSTITUTE(SUBSTITUTE(SUBSTITUTE(TRIM('Smart Search'!$L$6),"~","~~"),"*","~*"),"?","~?"),CA83))),OR('Smart Search'!$L$7="",AND(CB83&lt;&gt;0,CB83='Smart Search'!$L$7)),OR('Smart Search'!$L$8="",'Smart Search'!$L$8="All",TRIM(CC83)=TRIM('Smart Search'!$L$8))),IF(BA83="","",BA83+ROW()*0.0000000001),"")</f>
        <v/>
      </c>
      <c r="BI83" s="5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5">
        <f>IF(A83="","",N(INDEX(Projects[Mech Inst],82)))</f>
        <v/>
      </c>
      <c r="BK83" s="5">
        <f>IF(A83="","",N(INDEX(Projects[Elec Inst],82)))</f>
        <v/>
      </c>
      <c r="BL83" s="5">
        <f>IF(A83="","",N(INDEX(Projects[Project Management],82)))</f>
        <v/>
      </c>
      <c r="BM83" s="5">
        <f>IF(A83="","",N(INDEX(Projects[Systems Eng],82)))</f>
        <v/>
      </c>
      <c r="BN83" s="5">
        <f>IF(A83="","",N(INDEX(Projects[Mechanical Eng],82)))</f>
        <v/>
      </c>
      <c r="BO83" s="5">
        <f>IF(A83="","",N(INDEX(Projects[Structural Engineering],82)))</f>
        <v/>
      </c>
      <c r="BP83" s="5">
        <f>IF(A83="","",N(INDEX(Projects[Site Sup],82)))</f>
        <v/>
      </c>
      <c r="BQ83" s="5">
        <f>IF(A83="","",N(INDEX(Projects[Controls Commissioning],82)))</f>
        <v/>
      </c>
      <c r="BR83" s="5">
        <f>IF(A83="","",N(INDEX(Projects[Systems Commissioning],82)))</f>
        <v/>
      </c>
      <c r="BS83" s="5">
        <f>IF(A83="","",N(INDEX(Projects[Service Commissioning],82)))</f>
        <v/>
      </c>
      <c r="BT83" s="5">
        <f>IF(A83="","",N(INDEX(Projects[Controls Eng],82)))</f>
        <v/>
      </c>
      <c r="BU83" s="5">
        <f>IF(A83="","",N(INDEX(Projects[Controls Purchase],82)))</f>
        <v/>
      </c>
      <c r="BV83" s="5">
        <f>IF(A83="","",N(INDEX(Projects[Software Eng],82)))</f>
        <v/>
      </c>
      <c r="BW83" s="5">
        <f>IF(A83="","",N(INDEX(Projects[Misc],82)))</f>
        <v/>
      </c>
      <c r="BX83" s="5">
        <f>IF(A83="","",SUM(BJ83:BW83))</f>
        <v/>
      </c>
      <c r="BY83" s="5">
        <f>IF(A83="","",IFERROR(IF(ISNUMBER(U83),U83,VALUE(SUBSTITUTE(SUBSTITUTE(SUBSTITUTE(UPPER(TRIM(U83)),"M",""),",","")," ",""))),0))</f>
        <v/>
      </c>
      <c r="BZ83" s="5">
        <f>INDEX(Projects[Solution Type],82)&amp;""</f>
        <v/>
      </c>
      <c r="CA83" s="5">
        <f>INDEX(Projects[Client / Region],82)&amp;""</f>
        <v/>
      </c>
      <c r="CB83" s="5">
        <f>INDEX(Projects[Year],82)</f>
        <v/>
      </c>
      <c r="CC83" s="5">
        <f>INDEX(Projects[Won?],82)&amp;""</f>
        <v/>
      </c>
      <c r="CD83" s="5">
        <f>INDEX(Projects[Value (USD M)],82)</f>
        <v/>
      </c>
    </row>
    <row r="84" ht="15" customHeight="1" s="74">
      <c r="A84" s="66">
        <f>INDEX(Projects[Project ID *],83)&amp;""</f>
        <v/>
      </c>
      <c r="B84" s="66">
        <f>INDEX(Projects[Project Name *],83)&amp;""</f>
        <v/>
      </c>
      <c r="C84" s="66">
        <f>INDEX(Projects[MS Shuttles],83)</f>
        <v/>
      </c>
      <c r="D84" s="66">
        <f>INDEX(Projects[MS Tote Locations],83)</f>
        <v/>
      </c>
      <c r="E84" s="66">
        <f>INDEX(Projects[AS Robots],83)</f>
        <v/>
      </c>
      <c r="F84" s="66">
        <f>INDEX(Projects[AS Tote Locations],83)</f>
        <v/>
      </c>
      <c r="G84" s="66">
        <f>INDEX(Projects[PS Shuttles],83)</f>
        <v/>
      </c>
      <c r="H84" s="66">
        <f>INDEX(Projects[PS Pallet Locations],83)</f>
        <v/>
      </c>
      <c r="I84" s="66">
        <f>INDEX(Projects[SRM Cranes],83)</f>
        <v/>
      </c>
      <c r="J84" s="66">
        <f>INDEX(Projects[SRM Pallet Locations],83)</f>
        <v/>
      </c>
      <c r="K84" s="66">
        <f>INDEX(Projects[Case Conv (m)],83)</f>
        <v/>
      </c>
      <c r="L84" s="66">
        <f>INDEX(Projects[Pallet Conv (m)],83)</f>
        <v/>
      </c>
      <c r="M84" s="66">
        <f>INDEX(Projects[Mech Eng (wks)],83)</f>
        <v/>
      </c>
      <c r="N84" s="66">
        <f>INDEX(Projects[Controls Eng (wks)],83)</f>
        <v/>
      </c>
      <c r="O84" s="66">
        <f>INDEX(Projects[Systems Eng (wks)],83)</f>
        <v/>
      </c>
      <c r="P84" s="66">
        <f>INDEX(Projects[Software Eng (wks)],83)</f>
        <v/>
      </c>
      <c r="Q84" s="66">
        <f>INDEX(Projects[M&amp;E Installation (wks)],83)</f>
        <v/>
      </c>
      <c r="R84" s="66">
        <f>INDEX(Projects[Commissioning (wks)],83)</f>
        <v/>
      </c>
      <c r="S84" s="66">
        <f>INDEX(Projects[Total Timeline (wks)],83)</f>
        <v/>
      </c>
      <c r="T84" s="66">
        <f>INDEX(Projects[Currency],83)&amp;""</f>
        <v/>
      </c>
      <c r="U84" s="67">
        <f>INDEX(Projects[Value (M)],83)</f>
        <v/>
      </c>
      <c r="V84" s="66">
        <f>IF('Smart Search'!B13=1,IFERROR(1/'Smart Search'!H13,0),0)</f>
        <v/>
      </c>
      <c r="W84" s="66">
        <f>IF('Smart Search'!B13=1,IFERROR(1/'Smart Search'!H13,0),0)</f>
        <v/>
      </c>
      <c r="X84" s="66">
        <f>IF('Smart Search'!C13=1,IFERROR(1/'Smart Search'!H13,0),0)</f>
        <v/>
      </c>
      <c r="Y84" s="66">
        <f>IF('Smart Search'!C13=1,IFERROR(1/'Smart Search'!H13,0),0)</f>
        <v/>
      </c>
      <c r="Z84" s="66">
        <f>IF('Smart Search'!D13=1,IFERROR(1/'Smart Search'!H13,0),0)</f>
        <v/>
      </c>
      <c r="AA84" s="66">
        <f>IF('Smart Search'!D13=1,IFERROR(1/'Smart Search'!H13,0),0)</f>
        <v/>
      </c>
      <c r="AB84" s="66">
        <f>IF('Smart Search'!E13=1,IFERROR(1/'Smart Search'!H13,0),0)</f>
        <v/>
      </c>
      <c r="AC84" s="66">
        <f>IF('Smart Search'!E13=1,IFERROR(1/'Smart Search'!H13,0),0)</f>
        <v/>
      </c>
      <c r="AD84" s="66">
        <f>IF('Smart Search'!F13=1,IFERROR(1/'Smart Search'!H13,0),0)</f>
        <v/>
      </c>
      <c r="AE84" s="66">
        <f>IF('Smart Search'!F13=1,IFERROR(1/'Smart Search'!H13,0),0)</f>
        <v/>
      </c>
      <c r="AF84" s="66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66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66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66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66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66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66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66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66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66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66">
        <f>AF84*V84</f>
        <v/>
      </c>
      <c r="AQ84" s="66">
        <f>AG84*W84</f>
        <v/>
      </c>
      <c r="AR84" s="66">
        <f>AH84*X84</f>
        <v/>
      </c>
      <c r="AS84" s="66">
        <f>AI84*Y84</f>
        <v/>
      </c>
      <c r="AT84" s="66">
        <f>AJ84*Z84</f>
        <v/>
      </c>
      <c r="AU84" s="66">
        <f>AK84*AA84</f>
        <v/>
      </c>
      <c r="AV84" s="66">
        <f>AL84*AB84</f>
        <v/>
      </c>
      <c r="AW84" s="66">
        <f>AM84*AC84</f>
        <v/>
      </c>
      <c r="AX84" s="66">
        <f>AN84*AD84</f>
        <v/>
      </c>
      <c r="AY84" s="66">
        <f>AO84*AE84</f>
        <v/>
      </c>
      <c r="AZ84" s="66">
        <f>INDEX(Projects[Automation Equipment],83)&amp;""</f>
        <v/>
      </c>
      <c r="BA84" s="66">
        <f>IF(OR(A84="",'Smart Search'!H13=0),"",MAX(0,BE84*BF84*MAX(0,1-BG84)))</f>
        <v/>
      </c>
      <c r="BB84" s="66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66">
        <f>IF('Smart Search'!G13=1,IFERROR(1/'Smart Search'!H13,0),0)</f>
        <v/>
      </c>
      <c r="BD84" s="66">
        <f>BB84*BC84</f>
        <v/>
      </c>
      <c r="BE84" s="66">
        <f>AP84+AQ84+AR84+AS84+AT84+AU84+AV84+AW84+AX84+AY84+BD84</f>
        <v/>
      </c>
      <c r="BF84" s="5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5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5">
        <f>IF(AND(A84&lt;&gt;"",OR('Smart Search'!$L$5="",'Smart Search'!$L$5="All",TRIM(BZ84)=TRIM('Smart Search'!$L$5)),OR(TRIM('Smart Search'!$L$6)="",TRIM('Smart Search'!$L$6)="All",ISNUMBER(SEARCH(SUBSTITUTE(SUBSTITUTE(SUBSTITUTE(TRIM('Smart Search'!$L$6),"~","~~"),"*","~*"),"?","~?"),CA84))),OR('Smart Search'!$L$7="",AND(CB84&lt;&gt;0,CB84='Smart Search'!$L$7)),OR('Smart Search'!$L$8="",'Smart Search'!$L$8="All",TRIM(CC84)=TRIM('Smart Search'!$L$8))),IF(BA84="","",BA84+ROW()*0.0000000001),"")</f>
        <v/>
      </c>
      <c r="BI84" s="5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5">
        <f>IF(A84="","",N(INDEX(Projects[Mech Inst],83)))</f>
        <v/>
      </c>
      <c r="BK84" s="5">
        <f>IF(A84="","",N(INDEX(Projects[Elec Inst],83)))</f>
        <v/>
      </c>
      <c r="BL84" s="5">
        <f>IF(A84="","",N(INDEX(Projects[Project Management],83)))</f>
        <v/>
      </c>
      <c r="BM84" s="5">
        <f>IF(A84="","",N(INDEX(Projects[Systems Eng],83)))</f>
        <v/>
      </c>
      <c r="BN84" s="5">
        <f>IF(A84="","",N(INDEX(Projects[Mechanical Eng],83)))</f>
        <v/>
      </c>
      <c r="BO84" s="5">
        <f>IF(A84="","",N(INDEX(Projects[Structural Engineering],83)))</f>
        <v/>
      </c>
      <c r="BP84" s="5">
        <f>IF(A84="","",N(INDEX(Projects[Site Sup],83)))</f>
        <v/>
      </c>
      <c r="BQ84" s="5">
        <f>IF(A84="","",N(INDEX(Projects[Controls Commissioning],83)))</f>
        <v/>
      </c>
      <c r="BR84" s="5">
        <f>IF(A84="","",N(INDEX(Projects[Systems Commissioning],83)))</f>
        <v/>
      </c>
      <c r="BS84" s="5">
        <f>IF(A84="","",N(INDEX(Projects[Service Commissioning],83)))</f>
        <v/>
      </c>
      <c r="BT84" s="5">
        <f>IF(A84="","",N(INDEX(Projects[Controls Eng],83)))</f>
        <v/>
      </c>
      <c r="BU84" s="5">
        <f>IF(A84="","",N(INDEX(Projects[Controls Purchase],83)))</f>
        <v/>
      </c>
      <c r="BV84" s="5">
        <f>IF(A84="","",N(INDEX(Projects[Software Eng],83)))</f>
        <v/>
      </c>
      <c r="BW84" s="5">
        <f>IF(A84="","",N(INDEX(Projects[Misc],83)))</f>
        <v/>
      </c>
      <c r="BX84" s="5">
        <f>IF(A84="","",SUM(BJ84:BW84))</f>
        <v/>
      </c>
      <c r="BY84" s="5">
        <f>IF(A84="","",IFERROR(IF(ISNUMBER(U84),U84,VALUE(SUBSTITUTE(SUBSTITUTE(SUBSTITUTE(UPPER(TRIM(U84)),"M",""),",","")," ",""))),0))</f>
        <v/>
      </c>
      <c r="BZ84" s="5">
        <f>INDEX(Projects[Solution Type],83)&amp;""</f>
        <v/>
      </c>
      <c r="CA84" s="5">
        <f>INDEX(Projects[Client / Region],83)&amp;""</f>
        <v/>
      </c>
      <c r="CB84" s="5">
        <f>INDEX(Projects[Year],83)</f>
        <v/>
      </c>
      <c r="CC84" s="5">
        <f>INDEX(Projects[Won?],83)&amp;""</f>
        <v/>
      </c>
      <c r="CD84" s="5">
        <f>INDEX(Projects[Value (USD M)],83)</f>
        <v/>
      </c>
    </row>
    <row r="85" ht="15" customHeight="1" s="74">
      <c r="A85" s="66">
        <f>INDEX(Projects[Project ID *],84)&amp;""</f>
        <v/>
      </c>
      <c r="B85" s="66">
        <f>INDEX(Projects[Project Name *],84)&amp;""</f>
        <v/>
      </c>
      <c r="C85" s="66">
        <f>INDEX(Projects[MS Shuttles],84)</f>
        <v/>
      </c>
      <c r="D85" s="66">
        <f>INDEX(Projects[MS Tote Locations],84)</f>
        <v/>
      </c>
      <c r="E85" s="66">
        <f>INDEX(Projects[AS Robots],84)</f>
        <v/>
      </c>
      <c r="F85" s="66">
        <f>INDEX(Projects[AS Tote Locations],84)</f>
        <v/>
      </c>
      <c r="G85" s="66">
        <f>INDEX(Projects[PS Shuttles],84)</f>
        <v/>
      </c>
      <c r="H85" s="66">
        <f>INDEX(Projects[PS Pallet Locations],84)</f>
        <v/>
      </c>
      <c r="I85" s="66">
        <f>INDEX(Projects[SRM Cranes],84)</f>
        <v/>
      </c>
      <c r="J85" s="66">
        <f>INDEX(Projects[SRM Pallet Locations],84)</f>
        <v/>
      </c>
      <c r="K85" s="66">
        <f>INDEX(Projects[Case Conv (m)],84)</f>
        <v/>
      </c>
      <c r="L85" s="66">
        <f>INDEX(Projects[Pallet Conv (m)],84)</f>
        <v/>
      </c>
      <c r="M85" s="66">
        <f>INDEX(Projects[Mech Eng (wks)],84)</f>
        <v/>
      </c>
      <c r="N85" s="66">
        <f>INDEX(Projects[Controls Eng (wks)],84)</f>
        <v/>
      </c>
      <c r="O85" s="66">
        <f>INDEX(Projects[Systems Eng (wks)],84)</f>
        <v/>
      </c>
      <c r="P85" s="66">
        <f>INDEX(Projects[Software Eng (wks)],84)</f>
        <v/>
      </c>
      <c r="Q85" s="66">
        <f>INDEX(Projects[M&amp;E Installation (wks)],84)</f>
        <v/>
      </c>
      <c r="R85" s="66">
        <f>INDEX(Projects[Commissioning (wks)],84)</f>
        <v/>
      </c>
      <c r="S85" s="66">
        <f>INDEX(Projects[Total Timeline (wks)],84)</f>
        <v/>
      </c>
      <c r="T85" s="66">
        <f>INDEX(Projects[Currency],84)&amp;""</f>
        <v/>
      </c>
      <c r="U85" s="67">
        <f>INDEX(Projects[Value (M)],84)</f>
        <v/>
      </c>
      <c r="V85" s="66">
        <f>IF('Smart Search'!B13=1,IFERROR(1/'Smart Search'!H13,0),0)</f>
        <v/>
      </c>
      <c r="W85" s="66">
        <f>IF('Smart Search'!B13=1,IFERROR(1/'Smart Search'!H13,0),0)</f>
        <v/>
      </c>
      <c r="X85" s="66">
        <f>IF('Smart Search'!C13=1,IFERROR(1/'Smart Search'!H13,0),0)</f>
        <v/>
      </c>
      <c r="Y85" s="66">
        <f>IF('Smart Search'!C13=1,IFERROR(1/'Smart Search'!H13,0),0)</f>
        <v/>
      </c>
      <c r="Z85" s="66">
        <f>IF('Smart Search'!D13=1,IFERROR(1/'Smart Search'!H13,0),0)</f>
        <v/>
      </c>
      <c r="AA85" s="66">
        <f>IF('Smart Search'!D13=1,IFERROR(1/'Smart Search'!H13,0),0)</f>
        <v/>
      </c>
      <c r="AB85" s="66">
        <f>IF('Smart Search'!E13=1,IFERROR(1/'Smart Search'!H13,0),0)</f>
        <v/>
      </c>
      <c r="AC85" s="66">
        <f>IF('Smart Search'!E13=1,IFERROR(1/'Smart Search'!H13,0),0)</f>
        <v/>
      </c>
      <c r="AD85" s="66">
        <f>IF('Smart Search'!F13=1,IFERROR(1/'Smart Search'!H13,0),0)</f>
        <v/>
      </c>
      <c r="AE85" s="66">
        <f>IF('Smart Search'!F13=1,IFERROR(1/'Smart Search'!H13,0),0)</f>
        <v/>
      </c>
      <c r="AF85" s="66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66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66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66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66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66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66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66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66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66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66">
        <f>AF85*V85</f>
        <v/>
      </c>
      <c r="AQ85" s="66">
        <f>AG85*W85</f>
        <v/>
      </c>
      <c r="AR85" s="66">
        <f>AH85*X85</f>
        <v/>
      </c>
      <c r="AS85" s="66">
        <f>AI85*Y85</f>
        <v/>
      </c>
      <c r="AT85" s="66">
        <f>AJ85*Z85</f>
        <v/>
      </c>
      <c r="AU85" s="66">
        <f>AK85*AA85</f>
        <v/>
      </c>
      <c r="AV85" s="66">
        <f>AL85*AB85</f>
        <v/>
      </c>
      <c r="AW85" s="66">
        <f>AM85*AC85</f>
        <v/>
      </c>
      <c r="AX85" s="66">
        <f>AN85*AD85</f>
        <v/>
      </c>
      <c r="AY85" s="66">
        <f>AO85*AE85</f>
        <v/>
      </c>
      <c r="AZ85" s="66">
        <f>INDEX(Projects[Automation Equipment],84)&amp;""</f>
        <v/>
      </c>
      <c r="BA85" s="66">
        <f>IF(OR(A85="",'Smart Search'!H13=0),"",MAX(0,BE85*BF85*MAX(0,1-BG85)))</f>
        <v/>
      </c>
      <c r="BB85" s="66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66">
        <f>IF('Smart Search'!G13=1,IFERROR(1/'Smart Search'!H13,0),0)</f>
        <v/>
      </c>
      <c r="BD85" s="66">
        <f>BB85*BC85</f>
        <v/>
      </c>
      <c r="BE85" s="66">
        <f>AP85+AQ85+AR85+AS85+AT85+AU85+AV85+AW85+AX85+AY85+BD85</f>
        <v/>
      </c>
      <c r="BF85" s="5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5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5">
        <f>IF(AND(A85&lt;&gt;"",OR('Smart Search'!$L$5="",'Smart Search'!$L$5="All",TRIM(BZ85)=TRIM('Smart Search'!$L$5)),OR(TRIM('Smart Search'!$L$6)="",TRIM('Smart Search'!$L$6)="All",ISNUMBER(SEARCH(SUBSTITUTE(SUBSTITUTE(SUBSTITUTE(TRIM('Smart Search'!$L$6),"~","~~"),"*","~*"),"?","~?"),CA85))),OR('Smart Search'!$L$7="",AND(CB85&lt;&gt;0,CB85='Smart Search'!$L$7)),OR('Smart Search'!$L$8="",'Smart Search'!$L$8="All",TRIM(CC85)=TRIM('Smart Search'!$L$8))),IF(BA85="","",BA85+ROW()*0.0000000001),"")</f>
        <v/>
      </c>
      <c r="BI85" s="5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5">
        <f>IF(A85="","",N(INDEX(Projects[Mech Inst],84)))</f>
        <v/>
      </c>
      <c r="BK85" s="5">
        <f>IF(A85="","",N(INDEX(Projects[Elec Inst],84)))</f>
        <v/>
      </c>
      <c r="BL85" s="5">
        <f>IF(A85="","",N(INDEX(Projects[Project Management],84)))</f>
        <v/>
      </c>
      <c r="BM85" s="5">
        <f>IF(A85="","",N(INDEX(Projects[Systems Eng],84)))</f>
        <v/>
      </c>
      <c r="BN85" s="5">
        <f>IF(A85="","",N(INDEX(Projects[Mechanical Eng],84)))</f>
        <v/>
      </c>
      <c r="BO85" s="5">
        <f>IF(A85="","",N(INDEX(Projects[Structural Engineering],84)))</f>
        <v/>
      </c>
      <c r="BP85" s="5">
        <f>IF(A85="","",N(INDEX(Projects[Site Sup],84)))</f>
        <v/>
      </c>
      <c r="BQ85" s="5">
        <f>IF(A85="","",N(INDEX(Projects[Controls Commissioning],84)))</f>
        <v/>
      </c>
      <c r="BR85" s="5">
        <f>IF(A85="","",N(INDEX(Projects[Systems Commissioning],84)))</f>
        <v/>
      </c>
      <c r="BS85" s="5">
        <f>IF(A85="","",N(INDEX(Projects[Service Commissioning],84)))</f>
        <v/>
      </c>
      <c r="BT85" s="5">
        <f>IF(A85="","",N(INDEX(Projects[Controls Eng],84)))</f>
        <v/>
      </c>
      <c r="BU85" s="5">
        <f>IF(A85="","",N(INDEX(Projects[Controls Purchase],84)))</f>
        <v/>
      </c>
      <c r="BV85" s="5">
        <f>IF(A85="","",N(INDEX(Projects[Software Eng],84)))</f>
        <v/>
      </c>
      <c r="BW85" s="5">
        <f>IF(A85="","",N(INDEX(Projects[Misc],84)))</f>
        <v/>
      </c>
      <c r="BX85" s="5">
        <f>IF(A85="","",SUM(BJ85:BW85))</f>
        <v/>
      </c>
      <c r="BY85" s="5">
        <f>IF(A85="","",IFERROR(IF(ISNUMBER(U85),U85,VALUE(SUBSTITUTE(SUBSTITUTE(SUBSTITUTE(UPPER(TRIM(U85)),"M",""),",","")," ",""))),0))</f>
        <v/>
      </c>
      <c r="BZ85" s="5">
        <f>INDEX(Projects[Solution Type],84)&amp;""</f>
        <v/>
      </c>
      <c r="CA85" s="5">
        <f>INDEX(Projects[Client / Region],84)&amp;""</f>
        <v/>
      </c>
      <c r="CB85" s="5">
        <f>INDEX(Projects[Year],84)</f>
        <v/>
      </c>
      <c r="CC85" s="5">
        <f>INDEX(Projects[Won?],84)&amp;""</f>
        <v/>
      </c>
      <c r="CD85" s="5">
        <f>INDEX(Projects[Value (USD M)],84)</f>
        <v/>
      </c>
    </row>
    <row r="86" ht="15" customHeight="1" s="74">
      <c r="A86" s="66">
        <f>INDEX(Projects[Project ID *],85)&amp;""</f>
        <v/>
      </c>
      <c r="B86" s="66">
        <f>INDEX(Projects[Project Name *],85)&amp;""</f>
        <v/>
      </c>
      <c r="C86" s="66">
        <f>INDEX(Projects[MS Shuttles],85)</f>
        <v/>
      </c>
      <c r="D86" s="66">
        <f>INDEX(Projects[MS Tote Locations],85)</f>
        <v/>
      </c>
      <c r="E86" s="66">
        <f>INDEX(Projects[AS Robots],85)</f>
        <v/>
      </c>
      <c r="F86" s="66">
        <f>INDEX(Projects[AS Tote Locations],85)</f>
        <v/>
      </c>
      <c r="G86" s="66">
        <f>INDEX(Projects[PS Shuttles],85)</f>
        <v/>
      </c>
      <c r="H86" s="66">
        <f>INDEX(Projects[PS Pallet Locations],85)</f>
        <v/>
      </c>
      <c r="I86" s="66">
        <f>INDEX(Projects[SRM Cranes],85)</f>
        <v/>
      </c>
      <c r="J86" s="66">
        <f>INDEX(Projects[SRM Pallet Locations],85)</f>
        <v/>
      </c>
      <c r="K86" s="66">
        <f>INDEX(Projects[Case Conv (m)],85)</f>
        <v/>
      </c>
      <c r="L86" s="66">
        <f>INDEX(Projects[Pallet Conv (m)],85)</f>
        <v/>
      </c>
      <c r="M86" s="66">
        <f>INDEX(Projects[Mech Eng (wks)],85)</f>
        <v/>
      </c>
      <c r="N86" s="66">
        <f>INDEX(Projects[Controls Eng (wks)],85)</f>
        <v/>
      </c>
      <c r="O86" s="66">
        <f>INDEX(Projects[Systems Eng (wks)],85)</f>
        <v/>
      </c>
      <c r="P86" s="66">
        <f>INDEX(Projects[Software Eng (wks)],85)</f>
        <v/>
      </c>
      <c r="Q86" s="66">
        <f>INDEX(Projects[M&amp;E Installation (wks)],85)</f>
        <v/>
      </c>
      <c r="R86" s="66">
        <f>INDEX(Projects[Commissioning (wks)],85)</f>
        <v/>
      </c>
      <c r="S86" s="66">
        <f>INDEX(Projects[Total Timeline (wks)],85)</f>
        <v/>
      </c>
      <c r="T86" s="66">
        <f>INDEX(Projects[Currency],85)&amp;""</f>
        <v/>
      </c>
      <c r="U86" s="67">
        <f>INDEX(Projects[Value (M)],85)</f>
        <v/>
      </c>
      <c r="V86" s="66">
        <f>IF('Smart Search'!B13=1,IFERROR(1/'Smart Search'!H13,0),0)</f>
        <v/>
      </c>
      <c r="W86" s="66">
        <f>IF('Smart Search'!B13=1,IFERROR(1/'Smart Search'!H13,0),0)</f>
        <v/>
      </c>
      <c r="X86" s="66">
        <f>IF('Smart Search'!C13=1,IFERROR(1/'Smart Search'!H13,0),0)</f>
        <v/>
      </c>
      <c r="Y86" s="66">
        <f>IF('Smart Search'!C13=1,IFERROR(1/'Smart Search'!H13,0),0)</f>
        <v/>
      </c>
      <c r="Z86" s="66">
        <f>IF('Smart Search'!D13=1,IFERROR(1/'Smart Search'!H13,0),0)</f>
        <v/>
      </c>
      <c r="AA86" s="66">
        <f>IF('Smart Search'!D13=1,IFERROR(1/'Smart Search'!H13,0),0)</f>
        <v/>
      </c>
      <c r="AB86" s="66">
        <f>IF('Smart Search'!E13=1,IFERROR(1/'Smart Search'!H13,0),0)</f>
        <v/>
      </c>
      <c r="AC86" s="66">
        <f>IF('Smart Search'!E13=1,IFERROR(1/'Smart Search'!H13,0),0)</f>
        <v/>
      </c>
      <c r="AD86" s="66">
        <f>IF('Smart Search'!F13=1,IFERROR(1/'Smart Search'!H13,0),0)</f>
        <v/>
      </c>
      <c r="AE86" s="66">
        <f>IF('Smart Search'!F13=1,IFERROR(1/'Smart Search'!H13,0),0)</f>
        <v/>
      </c>
      <c r="AF86" s="66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66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66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66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66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66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66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66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66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66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66">
        <f>AF86*V86</f>
        <v/>
      </c>
      <c r="AQ86" s="66">
        <f>AG86*W86</f>
        <v/>
      </c>
      <c r="AR86" s="66">
        <f>AH86*X86</f>
        <v/>
      </c>
      <c r="AS86" s="66">
        <f>AI86*Y86</f>
        <v/>
      </c>
      <c r="AT86" s="66">
        <f>AJ86*Z86</f>
        <v/>
      </c>
      <c r="AU86" s="66">
        <f>AK86*AA86</f>
        <v/>
      </c>
      <c r="AV86" s="66">
        <f>AL86*AB86</f>
        <v/>
      </c>
      <c r="AW86" s="66">
        <f>AM86*AC86</f>
        <v/>
      </c>
      <c r="AX86" s="66">
        <f>AN86*AD86</f>
        <v/>
      </c>
      <c r="AY86" s="66">
        <f>AO86*AE86</f>
        <v/>
      </c>
      <c r="AZ86" s="66">
        <f>INDEX(Projects[Automation Equipment],85)&amp;""</f>
        <v/>
      </c>
      <c r="BA86" s="66">
        <f>IF(OR(A86="",'Smart Search'!H13=0),"",MAX(0,BE86*BF86*MAX(0,1-BG86)))</f>
        <v/>
      </c>
      <c r="BB86" s="66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66">
        <f>IF('Smart Search'!G13=1,IFERROR(1/'Smart Search'!H13,0),0)</f>
        <v/>
      </c>
      <c r="BD86" s="66">
        <f>BB86*BC86</f>
        <v/>
      </c>
      <c r="BE86" s="66">
        <f>AP86+AQ86+AR86+AS86+AT86+AU86+AV86+AW86+AX86+AY86+BD86</f>
        <v/>
      </c>
      <c r="BF86" s="5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5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5">
        <f>IF(AND(A86&lt;&gt;"",OR('Smart Search'!$L$5="",'Smart Search'!$L$5="All",TRIM(BZ86)=TRIM('Smart Search'!$L$5)),OR(TRIM('Smart Search'!$L$6)="",TRIM('Smart Search'!$L$6)="All",ISNUMBER(SEARCH(SUBSTITUTE(SUBSTITUTE(SUBSTITUTE(TRIM('Smart Search'!$L$6),"~","~~"),"*","~*"),"?","~?"),CA86))),OR('Smart Search'!$L$7="",AND(CB86&lt;&gt;0,CB86='Smart Search'!$L$7)),OR('Smart Search'!$L$8="",'Smart Search'!$L$8="All",TRIM(CC86)=TRIM('Smart Search'!$L$8))),IF(BA86="","",BA86+ROW()*0.0000000001),"")</f>
        <v/>
      </c>
      <c r="BI86" s="5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5">
        <f>IF(A86="","",N(INDEX(Projects[Mech Inst],85)))</f>
        <v/>
      </c>
      <c r="BK86" s="5">
        <f>IF(A86="","",N(INDEX(Projects[Elec Inst],85)))</f>
        <v/>
      </c>
      <c r="BL86" s="5">
        <f>IF(A86="","",N(INDEX(Projects[Project Management],85)))</f>
        <v/>
      </c>
      <c r="BM86" s="5">
        <f>IF(A86="","",N(INDEX(Projects[Systems Eng],85)))</f>
        <v/>
      </c>
      <c r="BN86" s="5">
        <f>IF(A86="","",N(INDEX(Projects[Mechanical Eng],85)))</f>
        <v/>
      </c>
      <c r="BO86" s="5">
        <f>IF(A86="","",N(INDEX(Projects[Structural Engineering],85)))</f>
        <v/>
      </c>
      <c r="BP86" s="5">
        <f>IF(A86="","",N(INDEX(Projects[Site Sup],85)))</f>
        <v/>
      </c>
      <c r="BQ86" s="5">
        <f>IF(A86="","",N(INDEX(Projects[Controls Commissioning],85)))</f>
        <v/>
      </c>
      <c r="BR86" s="5">
        <f>IF(A86="","",N(INDEX(Projects[Systems Commissioning],85)))</f>
        <v/>
      </c>
      <c r="BS86" s="5">
        <f>IF(A86="","",N(INDEX(Projects[Service Commissioning],85)))</f>
        <v/>
      </c>
      <c r="BT86" s="5">
        <f>IF(A86="","",N(INDEX(Projects[Controls Eng],85)))</f>
        <v/>
      </c>
      <c r="BU86" s="5">
        <f>IF(A86="","",N(INDEX(Projects[Controls Purchase],85)))</f>
        <v/>
      </c>
      <c r="BV86" s="5">
        <f>IF(A86="","",N(INDEX(Projects[Software Eng],85)))</f>
        <v/>
      </c>
      <c r="BW86" s="5">
        <f>IF(A86="","",N(INDEX(Projects[Misc],85)))</f>
        <v/>
      </c>
      <c r="BX86" s="5">
        <f>IF(A86="","",SUM(BJ86:BW86))</f>
        <v/>
      </c>
      <c r="BY86" s="5">
        <f>IF(A86="","",IFERROR(IF(ISNUMBER(U86),U86,VALUE(SUBSTITUTE(SUBSTITUTE(SUBSTITUTE(UPPER(TRIM(U86)),"M",""),",","")," ",""))),0))</f>
        <v/>
      </c>
      <c r="BZ86" s="5">
        <f>INDEX(Projects[Solution Type],85)&amp;""</f>
        <v/>
      </c>
      <c r="CA86" s="5">
        <f>INDEX(Projects[Client / Region],85)&amp;""</f>
        <v/>
      </c>
      <c r="CB86" s="5">
        <f>INDEX(Projects[Year],85)</f>
        <v/>
      </c>
      <c r="CC86" s="5">
        <f>INDEX(Projects[Won?],85)&amp;""</f>
        <v/>
      </c>
      <c r="CD86" s="5">
        <f>INDEX(Projects[Value (USD M)],85)</f>
        <v/>
      </c>
    </row>
    <row r="87" ht="15" customHeight="1" s="74">
      <c r="A87" s="66">
        <f>INDEX(Projects[Project ID *],86)&amp;""</f>
        <v/>
      </c>
      <c r="B87" s="66">
        <f>INDEX(Projects[Project Name *],86)&amp;""</f>
        <v/>
      </c>
      <c r="C87" s="66">
        <f>INDEX(Projects[MS Shuttles],86)</f>
        <v/>
      </c>
      <c r="D87" s="66">
        <f>INDEX(Projects[MS Tote Locations],86)</f>
        <v/>
      </c>
      <c r="E87" s="66">
        <f>INDEX(Projects[AS Robots],86)</f>
        <v/>
      </c>
      <c r="F87" s="66">
        <f>INDEX(Projects[AS Tote Locations],86)</f>
        <v/>
      </c>
      <c r="G87" s="66">
        <f>INDEX(Projects[PS Shuttles],86)</f>
        <v/>
      </c>
      <c r="H87" s="66">
        <f>INDEX(Projects[PS Pallet Locations],86)</f>
        <v/>
      </c>
      <c r="I87" s="66">
        <f>INDEX(Projects[SRM Cranes],86)</f>
        <v/>
      </c>
      <c r="J87" s="66">
        <f>INDEX(Projects[SRM Pallet Locations],86)</f>
        <v/>
      </c>
      <c r="K87" s="66">
        <f>INDEX(Projects[Case Conv (m)],86)</f>
        <v/>
      </c>
      <c r="L87" s="66">
        <f>INDEX(Projects[Pallet Conv (m)],86)</f>
        <v/>
      </c>
      <c r="M87" s="66">
        <f>INDEX(Projects[Mech Eng (wks)],86)</f>
        <v/>
      </c>
      <c r="N87" s="66">
        <f>INDEX(Projects[Controls Eng (wks)],86)</f>
        <v/>
      </c>
      <c r="O87" s="66">
        <f>INDEX(Projects[Systems Eng (wks)],86)</f>
        <v/>
      </c>
      <c r="P87" s="66">
        <f>INDEX(Projects[Software Eng (wks)],86)</f>
        <v/>
      </c>
      <c r="Q87" s="66">
        <f>INDEX(Projects[M&amp;E Installation (wks)],86)</f>
        <v/>
      </c>
      <c r="R87" s="66">
        <f>INDEX(Projects[Commissioning (wks)],86)</f>
        <v/>
      </c>
      <c r="S87" s="66">
        <f>INDEX(Projects[Total Timeline (wks)],86)</f>
        <v/>
      </c>
      <c r="T87" s="66">
        <f>INDEX(Projects[Currency],86)&amp;""</f>
        <v/>
      </c>
      <c r="U87" s="67">
        <f>INDEX(Projects[Value (M)],86)</f>
        <v/>
      </c>
      <c r="V87" s="66">
        <f>IF('Smart Search'!B13=1,IFERROR(1/'Smart Search'!H13,0),0)</f>
        <v/>
      </c>
      <c r="W87" s="66">
        <f>IF('Smart Search'!B13=1,IFERROR(1/'Smart Search'!H13,0),0)</f>
        <v/>
      </c>
      <c r="X87" s="66">
        <f>IF('Smart Search'!C13=1,IFERROR(1/'Smart Search'!H13,0),0)</f>
        <v/>
      </c>
      <c r="Y87" s="66">
        <f>IF('Smart Search'!C13=1,IFERROR(1/'Smart Search'!H13,0),0)</f>
        <v/>
      </c>
      <c r="Z87" s="66">
        <f>IF('Smart Search'!D13=1,IFERROR(1/'Smart Search'!H13,0),0)</f>
        <v/>
      </c>
      <c r="AA87" s="66">
        <f>IF('Smart Search'!D13=1,IFERROR(1/'Smart Search'!H13,0),0)</f>
        <v/>
      </c>
      <c r="AB87" s="66">
        <f>IF('Smart Search'!E13=1,IFERROR(1/'Smart Search'!H13,0),0)</f>
        <v/>
      </c>
      <c r="AC87" s="66">
        <f>IF('Smart Search'!E13=1,IFERROR(1/'Smart Search'!H13,0),0)</f>
        <v/>
      </c>
      <c r="AD87" s="66">
        <f>IF('Smart Search'!F13=1,IFERROR(1/'Smart Search'!H13,0),0)</f>
        <v/>
      </c>
      <c r="AE87" s="66">
        <f>IF('Smart Search'!F13=1,IFERROR(1/'Smart Search'!H13,0),0)</f>
        <v/>
      </c>
      <c r="AF87" s="66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66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66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66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66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66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66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66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66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66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66">
        <f>AF87*V87</f>
        <v/>
      </c>
      <c r="AQ87" s="66">
        <f>AG87*W87</f>
        <v/>
      </c>
      <c r="AR87" s="66">
        <f>AH87*X87</f>
        <v/>
      </c>
      <c r="AS87" s="66">
        <f>AI87*Y87</f>
        <v/>
      </c>
      <c r="AT87" s="66">
        <f>AJ87*Z87</f>
        <v/>
      </c>
      <c r="AU87" s="66">
        <f>AK87*AA87</f>
        <v/>
      </c>
      <c r="AV87" s="66">
        <f>AL87*AB87</f>
        <v/>
      </c>
      <c r="AW87" s="66">
        <f>AM87*AC87</f>
        <v/>
      </c>
      <c r="AX87" s="66">
        <f>AN87*AD87</f>
        <v/>
      </c>
      <c r="AY87" s="66">
        <f>AO87*AE87</f>
        <v/>
      </c>
      <c r="AZ87" s="66">
        <f>INDEX(Projects[Automation Equipment],86)&amp;""</f>
        <v/>
      </c>
      <c r="BA87" s="66">
        <f>IF(OR(A87="",'Smart Search'!H13=0),"",MAX(0,BE87*BF87*MAX(0,1-BG87)))</f>
        <v/>
      </c>
      <c r="BB87" s="66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66">
        <f>IF('Smart Search'!G13=1,IFERROR(1/'Smart Search'!H13,0),0)</f>
        <v/>
      </c>
      <c r="BD87" s="66">
        <f>BB87*BC87</f>
        <v/>
      </c>
      <c r="BE87" s="66">
        <f>AP87+AQ87+AR87+AS87+AT87+AU87+AV87+AW87+AX87+AY87+BD87</f>
        <v/>
      </c>
      <c r="BF87" s="5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5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5">
        <f>IF(AND(A87&lt;&gt;"",OR('Smart Search'!$L$5="",'Smart Search'!$L$5="All",TRIM(BZ87)=TRIM('Smart Search'!$L$5)),OR(TRIM('Smart Search'!$L$6)="",TRIM('Smart Search'!$L$6)="All",ISNUMBER(SEARCH(SUBSTITUTE(SUBSTITUTE(SUBSTITUTE(TRIM('Smart Search'!$L$6),"~","~~"),"*","~*"),"?","~?"),CA87))),OR('Smart Search'!$L$7="",AND(CB87&lt;&gt;0,CB87='Smart Search'!$L$7)),OR('Smart Search'!$L$8="",'Smart Search'!$L$8="All",TRIM(CC87)=TRIM('Smart Search'!$L$8))),IF(BA87="","",BA87+ROW()*0.0000000001),"")</f>
        <v/>
      </c>
      <c r="BI87" s="5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5">
        <f>IF(A87="","",N(INDEX(Projects[Mech Inst],86)))</f>
        <v/>
      </c>
      <c r="BK87" s="5">
        <f>IF(A87="","",N(INDEX(Projects[Elec Inst],86)))</f>
        <v/>
      </c>
      <c r="BL87" s="5">
        <f>IF(A87="","",N(INDEX(Projects[Project Management],86)))</f>
        <v/>
      </c>
      <c r="BM87" s="5">
        <f>IF(A87="","",N(INDEX(Projects[Systems Eng],86)))</f>
        <v/>
      </c>
      <c r="BN87" s="5">
        <f>IF(A87="","",N(INDEX(Projects[Mechanical Eng],86)))</f>
        <v/>
      </c>
      <c r="BO87" s="5">
        <f>IF(A87="","",N(INDEX(Projects[Structural Engineering],86)))</f>
        <v/>
      </c>
      <c r="BP87" s="5">
        <f>IF(A87="","",N(INDEX(Projects[Site Sup],86)))</f>
        <v/>
      </c>
      <c r="BQ87" s="5">
        <f>IF(A87="","",N(INDEX(Projects[Controls Commissioning],86)))</f>
        <v/>
      </c>
      <c r="BR87" s="5">
        <f>IF(A87="","",N(INDEX(Projects[Systems Commissioning],86)))</f>
        <v/>
      </c>
      <c r="BS87" s="5">
        <f>IF(A87="","",N(INDEX(Projects[Service Commissioning],86)))</f>
        <v/>
      </c>
      <c r="BT87" s="5">
        <f>IF(A87="","",N(INDEX(Projects[Controls Eng],86)))</f>
        <v/>
      </c>
      <c r="BU87" s="5">
        <f>IF(A87="","",N(INDEX(Projects[Controls Purchase],86)))</f>
        <v/>
      </c>
      <c r="BV87" s="5">
        <f>IF(A87="","",N(INDEX(Projects[Software Eng],86)))</f>
        <v/>
      </c>
      <c r="BW87" s="5">
        <f>IF(A87="","",N(INDEX(Projects[Misc],86)))</f>
        <v/>
      </c>
      <c r="BX87" s="5">
        <f>IF(A87="","",SUM(BJ87:BW87))</f>
        <v/>
      </c>
      <c r="BY87" s="5">
        <f>IF(A87="","",IFERROR(IF(ISNUMBER(U87),U87,VALUE(SUBSTITUTE(SUBSTITUTE(SUBSTITUTE(UPPER(TRIM(U87)),"M",""),",","")," ",""))),0))</f>
        <v/>
      </c>
      <c r="BZ87" s="5">
        <f>INDEX(Projects[Solution Type],86)&amp;""</f>
        <v/>
      </c>
      <c r="CA87" s="5">
        <f>INDEX(Projects[Client / Region],86)&amp;""</f>
        <v/>
      </c>
      <c r="CB87" s="5">
        <f>INDEX(Projects[Year],86)</f>
        <v/>
      </c>
      <c r="CC87" s="5">
        <f>INDEX(Projects[Won?],86)&amp;""</f>
        <v/>
      </c>
      <c r="CD87" s="5">
        <f>INDEX(Projects[Value (USD M)],86)</f>
        <v/>
      </c>
    </row>
    <row r="88" ht="15" customHeight="1" s="74">
      <c r="A88" s="66">
        <f>INDEX(Projects[Project ID *],87)&amp;""</f>
        <v/>
      </c>
      <c r="B88" s="66">
        <f>INDEX(Projects[Project Name *],87)&amp;""</f>
        <v/>
      </c>
      <c r="C88" s="66">
        <f>INDEX(Projects[MS Shuttles],87)</f>
        <v/>
      </c>
      <c r="D88" s="66">
        <f>INDEX(Projects[MS Tote Locations],87)</f>
        <v/>
      </c>
      <c r="E88" s="66">
        <f>INDEX(Projects[AS Robots],87)</f>
        <v/>
      </c>
      <c r="F88" s="66">
        <f>INDEX(Projects[AS Tote Locations],87)</f>
        <v/>
      </c>
      <c r="G88" s="66">
        <f>INDEX(Projects[PS Shuttles],87)</f>
        <v/>
      </c>
      <c r="H88" s="66">
        <f>INDEX(Projects[PS Pallet Locations],87)</f>
        <v/>
      </c>
      <c r="I88" s="66">
        <f>INDEX(Projects[SRM Cranes],87)</f>
        <v/>
      </c>
      <c r="J88" s="66">
        <f>INDEX(Projects[SRM Pallet Locations],87)</f>
        <v/>
      </c>
      <c r="K88" s="66">
        <f>INDEX(Projects[Case Conv (m)],87)</f>
        <v/>
      </c>
      <c r="L88" s="66">
        <f>INDEX(Projects[Pallet Conv (m)],87)</f>
        <v/>
      </c>
      <c r="M88" s="66">
        <f>INDEX(Projects[Mech Eng (wks)],87)</f>
        <v/>
      </c>
      <c r="N88" s="66">
        <f>INDEX(Projects[Controls Eng (wks)],87)</f>
        <v/>
      </c>
      <c r="O88" s="66">
        <f>INDEX(Projects[Systems Eng (wks)],87)</f>
        <v/>
      </c>
      <c r="P88" s="66">
        <f>INDEX(Projects[Software Eng (wks)],87)</f>
        <v/>
      </c>
      <c r="Q88" s="66">
        <f>INDEX(Projects[M&amp;E Installation (wks)],87)</f>
        <v/>
      </c>
      <c r="R88" s="66">
        <f>INDEX(Projects[Commissioning (wks)],87)</f>
        <v/>
      </c>
      <c r="S88" s="66">
        <f>INDEX(Projects[Total Timeline (wks)],87)</f>
        <v/>
      </c>
      <c r="T88" s="66">
        <f>INDEX(Projects[Currency],87)&amp;""</f>
        <v/>
      </c>
      <c r="U88" s="67">
        <f>INDEX(Projects[Value (M)],87)</f>
        <v/>
      </c>
      <c r="V88" s="66">
        <f>IF('Smart Search'!B13=1,IFERROR(1/'Smart Search'!H13,0),0)</f>
        <v/>
      </c>
      <c r="W88" s="66">
        <f>IF('Smart Search'!B13=1,IFERROR(1/'Smart Search'!H13,0),0)</f>
        <v/>
      </c>
      <c r="X88" s="66">
        <f>IF('Smart Search'!C13=1,IFERROR(1/'Smart Search'!H13,0),0)</f>
        <v/>
      </c>
      <c r="Y88" s="66">
        <f>IF('Smart Search'!C13=1,IFERROR(1/'Smart Search'!H13,0),0)</f>
        <v/>
      </c>
      <c r="Z88" s="66">
        <f>IF('Smart Search'!D13=1,IFERROR(1/'Smart Search'!H13,0),0)</f>
        <v/>
      </c>
      <c r="AA88" s="66">
        <f>IF('Smart Search'!D13=1,IFERROR(1/'Smart Search'!H13,0),0)</f>
        <v/>
      </c>
      <c r="AB88" s="66">
        <f>IF('Smart Search'!E13=1,IFERROR(1/'Smart Search'!H13,0),0)</f>
        <v/>
      </c>
      <c r="AC88" s="66">
        <f>IF('Smart Search'!E13=1,IFERROR(1/'Smart Search'!H13,0),0)</f>
        <v/>
      </c>
      <c r="AD88" s="66">
        <f>IF('Smart Search'!F13=1,IFERROR(1/'Smart Search'!H13,0),0)</f>
        <v/>
      </c>
      <c r="AE88" s="66">
        <f>IF('Smart Search'!F13=1,IFERROR(1/'Smart Search'!H13,0),0)</f>
        <v/>
      </c>
      <c r="AF88" s="66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66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66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66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66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66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66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66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66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66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66">
        <f>AF88*V88</f>
        <v/>
      </c>
      <c r="AQ88" s="66">
        <f>AG88*W88</f>
        <v/>
      </c>
      <c r="AR88" s="66">
        <f>AH88*X88</f>
        <v/>
      </c>
      <c r="AS88" s="66">
        <f>AI88*Y88</f>
        <v/>
      </c>
      <c r="AT88" s="66">
        <f>AJ88*Z88</f>
        <v/>
      </c>
      <c r="AU88" s="66">
        <f>AK88*AA88</f>
        <v/>
      </c>
      <c r="AV88" s="66">
        <f>AL88*AB88</f>
        <v/>
      </c>
      <c r="AW88" s="66">
        <f>AM88*AC88</f>
        <v/>
      </c>
      <c r="AX88" s="66">
        <f>AN88*AD88</f>
        <v/>
      </c>
      <c r="AY88" s="66">
        <f>AO88*AE88</f>
        <v/>
      </c>
      <c r="AZ88" s="66">
        <f>INDEX(Projects[Automation Equipment],87)&amp;""</f>
        <v/>
      </c>
      <c r="BA88" s="66">
        <f>IF(OR(A88="",'Smart Search'!H13=0),"",MAX(0,BE88*BF88*MAX(0,1-BG88)))</f>
        <v/>
      </c>
      <c r="BB88" s="66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66">
        <f>IF('Smart Search'!G13=1,IFERROR(1/'Smart Search'!H13,0),0)</f>
        <v/>
      </c>
      <c r="BD88" s="66">
        <f>BB88*BC88</f>
        <v/>
      </c>
      <c r="BE88" s="66">
        <f>AP88+AQ88+AR88+AS88+AT88+AU88+AV88+AW88+AX88+AY88+BD88</f>
        <v/>
      </c>
      <c r="BF88" s="5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5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5">
        <f>IF(AND(A88&lt;&gt;"",OR('Smart Search'!$L$5="",'Smart Search'!$L$5="All",TRIM(BZ88)=TRIM('Smart Search'!$L$5)),OR(TRIM('Smart Search'!$L$6)="",TRIM('Smart Search'!$L$6)="All",ISNUMBER(SEARCH(SUBSTITUTE(SUBSTITUTE(SUBSTITUTE(TRIM('Smart Search'!$L$6),"~","~~"),"*","~*"),"?","~?"),CA88))),OR('Smart Search'!$L$7="",AND(CB88&lt;&gt;0,CB88='Smart Search'!$L$7)),OR('Smart Search'!$L$8="",'Smart Search'!$L$8="All",TRIM(CC88)=TRIM('Smart Search'!$L$8))),IF(BA88="","",BA88+ROW()*0.0000000001),"")</f>
        <v/>
      </c>
      <c r="BI88" s="5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5">
        <f>IF(A88="","",N(INDEX(Projects[Mech Inst],87)))</f>
        <v/>
      </c>
      <c r="BK88" s="5">
        <f>IF(A88="","",N(INDEX(Projects[Elec Inst],87)))</f>
        <v/>
      </c>
      <c r="BL88" s="5">
        <f>IF(A88="","",N(INDEX(Projects[Project Management],87)))</f>
        <v/>
      </c>
      <c r="BM88" s="5">
        <f>IF(A88="","",N(INDEX(Projects[Systems Eng],87)))</f>
        <v/>
      </c>
      <c r="BN88" s="5">
        <f>IF(A88="","",N(INDEX(Projects[Mechanical Eng],87)))</f>
        <v/>
      </c>
      <c r="BO88" s="5">
        <f>IF(A88="","",N(INDEX(Projects[Structural Engineering],87)))</f>
        <v/>
      </c>
      <c r="BP88" s="5">
        <f>IF(A88="","",N(INDEX(Projects[Site Sup],87)))</f>
        <v/>
      </c>
      <c r="BQ88" s="5">
        <f>IF(A88="","",N(INDEX(Projects[Controls Commissioning],87)))</f>
        <v/>
      </c>
      <c r="BR88" s="5">
        <f>IF(A88="","",N(INDEX(Projects[Systems Commissioning],87)))</f>
        <v/>
      </c>
      <c r="BS88" s="5">
        <f>IF(A88="","",N(INDEX(Projects[Service Commissioning],87)))</f>
        <v/>
      </c>
      <c r="BT88" s="5">
        <f>IF(A88="","",N(INDEX(Projects[Controls Eng],87)))</f>
        <v/>
      </c>
      <c r="BU88" s="5">
        <f>IF(A88="","",N(INDEX(Projects[Controls Purchase],87)))</f>
        <v/>
      </c>
      <c r="BV88" s="5">
        <f>IF(A88="","",N(INDEX(Projects[Software Eng],87)))</f>
        <v/>
      </c>
      <c r="BW88" s="5">
        <f>IF(A88="","",N(INDEX(Projects[Misc],87)))</f>
        <v/>
      </c>
      <c r="BX88" s="5">
        <f>IF(A88="","",SUM(BJ88:BW88))</f>
        <v/>
      </c>
      <c r="BY88" s="5">
        <f>IF(A88="","",IFERROR(IF(ISNUMBER(U88),U88,VALUE(SUBSTITUTE(SUBSTITUTE(SUBSTITUTE(UPPER(TRIM(U88)),"M",""),",","")," ",""))),0))</f>
        <v/>
      </c>
      <c r="BZ88" s="5">
        <f>INDEX(Projects[Solution Type],87)&amp;""</f>
        <v/>
      </c>
      <c r="CA88" s="5">
        <f>INDEX(Projects[Client / Region],87)&amp;""</f>
        <v/>
      </c>
      <c r="CB88" s="5">
        <f>INDEX(Projects[Year],87)</f>
        <v/>
      </c>
      <c r="CC88" s="5">
        <f>INDEX(Projects[Won?],87)&amp;""</f>
        <v/>
      </c>
      <c r="CD88" s="5">
        <f>INDEX(Projects[Value (USD M)],87)</f>
        <v/>
      </c>
    </row>
    <row r="89" ht="15" customHeight="1" s="74">
      <c r="A89" s="66">
        <f>INDEX(Projects[Project ID *],88)&amp;""</f>
        <v/>
      </c>
      <c r="B89" s="66">
        <f>INDEX(Projects[Project Name *],88)&amp;""</f>
        <v/>
      </c>
      <c r="C89" s="66">
        <f>INDEX(Projects[MS Shuttles],88)</f>
        <v/>
      </c>
      <c r="D89" s="66">
        <f>INDEX(Projects[MS Tote Locations],88)</f>
        <v/>
      </c>
      <c r="E89" s="66">
        <f>INDEX(Projects[AS Robots],88)</f>
        <v/>
      </c>
      <c r="F89" s="66">
        <f>INDEX(Projects[AS Tote Locations],88)</f>
        <v/>
      </c>
      <c r="G89" s="66">
        <f>INDEX(Projects[PS Shuttles],88)</f>
        <v/>
      </c>
      <c r="H89" s="66">
        <f>INDEX(Projects[PS Pallet Locations],88)</f>
        <v/>
      </c>
      <c r="I89" s="66">
        <f>INDEX(Projects[SRM Cranes],88)</f>
        <v/>
      </c>
      <c r="J89" s="66">
        <f>INDEX(Projects[SRM Pallet Locations],88)</f>
        <v/>
      </c>
      <c r="K89" s="66">
        <f>INDEX(Projects[Case Conv (m)],88)</f>
        <v/>
      </c>
      <c r="L89" s="66">
        <f>INDEX(Projects[Pallet Conv (m)],88)</f>
        <v/>
      </c>
      <c r="M89" s="66">
        <f>INDEX(Projects[Mech Eng (wks)],88)</f>
        <v/>
      </c>
      <c r="N89" s="66">
        <f>INDEX(Projects[Controls Eng (wks)],88)</f>
        <v/>
      </c>
      <c r="O89" s="66">
        <f>INDEX(Projects[Systems Eng (wks)],88)</f>
        <v/>
      </c>
      <c r="P89" s="66">
        <f>INDEX(Projects[Software Eng (wks)],88)</f>
        <v/>
      </c>
      <c r="Q89" s="66">
        <f>INDEX(Projects[M&amp;E Installation (wks)],88)</f>
        <v/>
      </c>
      <c r="R89" s="66">
        <f>INDEX(Projects[Commissioning (wks)],88)</f>
        <v/>
      </c>
      <c r="S89" s="66">
        <f>INDEX(Projects[Total Timeline (wks)],88)</f>
        <v/>
      </c>
      <c r="T89" s="66">
        <f>INDEX(Projects[Currency],88)&amp;""</f>
        <v/>
      </c>
      <c r="U89" s="67">
        <f>INDEX(Projects[Value (M)],88)</f>
        <v/>
      </c>
      <c r="V89" s="66">
        <f>IF('Smart Search'!B13=1,IFERROR(1/'Smart Search'!H13,0),0)</f>
        <v/>
      </c>
      <c r="W89" s="66">
        <f>IF('Smart Search'!B13=1,IFERROR(1/'Smart Search'!H13,0),0)</f>
        <v/>
      </c>
      <c r="X89" s="66">
        <f>IF('Smart Search'!C13=1,IFERROR(1/'Smart Search'!H13,0),0)</f>
        <v/>
      </c>
      <c r="Y89" s="66">
        <f>IF('Smart Search'!C13=1,IFERROR(1/'Smart Search'!H13,0),0)</f>
        <v/>
      </c>
      <c r="Z89" s="66">
        <f>IF('Smart Search'!D13=1,IFERROR(1/'Smart Search'!H13,0),0)</f>
        <v/>
      </c>
      <c r="AA89" s="66">
        <f>IF('Smart Search'!D13=1,IFERROR(1/'Smart Search'!H13,0),0)</f>
        <v/>
      </c>
      <c r="AB89" s="66">
        <f>IF('Smart Search'!E13=1,IFERROR(1/'Smart Search'!H13,0),0)</f>
        <v/>
      </c>
      <c r="AC89" s="66">
        <f>IF('Smart Search'!E13=1,IFERROR(1/'Smart Search'!H13,0),0)</f>
        <v/>
      </c>
      <c r="AD89" s="66">
        <f>IF('Smart Search'!F13=1,IFERROR(1/'Smart Search'!H13,0),0)</f>
        <v/>
      </c>
      <c r="AE89" s="66">
        <f>IF('Smart Search'!F13=1,IFERROR(1/'Smart Search'!H13,0),0)</f>
        <v/>
      </c>
      <c r="AF89" s="66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66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66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66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66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66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66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66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66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66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66">
        <f>AF89*V89</f>
        <v/>
      </c>
      <c r="AQ89" s="66">
        <f>AG89*W89</f>
        <v/>
      </c>
      <c r="AR89" s="66">
        <f>AH89*X89</f>
        <v/>
      </c>
      <c r="AS89" s="66">
        <f>AI89*Y89</f>
        <v/>
      </c>
      <c r="AT89" s="66">
        <f>AJ89*Z89</f>
        <v/>
      </c>
      <c r="AU89" s="66">
        <f>AK89*AA89</f>
        <v/>
      </c>
      <c r="AV89" s="66">
        <f>AL89*AB89</f>
        <v/>
      </c>
      <c r="AW89" s="66">
        <f>AM89*AC89</f>
        <v/>
      </c>
      <c r="AX89" s="66">
        <f>AN89*AD89</f>
        <v/>
      </c>
      <c r="AY89" s="66">
        <f>AO89*AE89</f>
        <v/>
      </c>
      <c r="AZ89" s="66">
        <f>INDEX(Projects[Automation Equipment],88)&amp;""</f>
        <v/>
      </c>
      <c r="BA89" s="66">
        <f>IF(OR(A89="",'Smart Search'!H13=0),"",MAX(0,BE89*BF89*MAX(0,1-BG89)))</f>
        <v/>
      </c>
      <c r="BB89" s="66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66">
        <f>IF('Smart Search'!G13=1,IFERROR(1/'Smart Search'!H13,0),0)</f>
        <v/>
      </c>
      <c r="BD89" s="66">
        <f>BB89*BC89</f>
        <v/>
      </c>
      <c r="BE89" s="66">
        <f>AP89+AQ89+AR89+AS89+AT89+AU89+AV89+AW89+AX89+AY89+BD89</f>
        <v/>
      </c>
      <c r="BF89" s="5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5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5">
        <f>IF(AND(A89&lt;&gt;"",OR('Smart Search'!$L$5="",'Smart Search'!$L$5="All",TRIM(BZ89)=TRIM('Smart Search'!$L$5)),OR(TRIM('Smart Search'!$L$6)="",TRIM('Smart Search'!$L$6)="All",ISNUMBER(SEARCH(SUBSTITUTE(SUBSTITUTE(SUBSTITUTE(TRIM('Smart Search'!$L$6),"~","~~"),"*","~*"),"?","~?"),CA89))),OR('Smart Search'!$L$7="",AND(CB89&lt;&gt;0,CB89='Smart Search'!$L$7)),OR('Smart Search'!$L$8="",'Smart Search'!$L$8="All",TRIM(CC89)=TRIM('Smart Search'!$L$8))),IF(BA89="","",BA89+ROW()*0.0000000001),"")</f>
        <v/>
      </c>
      <c r="BI89" s="5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5">
        <f>IF(A89="","",N(INDEX(Projects[Mech Inst],88)))</f>
        <v/>
      </c>
      <c r="BK89" s="5">
        <f>IF(A89="","",N(INDEX(Projects[Elec Inst],88)))</f>
        <v/>
      </c>
      <c r="BL89" s="5">
        <f>IF(A89="","",N(INDEX(Projects[Project Management],88)))</f>
        <v/>
      </c>
      <c r="BM89" s="5">
        <f>IF(A89="","",N(INDEX(Projects[Systems Eng],88)))</f>
        <v/>
      </c>
      <c r="BN89" s="5">
        <f>IF(A89="","",N(INDEX(Projects[Mechanical Eng],88)))</f>
        <v/>
      </c>
      <c r="BO89" s="5">
        <f>IF(A89="","",N(INDEX(Projects[Structural Engineering],88)))</f>
        <v/>
      </c>
      <c r="BP89" s="5">
        <f>IF(A89="","",N(INDEX(Projects[Site Sup],88)))</f>
        <v/>
      </c>
      <c r="BQ89" s="5">
        <f>IF(A89="","",N(INDEX(Projects[Controls Commissioning],88)))</f>
        <v/>
      </c>
      <c r="BR89" s="5">
        <f>IF(A89="","",N(INDEX(Projects[Systems Commissioning],88)))</f>
        <v/>
      </c>
      <c r="BS89" s="5">
        <f>IF(A89="","",N(INDEX(Projects[Service Commissioning],88)))</f>
        <v/>
      </c>
      <c r="BT89" s="5">
        <f>IF(A89="","",N(INDEX(Projects[Controls Eng],88)))</f>
        <v/>
      </c>
      <c r="BU89" s="5">
        <f>IF(A89="","",N(INDEX(Projects[Controls Purchase],88)))</f>
        <v/>
      </c>
      <c r="BV89" s="5">
        <f>IF(A89="","",N(INDEX(Projects[Software Eng],88)))</f>
        <v/>
      </c>
      <c r="BW89" s="5">
        <f>IF(A89="","",N(INDEX(Projects[Misc],88)))</f>
        <v/>
      </c>
      <c r="BX89" s="5">
        <f>IF(A89="","",SUM(BJ89:BW89))</f>
        <v/>
      </c>
      <c r="BY89" s="5">
        <f>IF(A89="","",IFERROR(IF(ISNUMBER(U89),U89,VALUE(SUBSTITUTE(SUBSTITUTE(SUBSTITUTE(UPPER(TRIM(U89)),"M",""),",","")," ",""))),0))</f>
        <v/>
      </c>
      <c r="BZ89" s="5">
        <f>INDEX(Projects[Solution Type],88)&amp;""</f>
        <v/>
      </c>
      <c r="CA89" s="5">
        <f>INDEX(Projects[Client / Region],88)&amp;""</f>
        <v/>
      </c>
      <c r="CB89" s="5">
        <f>INDEX(Projects[Year],88)</f>
        <v/>
      </c>
      <c r="CC89" s="5">
        <f>INDEX(Projects[Won?],88)&amp;""</f>
        <v/>
      </c>
      <c r="CD89" s="5">
        <f>INDEX(Projects[Value (USD M)],88)</f>
        <v/>
      </c>
    </row>
    <row r="90" ht="15" customHeight="1" s="74">
      <c r="A90" s="66">
        <f>INDEX(Projects[Project ID *],89)&amp;""</f>
        <v/>
      </c>
      <c r="B90" s="66">
        <f>INDEX(Projects[Project Name *],89)&amp;""</f>
        <v/>
      </c>
      <c r="C90" s="66">
        <f>INDEX(Projects[MS Shuttles],89)</f>
        <v/>
      </c>
      <c r="D90" s="66">
        <f>INDEX(Projects[MS Tote Locations],89)</f>
        <v/>
      </c>
      <c r="E90" s="66">
        <f>INDEX(Projects[AS Robots],89)</f>
        <v/>
      </c>
      <c r="F90" s="66">
        <f>INDEX(Projects[AS Tote Locations],89)</f>
        <v/>
      </c>
      <c r="G90" s="66">
        <f>INDEX(Projects[PS Shuttles],89)</f>
        <v/>
      </c>
      <c r="H90" s="66">
        <f>INDEX(Projects[PS Pallet Locations],89)</f>
        <v/>
      </c>
      <c r="I90" s="66">
        <f>INDEX(Projects[SRM Cranes],89)</f>
        <v/>
      </c>
      <c r="J90" s="66">
        <f>INDEX(Projects[SRM Pallet Locations],89)</f>
        <v/>
      </c>
      <c r="K90" s="66">
        <f>INDEX(Projects[Case Conv (m)],89)</f>
        <v/>
      </c>
      <c r="L90" s="66">
        <f>INDEX(Projects[Pallet Conv (m)],89)</f>
        <v/>
      </c>
      <c r="M90" s="66">
        <f>INDEX(Projects[Mech Eng (wks)],89)</f>
        <v/>
      </c>
      <c r="N90" s="66">
        <f>INDEX(Projects[Controls Eng (wks)],89)</f>
        <v/>
      </c>
      <c r="O90" s="66">
        <f>INDEX(Projects[Systems Eng (wks)],89)</f>
        <v/>
      </c>
      <c r="P90" s="66">
        <f>INDEX(Projects[Software Eng (wks)],89)</f>
        <v/>
      </c>
      <c r="Q90" s="66">
        <f>INDEX(Projects[M&amp;E Installation (wks)],89)</f>
        <v/>
      </c>
      <c r="R90" s="66">
        <f>INDEX(Projects[Commissioning (wks)],89)</f>
        <v/>
      </c>
      <c r="S90" s="66">
        <f>INDEX(Projects[Total Timeline (wks)],89)</f>
        <v/>
      </c>
      <c r="T90" s="66">
        <f>INDEX(Projects[Currency],89)&amp;""</f>
        <v/>
      </c>
      <c r="U90" s="67">
        <f>INDEX(Projects[Value (M)],89)</f>
        <v/>
      </c>
      <c r="V90" s="66">
        <f>IF('Smart Search'!B13=1,IFERROR(1/'Smart Search'!H13,0),0)</f>
        <v/>
      </c>
      <c r="W90" s="66">
        <f>IF('Smart Search'!B13=1,IFERROR(1/'Smart Search'!H13,0),0)</f>
        <v/>
      </c>
      <c r="X90" s="66">
        <f>IF('Smart Search'!C13=1,IFERROR(1/'Smart Search'!H13,0),0)</f>
        <v/>
      </c>
      <c r="Y90" s="66">
        <f>IF('Smart Search'!C13=1,IFERROR(1/'Smart Search'!H13,0),0)</f>
        <v/>
      </c>
      <c r="Z90" s="66">
        <f>IF('Smart Search'!D13=1,IFERROR(1/'Smart Search'!H13,0),0)</f>
        <v/>
      </c>
      <c r="AA90" s="66">
        <f>IF('Smart Search'!D13=1,IFERROR(1/'Smart Search'!H13,0),0)</f>
        <v/>
      </c>
      <c r="AB90" s="66">
        <f>IF('Smart Search'!E13=1,IFERROR(1/'Smart Search'!H13,0),0)</f>
        <v/>
      </c>
      <c r="AC90" s="66">
        <f>IF('Smart Search'!E13=1,IFERROR(1/'Smart Search'!H13,0),0)</f>
        <v/>
      </c>
      <c r="AD90" s="66">
        <f>IF('Smart Search'!F13=1,IFERROR(1/'Smart Search'!H13,0),0)</f>
        <v/>
      </c>
      <c r="AE90" s="66">
        <f>IF('Smart Search'!F13=1,IFERROR(1/'Smart Search'!H13,0),0)</f>
        <v/>
      </c>
      <c r="AF90" s="66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66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66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66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66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66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66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66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66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66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66">
        <f>AF90*V90</f>
        <v/>
      </c>
      <c r="AQ90" s="66">
        <f>AG90*W90</f>
        <v/>
      </c>
      <c r="AR90" s="66">
        <f>AH90*X90</f>
        <v/>
      </c>
      <c r="AS90" s="66">
        <f>AI90*Y90</f>
        <v/>
      </c>
      <c r="AT90" s="66">
        <f>AJ90*Z90</f>
        <v/>
      </c>
      <c r="AU90" s="66">
        <f>AK90*AA90</f>
        <v/>
      </c>
      <c r="AV90" s="66">
        <f>AL90*AB90</f>
        <v/>
      </c>
      <c r="AW90" s="66">
        <f>AM90*AC90</f>
        <v/>
      </c>
      <c r="AX90" s="66">
        <f>AN90*AD90</f>
        <v/>
      </c>
      <c r="AY90" s="66">
        <f>AO90*AE90</f>
        <v/>
      </c>
      <c r="AZ90" s="66">
        <f>INDEX(Projects[Automation Equipment],89)&amp;""</f>
        <v/>
      </c>
      <c r="BA90" s="66">
        <f>IF(OR(A90="",'Smart Search'!H13=0),"",MAX(0,BE90*BF90*MAX(0,1-BG90)))</f>
        <v/>
      </c>
      <c r="BB90" s="66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66">
        <f>IF('Smart Search'!G13=1,IFERROR(1/'Smart Search'!H13,0),0)</f>
        <v/>
      </c>
      <c r="BD90" s="66">
        <f>BB90*BC90</f>
        <v/>
      </c>
      <c r="BE90" s="66">
        <f>AP90+AQ90+AR90+AS90+AT90+AU90+AV90+AW90+AX90+AY90+BD90</f>
        <v/>
      </c>
      <c r="BF90" s="5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5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5">
        <f>IF(AND(A90&lt;&gt;"",OR('Smart Search'!$L$5="",'Smart Search'!$L$5="All",TRIM(BZ90)=TRIM('Smart Search'!$L$5)),OR(TRIM('Smart Search'!$L$6)="",TRIM('Smart Search'!$L$6)="All",ISNUMBER(SEARCH(SUBSTITUTE(SUBSTITUTE(SUBSTITUTE(TRIM('Smart Search'!$L$6),"~","~~"),"*","~*"),"?","~?"),CA90))),OR('Smart Search'!$L$7="",AND(CB90&lt;&gt;0,CB90='Smart Search'!$L$7)),OR('Smart Search'!$L$8="",'Smart Search'!$L$8="All",TRIM(CC90)=TRIM('Smart Search'!$L$8))),IF(BA90="","",BA90+ROW()*0.0000000001),"")</f>
        <v/>
      </c>
      <c r="BI90" s="5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5">
        <f>IF(A90="","",N(INDEX(Projects[Mech Inst],89)))</f>
        <v/>
      </c>
      <c r="BK90" s="5">
        <f>IF(A90="","",N(INDEX(Projects[Elec Inst],89)))</f>
        <v/>
      </c>
      <c r="BL90" s="5">
        <f>IF(A90="","",N(INDEX(Projects[Project Management],89)))</f>
        <v/>
      </c>
      <c r="BM90" s="5">
        <f>IF(A90="","",N(INDEX(Projects[Systems Eng],89)))</f>
        <v/>
      </c>
      <c r="BN90" s="5">
        <f>IF(A90="","",N(INDEX(Projects[Mechanical Eng],89)))</f>
        <v/>
      </c>
      <c r="BO90" s="5">
        <f>IF(A90="","",N(INDEX(Projects[Structural Engineering],89)))</f>
        <v/>
      </c>
      <c r="BP90" s="5">
        <f>IF(A90="","",N(INDEX(Projects[Site Sup],89)))</f>
        <v/>
      </c>
      <c r="BQ90" s="5">
        <f>IF(A90="","",N(INDEX(Projects[Controls Commissioning],89)))</f>
        <v/>
      </c>
      <c r="BR90" s="5">
        <f>IF(A90="","",N(INDEX(Projects[Systems Commissioning],89)))</f>
        <v/>
      </c>
      <c r="BS90" s="5">
        <f>IF(A90="","",N(INDEX(Projects[Service Commissioning],89)))</f>
        <v/>
      </c>
      <c r="BT90" s="5">
        <f>IF(A90="","",N(INDEX(Projects[Controls Eng],89)))</f>
        <v/>
      </c>
      <c r="BU90" s="5">
        <f>IF(A90="","",N(INDEX(Projects[Controls Purchase],89)))</f>
        <v/>
      </c>
      <c r="BV90" s="5">
        <f>IF(A90="","",N(INDEX(Projects[Software Eng],89)))</f>
        <v/>
      </c>
      <c r="BW90" s="5">
        <f>IF(A90="","",N(INDEX(Projects[Misc],89)))</f>
        <v/>
      </c>
      <c r="BX90" s="5">
        <f>IF(A90="","",SUM(BJ90:BW90))</f>
        <v/>
      </c>
      <c r="BY90" s="5">
        <f>IF(A90="","",IFERROR(IF(ISNUMBER(U90),U90,VALUE(SUBSTITUTE(SUBSTITUTE(SUBSTITUTE(UPPER(TRIM(U90)),"M",""),",","")," ",""))),0))</f>
        <v/>
      </c>
      <c r="BZ90" s="5">
        <f>INDEX(Projects[Solution Type],89)&amp;""</f>
        <v/>
      </c>
      <c r="CA90" s="5">
        <f>INDEX(Projects[Client / Region],89)&amp;""</f>
        <v/>
      </c>
      <c r="CB90" s="5">
        <f>INDEX(Projects[Year],89)</f>
        <v/>
      </c>
      <c r="CC90" s="5">
        <f>INDEX(Projects[Won?],89)&amp;""</f>
        <v/>
      </c>
      <c r="CD90" s="5">
        <f>INDEX(Projects[Value (USD M)],89)</f>
        <v/>
      </c>
    </row>
    <row r="91" ht="15" customHeight="1" s="74">
      <c r="A91" s="66">
        <f>INDEX(Projects[Project ID *],90)&amp;""</f>
        <v/>
      </c>
      <c r="B91" s="66">
        <f>INDEX(Projects[Project Name *],90)&amp;""</f>
        <v/>
      </c>
      <c r="C91" s="66">
        <f>INDEX(Projects[MS Shuttles],90)</f>
        <v/>
      </c>
      <c r="D91" s="66">
        <f>INDEX(Projects[MS Tote Locations],90)</f>
        <v/>
      </c>
      <c r="E91" s="66">
        <f>INDEX(Projects[AS Robots],90)</f>
        <v/>
      </c>
      <c r="F91" s="66">
        <f>INDEX(Projects[AS Tote Locations],90)</f>
        <v/>
      </c>
      <c r="G91" s="66">
        <f>INDEX(Projects[PS Shuttles],90)</f>
        <v/>
      </c>
      <c r="H91" s="66">
        <f>INDEX(Projects[PS Pallet Locations],90)</f>
        <v/>
      </c>
      <c r="I91" s="66">
        <f>INDEX(Projects[SRM Cranes],90)</f>
        <v/>
      </c>
      <c r="J91" s="66">
        <f>INDEX(Projects[SRM Pallet Locations],90)</f>
        <v/>
      </c>
      <c r="K91" s="66">
        <f>INDEX(Projects[Case Conv (m)],90)</f>
        <v/>
      </c>
      <c r="L91" s="66">
        <f>INDEX(Projects[Pallet Conv (m)],90)</f>
        <v/>
      </c>
      <c r="M91" s="66">
        <f>INDEX(Projects[Mech Eng (wks)],90)</f>
        <v/>
      </c>
      <c r="N91" s="66">
        <f>INDEX(Projects[Controls Eng (wks)],90)</f>
        <v/>
      </c>
      <c r="O91" s="66">
        <f>INDEX(Projects[Systems Eng (wks)],90)</f>
        <v/>
      </c>
      <c r="P91" s="66">
        <f>INDEX(Projects[Software Eng (wks)],90)</f>
        <v/>
      </c>
      <c r="Q91" s="66">
        <f>INDEX(Projects[M&amp;E Installation (wks)],90)</f>
        <v/>
      </c>
      <c r="R91" s="66">
        <f>INDEX(Projects[Commissioning (wks)],90)</f>
        <v/>
      </c>
      <c r="S91" s="66">
        <f>INDEX(Projects[Total Timeline (wks)],90)</f>
        <v/>
      </c>
      <c r="T91" s="66">
        <f>INDEX(Projects[Currency],90)&amp;""</f>
        <v/>
      </c>
      <c r="U91" s="67">
        <f>INDEX(Projects[Value (M)],90)</f>
        <v/>
      </c>
      <c r="V91" s="66">
        <f>IF('Smart Search'!B13=1,IFERROR(1/'Smart Search'!H13,0),0)</f>
        <v/>
      </c>
      <c r="W91" s="66">
        <f>IF('Smart Search'!B13=1,IFERROR(1/'Smart Search'!H13,0),0)</f>
        <v/>
      </c>
      <c r="X91" s="66">
        <f>IF('Smart Search'!C13=1,IFERROR(1/'Smart Search'!H13,0),0)</f>
        <v/>
      </c>
      <c r="Y91" s="66">
        <f>IF('Smart Search'!C13=1,IFERROR(1/'Smart Search'!H13,0),0)</f>
        <v/>
      </c>
      <c r="Z91" s="66">
        <f>IF('Smart Search'!D13=1,IFERROR(1/'Smart Search'!H13,0),0)</f>
        <v/>
      </c>
      <c r="AA91" s="66">
        <f>IF('Smart Search'!D13=1,IFERROR(1/'Smart Search'!H13,0),0)</f>
        <v/>
      </c>
      <c r="AB91" s="66">
        <f>IF('Smart Search'!E13=1,IFERROR(1/'Smart Search'!H13,0),0)</f>
        <v/>
      </c>
      <c r="AC91" s="66">
        <f>IF('Smart Search'!E13=1,IFERROR(1/'Smart Search'!H13,0),0)</f>
        <v/>
      </c>
      <c r="AD91" s="66">
        <f>IF('Smart Search'!F13=1,IFERROR(1/'Smart Search'!H13,0),0)</f>
        <v/>
      </c>
      <c r="AE91" s="66">
        <f>IF('Smart Search'!F13=1,IFERROR(1/'Smart Search'!H13,0),0)</f>
        <v/>
      </c>
      <c r="AF91" s="66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66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66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66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66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66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66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66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66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66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66">
        <f>AF91*V91</f>
        <v/>
      </c>
      <c r="AQ91" s="66">
        <f>AG91*W91</f>
        <v/>
      </c>
      <c r="AR91" s="66">
        <f>AH91*X91</f>
        <v/>
      </c>
      <c r="AS91" s="66">
        <f>AI91*Y91</f>
        <v/>
      </c>
      <c r="AT91" s="66">
        <f>AJ91*Z91</f>
        <v/>
      </c>
      <c r="AU91" s="66">
        <f>AK91*AA91</f>
        <v/>
      </c>
      <c r="AV91" s="66">
        <f>AL91*AB91</f>
        <v/>
      </c>
      <c r="AW91" s="66">
        <f>AM91*AC91</f>
        <v/>
      </c>
      <c r="AX91" s="66">
        <f>AN91*AD91</f>
        <v/>
      </c>
      <c r="AY91" s="66">
        <f>AO91*AE91</f>
        <v/>
      </c>
      <c r="AZ91" s="66">
        <f>INDEX(Projects[Automation Equipment],90)&amp;""</f>
        <v/>
      </c>
      <c r="BA91" s="66">
        <f>IF(OR(A91="",'Smart Search'!H13=0),"",MAX(0,BE91*BF91*MAX(0,1-BG91)))</f>
        <v/>
      </c>
      <c r="BB91" s="66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66">
        <f>IF('Smart Search'!G13=1,IFERROR(1/'Smart Search'!H13,0),0)</f>
        <v/>
      </c>
      <c r="BD91" s="66">
        <f>BB91*BC91</f>
        <v/>
      </c>
      <c r="BE91" s="66">
        <f>AP91+AQ91+AR91+AS91+AT91+AU91+AV91+AW91+AX91+AY91+BD91</f>
        <v/>
      </c>
      <c r="BF91" s="5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5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5">
        <f>IF(AND(A91&lt;&gt;"",OR('Smart Search'!$L$5="",'Smart Search'!$L$5="All",TRIM(BZ91)=TRIM('Smart Search'!$L$5)),OR(TRIM('Smart Search'!$L$6)="",TRIM('Smart Search'!$L$6)="All",ISNUMBER(SEARCH(SUBSTITUTE(SUBSTITUTE(SUBSTITUTE(TRIM('Smart Search'!$L$6),"~","~~"),"*","~*"),"?","~?"),CA91))),OR('Smart Search'!$L$7="",AND(CB91&lt;&gt;0,CB91='Smart Search'!$L$7)),OR('Smart Search'!$L$8="",'Smart Search'!$L$8="All",TRIM(CC91)=TRIM('Smart Search'!$L$8))),IF(BA91="","",BA91+ROW()*0.0000000001),"")</f>
        <v/>
      </c>
      <c r="BI91" s="5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5">
        <f>IF(A91="","",N(INDEX(Projects[Mech Inst],90)))</f>
        <v/>
      </c>
      <c r="BK91" s="5">
        <f>IF(A91="","",N(INDEX(Projects[Elec Inst],90)))</f>
        <v/>
      </c>
      <c r="BL91" s="5">
        <f>IF(A91="","",N(INDEX(Projects[Project Management],90)))</f>
        <v/>
      </c>
      <c r="BM91" s="5">
        <f>IF(A91="","",N(INDEX(Projects[Systems Eng],90)))</f>
        <v/>
      </c>
      <c r="BN91" s="5">
        <f>IF(A91="","",N(INDEX(Projects[Mechanical Eng],90)))</f>
        <v/>
      </c>
      <c r="BO91" s="5">
        <f>IF(A91="","",N(INDEX(Projects[Structural Engineering],90)))</f>
        <v/>
      </c>
      <c r="BP91" s="5">
        <f>IF(A91="","",N(INDEX(Projects[Site Sup],90)))</f>
        <v/>
      </c>
      <c r="BQ91" s="5">
        <f>IF(A91="","",N(INDEX(Projects[Controls Commissioning],90)))</f>
        <v/>
      </c>
      <c r="BR91" s="5">
        <f>IF(A91="","",N(INDEX(Projects[Systems Commissioning],90)))</f>
        <v/>
      </c>
      <c r="BS91" s="5">
        <f>IF(A91="","",N(INDEX(Projects[Service Commissioning],90)))</f>
        <v/>
      </c>
      <c r="BT91" s="5">
        <f>IF(A91="","",N(INDEX(Projects[Controls Eng],90)))</f>
        <v/>
      </c>
      <c r="BU91" s="5">
        <f>IF(A91="","",N(INDEX(Projects[Controls Purchase],90)))</f>
        <v/>
      </c>
      <c r="BV91" s="5">
        <f>IF(A91="","",N(INDEX(Projects[Software Eng],90)))</f>
        <v/>
      </c>
      <c r="BW91" s="5">
        <f>IF(A91="","",N(INDEX(Projects[Misc],90)))</f>
        <v/>
      </c>
      <c r="BX91" s="5">
        <f>IF(A91="","",SUM(BJ91:BW91))</f>
        <v/>
      </c>
      <c r="BY91" s="5">
        <f>IF(A91="","",IFERROR(IF(ISNUMBER(U91),U91,VALUE(SUBSTITUTE(SUBSTITUTE(SUBSTITUTE(UPPER(TRIM(U91)),"M",""),",","")," ",""))),0))</f>
        <v/>
      </c>
      <c r="BZ91" s="5">
        <f>INDEX(Projects[Solution Type],90)&amp;""</f>
        <v/>
      </c>
      <c r="CA91" s="5">
        <f>INDEX(Projects[Client / Region],90)&amp;""</f>
        <v/>
      </c>
      <c r="CB91" s="5">
        <f>INDEX(Projects[Year],90)</f>
        <v/>
      </c>
      <c r="CC91" s="5">
        <f>INDEX(Projects[Won?],90)&amp;""</f>
        <v/>
      </c>
      <c r="CD91" s="5">
        <f>INDEX(Projects[Value (USD M)],90)</f>
        <v/>
      </c>
    </row>
    <row r="92" ht="15" customHeight="1" s="74">
      <c r="A92" s="66">
        <f>INDEX(Projects[Project ID *],91)&amp;""</f>
        <v/>
      </c>
      <c r="B92" s="66">
        <f>INDEX(Projects[Project Name *],91)&amp;""</f>
        <v/>
      </c>
      <c r="C92" s="66">
        <f>INDEX(Projects[MS Shuttles],91)</f>
        <v/>
      </c>
      <c r="D92" s="66">
        <f>INDEX(Projects[MS Tote Locations],91)</f>
        <v/>
      </c>
      <c r="E92" s="66">
        <f>INDEX(Projects[AS Robots],91)</f>
        <v/>
      </c>
      <c r="F92" s="66">
        <f>INDEX(Projects[AS Tote Locations],91)</f>
        <v/>
      </c>
      <c r="G92" s="66">
        <f>INDEX(Projects[PS Shuttles],91)</f>
        <v/>
      </c>
      <c r="H92" s="66">
        <f>INDEX(Projects[PS Pallet Locations],91)</f>
        <v/>
      </c>
      <c r="I92" s="66">
        <f>INDEX(Projects[SRM Cranes],91)</f>
        <v/>
      </c>
      <c r="J92" s="66">
        <f>INDEX(Projects[SRM Pallet Locations],91)</f>
        <v/>
      </c>
      <c r="K92" s="66">
        <f>INDEX(Projects[Case Conv (m)],91)</f>
        <v/>
      </c>
      <c r="L92" s="66">
        <f>INDEX(Projects[Pallet Conv (m)],91)</f>
        <v/>
      </c>
      <c r="M92" s="66">
        <f>INDEX(Projects[Mech Eng (wks)],91)</f>
        <v/>
      </c>
      <c r="N92" s="66">
        <f>INDEX(Projects[Controls Eng (wks)],91)</f>
        <v/>
      </c>
      <c r="O92" s="66">
        <f>INDEX(Projects[Systems Eng (wks)],91)</f>
        <v/>
      </c>
      <c r="P92" s="66">
        <f>INDEX(Projects[Software Eng (wks)],91)</f>
        <v/>
      </c>
      <c r="Q92" s="66">
        <f>INDEX(Projects[M&amp;E Installation (wks)],91)</f>
        <v/>
      </c>
      <c r="R92" s="66">
        <f>INDEX(Projects[Commissioning (wks)],91)</f>
        <v/>
      </c>
      <c r="S92" s="66">
        <f>INDEX(Projects[Total Timeline (wks)],91)</f>
        <v/>
      </c>
      <c r="T92" s="66">
        <f>INDEX(Projects[Currency],91)&amp;""</f>
        <v/>
      </c>
      <c r="U92" s="67">
        <f>INDEX(Projects[Value (M)],91)</f>
        <v/>
      </c>
      <c r="V92" s="66">
        <f>IF('Smart Search'!B13=1,IFERROR(1/'Smart Search'!H13,0),0)</f>
        <v/>
      </c>
      <c r="W92" s="66">
        <f>IF('Smart Search'!B13=1,IFERROR(1/'Smart Search'!H13,0),0)</f>
        <v/>
      </c>
      <c r="X92" s="66">
        <f>IF('Smart Search'!C13=1,IFERROR(1/'Smart Search'!H13,0),0)</f>
        <v/>
      </c>
      <c r="Y92" s="66">
        <f>IF('Smart Search'!C13=1,IFERROR(1/'Smart Search'!H13,0),0)</f>
        <v/>
      </c>
      <c r="Z92" s="66">
        <f>IF('Smart Search'!D13=1,IFERROR(1/'Smart Search'!H13,0),0)</f>
        <v/>
      </c>
      <c r="AA92" s="66">
        <f>IF('Smart Search'!D13=1,IFERROR(1/'Smart Search'!H13,0),0)</f>
        <v/>
      </c>
      <c r="AB92" s="66">
        <f>IF('Smart Search'!E13=1,IFERROR(1/'Smart Search'!H13,0),0)</f>
        <v/>
      </c>
      <c r="AC92" s="66">
        <f>IF('Smart Search'!E13=1,IFERROR(1/'Smart Search'!H13,0),0)</f>
        <v/>
      </c>
      <c r="AD92" s="66">
        <f>IF('Smart Search'!F13=1,IFERROR(1/'Smart Search'!H13,0),0)</f>
        <v/>
      </c>
      <c r="AE92" s="66">
        <f>IF('Smart Search'!F13=1,IFERROR(1/'Smart Search'!H13,0),0)</f>
        <v/>
      </c>
      <c r="AF92" s="66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66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66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66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66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66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66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66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66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66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66">
        <f>AF92*V92</f>
        <v/>
      </c>
      <c r="AQ92" s="66">
        <f>AG92*W92</f>
        <v/>
      </c>
      <c r="AR92" s="66">
        <f>AH92*X92</f>
        <v/>
      </c>
      <c r="AS92" s="66">
        <f>AI92*Y92</f>
        <v/>
      </c>
      <c r="AT92" s="66">
        <f>AJ92*Z92</f>
        <v/>
      </c>
      <c r="AU92" s="66">
        <f>AK92*AA92</f>
        <v/>
      </c>
      <c r="AV92" s="66">
        <f>AL92*AB92</f>
        <v/>
      </c>
      <c r="AW92" s="66">
        <f>AM92*AC92</f>
        <v/>
      </c>
      <c r="AX92" s="66">
        <f>AN92*AD92</f>
        <v/>
      </c>
      <c r="AY92" s="66">
        <f>AO92*AE92</f>
        <v/>
      </c>
      <c r="AZ92" s="66">
        <f>INDEX(Projects[Automation Equipment],91)&amp;""</f>
        <v/>
      </c>
      <c r="BA92" s="66">
        <f>IF(OR(A92="",'Smart Search'!H13=0),"",MAX(0,BE92*BF92*MAX(0,1-BG92)))</f>
        <v/>
      </c>
      <c r="BB92" s="66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66">
        <f>IF('Smart Search'!G13=1,IFERROR(1/'Smart Search'!H13,0),0)</f>
        <v/>
      </c>
      <c r="BD92" s="66">
        <f>BB92*BC92</f>
        <v/>
      </c>
      <c r="BE92" s="66">
        <f>AP92+AQ92+AR92+AS92+AT92+AU92+AV92+AW92+AX92+AY92+BD92</f>
        <v/>
      </c>
      <c r="BF92" s="5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5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5">
        <f>IF(AND(A92&lt;&gt;"",OR('Smart Search'!$L$5="",'Smart Search'!$L$5="All",TRIM(BZ92)=TRIM('Smart Search'!$L$5)),OR(TRIM('Smart Search'!$L$6)="",TRIM('Smart Search'!$L$6)="All",ISNUMBER(SEARCH(SUBSTITUTE(SUBSTITUTE(SUBSTITUTE(TRIM('Smart Search'!$L$6),"~","~~"),"*","~*"),"?","~?"),CA92))),OR('Smart Search'!$L$7="",AND(CB92&lt;&gt;0,CB92='Smart Search'!$L$7)),OR('Smart Search'!$L$8="",'Smart Search'!$L$8="All",TRIM(CC92)=TRIM('Smart Search'!$L$8))),IF(BA92="","",BA92+ROW()*0.0000000001),"")</f>
        <v/>
      </c>
      <c r="BI92" s="5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5">
        <f>IF(A92="","",N(INDEX(Projects[Mech Inst],91)))</f>
        <v/>
      </c>
      <c r="BK92" s="5">
        <f>IF(A92="","",N(INDEX(Projects[Elec Inst],91)))</f>
        <v/>
      </c>
      <c r="BL92" s="5">
        <f>IF(A92="","",N(INDEX(Projects[Project Management],91)))</f>
        <v/>
      </c>
      <c r="BM92" s="5">
        <f>IF(A92="","",N(INDEX(Projects[Systems Eng],91)))</f>
        <v/>
      </c>
      <c r="BN92" s="5">
        <f>IF(A92="","",N(INDEX(Projects[Mechanical Eng],91)))</f>
        <v/>
      </c>
      <c r="BO92" s="5">
        <f>IF(A92="","",N(INDEX(Projects[Structural Engineering],91)))</f>
        <v/>
      </c>
      <c r="BP92" s="5">
        <f>IF(A92="","",N(INDEX(Projects[Site Sup],91)))</f>
        <v/>
      </c>
      <c r="BQ92" s="5">
        <f>IF(A92="","",N(INDEX(Projects[Controls Commissioning],91)))</f>
        <v/>
      </c>
      <c r="BR92" s="5">
        <f>IF(A92="","",N(INDEX(Projects[Systems Commissioning],91)))</f>
        <v/>
      </c>
      <c r="BS92" s="5">
        <f>IF(A92="","",N(INDEX(Projects[Service Commissioning],91)))</f>
        <v/>
      </c>
      <c r="BT92" s="5">
        <f>IF(A92="","",N(INDEX(Projects[Controls Eng],91)))</f>
        <v/>
      </c>
      <c r="BU92" s="5">
        <f>IF(A92="","",N(INDEX(Projects[Controls Purchase],91)))</f>
        <v/>
      </c>
      <c r="BV92" s="5">
        <f>IF(A92="","",N(INDEX(Projects[Software Eng],91)))</f>
        <v/>
      </c>
      <c r="BW92" s="5">
        <f>IF(A92="","",N(INDEX(Projects[Misc],91)))</f>
        <v/>
      </c>
      <c r="BX92" s="5">
        <f>IF(A92="","",SUM(BJ92:BW92))</f>
        <v/>
      </c>
      <c r="BY92" s="5">
        <f>IF(A92="","",IFERROR(IF(ISNUMBER(U92),U92,VALUE(SUBSTITUTE(SUBSTITUTE(SUBSTITUTE(UPPER(TRIM(U92)),"M",""),",","")," ",""))),0))</f>
        <v/>
      </c>
      <c r="BZ92" s="5">
        <f>INDEX(Projects[Solution Type],91)&amp;""</f>
        <v/>
      </c>
      <c r="CA92" s="5">
        <f>INDEX(Projects[Client / Region],91)&amp;""</f>
        <v/>
      </c>
      <c r="CB92" s="5">
        <f>INDEX(Projects[Year],91)</f>
        <v/>
      </c>
      <c r="CC92" s="5">
        <f>INDEX(Projects[Won?],91)&amp;""</f>
        <v/>
      </c>
      <c r="CD92" s="5">
        <f>INDEX(Projects[Value (USD M)],91)</f>
        <v/>
      </c>
    </row>
    <row r="93" ht="15" customHeight="1" s="74">
      <c r="A93" s="66">
        <f>INDEX(Projects[Project ID *],92)&amp;""</f>
        <v/>
      </c>
      <c r="B93" s="66">
        <f>INDEX(Projects[Project Name *],92)&amp;""</f>
        <v/>
      </c>
      <c r="C93" s="66">
        <f>INDEX(Projects[MS Shuttles],92)</f>
        <v/>
      </c>
      <c r="D93" s="66">
        <f>INDEX(Projects[MS Tote Locations],92)</f>
        <v/>
      </c>
      <c r="E93" s="66">
        <f>INDEX(Projects[AS Robots],92)</f>
        <v/>
      </c>
      <c r="F93" s="66">
        <f>INDEX(Projects[AS Tote Locations],92)</f>
        <v/>
      </c>
      <c r="G93" s="66">
        <f>INDEX(Projects[PS Shuttles],92)</f>
        <v/>
      </c>
      <c r="H93" s="66">
        <f>INDEX(Projects[PS Pallet Locations],92)</f>
        <v/>
      </c>
      <c r="I93" s="66">
        <f>INDEX(Projects[SRM Cranes],92)</f>
        <v/>
      </c>
      <c r="J93" s="66">
        <f>INDEX(Projects[SRM Pallet Locations],92)</f>
        <v/>
      </c>
      <c r="K93" s="66">
        <f>INDEX(Projects[Case Conv (m)],92)</f>
        <v/>
      </c>
      <c r="L93" s="66">
        <f>INDEX(Projects[Pallet Conv (m)],92)</f>
        <v/>
      </c>
      <c r="M93" s="66">
        <f>INDEX(Projects[Mech Eng (wks)],92)</f>
        <v/>
      </c>
      <c r="N93" s="66">
        <f>INDEX(Projects[Controls Eng (wks)],92)</f>
        <v/>
      </c>
      <c r="O93" s="66">
        <f>INDEX(Projects[Systems Eng (wks)],92)</f>
        <v/>
      </c>
      <c r="P93" s="66">
        <f>INDEX(Projects[Software Eng (wks)],92)</f>
        <v/>
      </c>
      <c r="Q93" s="66">
        <f>INDEX(Projects[M&amp;E Installation (wks)],92)</f>
        <v/>
      </c>
      <c r="R93" s="66">
        <f>INDEX(Projects[Commissioning (wks)],92)</f>
        <v/>
      </c>
      <c r="S93" s="66">
        <f>INDEX(Projects[Total Timeline (wks)],92)</f>
        <v/>
      </c>
      <c r="T93" s="66">
        <f>INDEX(Projects[Currency],92)&amp;""</f>
        <v/>
      </c>
      <c r="U93" s="67">
        <f>INDEX(Projects[Value (M)],92)</f>
        <v/>
      </c>
      <c r="V93" s="66">
        <f>IF('Smart Search'!B13=1,IFERROR(1/'Smart Search'!H13,0),0)</f>
        <v/>
      </c>
      <c r="W93" s="66">
        <f>IF('Smart Search'!B13=1,IFERROR(1/'Smart Search'!H13,0),0)</f>
        <v/>
      </c>
      <c r="X93" s="66">
        <f>IF('Smart Search'!C13=1,IFERROR(1/'Smart Search'!H13,0),0)</f>
        <v/>
      </c>
      <c r="Y93" s="66">
        <f>IF('Smart Search'!C13=1,IFERROR(1/'Smart Search'!H13,0),0)</f>
        <v/>
      </c>
      <c r="Z93" s="66">
        <f>IF('Smart Search'!D13=1,IFERROR(1/'Smart Search'!H13,0),0)</f>
        <v/>
      </c>
      <c r="AA93" s="66">
        <f>IF('Smart Search'!D13=1,IFERROR(1/'Smart Search'!H13,0),0)</f>
        <v/>
      </c>
      <c r="AB93" s="66">
        <f>IF('Smart Search'!E13=1,IFERROR(1/'Smart Search'!H13,0),0)</f>
        <v/>
      </c>
      <c r="AC93" s="66">
        <f>IF('Smart Search'!E13=1,IFERROR(1/'Smart Search'!H13,0),0)</f>
        <v/>
      </c>
      <c r="AD93" s="66">
        <f>IF('Smart Search'!F13=1,IFERROR(1/'Smart Search'!H13,0),0)</f>
        <v/>
      </c>
      <c r="AE93" s="66">
        <f>IF('Smart Search'!F13=1,IFERROR(1/'Smart Search'!H13,0),0)</f>
        <v/>
      </c>
      <c r="AF93" s="66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66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66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66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66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66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66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66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66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66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66">
        <f>AF93*V93</f>
        <v/>
      </c>
      <c r="AQ93" s="66">
        <f>AG93*W93</f>
        <v/>
      </c>
      <c r="AR93" s="66">
        <f>AH93*X93</f>
        <v/>
      </c>
      <c r="AS93" s="66">
        <f>AI93*Y93</f>
        <v/>
      </c>
      <c r="AT93" s="66">
        <f>AJ93*Z93</f>
        <v/>
      </c>
      <c r="AU93" s="66">
        <f>AK93*AA93</f>
        <v/>
      </c>
      <c r="AV93" s="66">
        <f>AL93*AB93</f>
        <v/>
      </c>
      <c r="AW93" s="66">
        <f>AM93*AC93</f>
        <v/>
      </c>
      <c r="AX93" s="66">
        <f>AN93*AD93</f>
        <v/>
      </c>
      <c r="AY93" s="66">
        <f>AO93*AE93</f>
        <v/>
      </c>
      <c r="AZ93" s="66">
        <f>INDEX(Projects[Automation Equipment],92)&amp;""</f>
        <v/>
      </c>
      <c r="BA93" s="66">
        <f>IF(OR(A93="",'Smart Search'!H13=0),"",MAX(0,BE93*BF93*MAX(0,1-BG93)))</f>
        <v/>
      </c>
      <c r="BB93" s="66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66">
        <f>IF('Smart Search'!G13=1,IFERROR(1/'Smart Search'!H13,0),0)</f>
        <v/>
      </c>
      <c r="BD93" s="66">
        <f>BB93*BC93</f>
        <v/>
      </c>
      <c r="BE93" s="66">
        <f>AP93+AQ93+AR93+AS93+AT93+AU93+AV93+AW93+AX93+AY93+BD93</f>
        <v/>
      </c>
      <c r="BF93" s="5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5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5">
        <f>IF(AND(A93&lt;&gt;"",OR('Smart Search'!$L$5="",'Smart Search'!$L$5="All",TRIM(BZ93)=TRIM('Smart Search'!$L$5)),OR(TRIM('Smart Search'!$L$6)="",TRIM('Smart Search'!$L$6)="All",ISNUMBER(SEARCH(SUBSTITUTE(SUBSTITUTE(SUBSTITUTE(TRIM('Smart Search'!$L$6),"~","~~"),"*","~*"),"?","~?"),CA93))),OR('Smart Search'!$L$7="",AND(CB93&lt;&gt;0,CB93='Smart Search'!$L$7)),OR('Smart Search'!$L$8="",'Smart Search'!$L$8="All",TRIM(CC93)=TRIM('Smart Search'!$L$8))),IF(BA93="","",BA93+ROW()*0.0000000001),"")</f>
        <v/>
      </c>
      <c r="BI93" s="5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5">
        <f>IF(A93="","",N(INDEX(Projects[Mech Inst],92)))</f>
        <v/>
      </c>
      <c r="BK93" s="5">
        <f>IF(A93="","",N(INDEX(Projects[Elec Inst],92)))</f>
        <v/>
      </c>
      <c r="BL93" s="5">
        <f>IF(A93="","",N(INDEX(Projects[Project Management],92)))</f>
        <v/>
      </c>
      <c r="BM93" s="5">
        <f>IF(A93="","",N(INDEX(Projects[Systems Eng],92)))</f>
        <v/>
      </c>
      <c r="BN93" s="5">
        <f>IF(A93="","",N(INDEX(Projects[Mechanical Eng],92)))</f>
        <v/>
      </c>
      <c r="BO93" s="5">
        <f>IF(A93="","",N(INDEX(Projects[Structural Engineering],92)))</f>
        <v/>
      </c>
      <c r="BP93" s="5">
        <f>IF(A93="","",N(INDEX(Projects[Site Sup],92)))</f>
        <v/>
      </c>
      <c r="BQ93" s="5">
        <f>IF(A93="","",N(INDEX(Projects[Controls Commissioning],92)))</f>
        <v/>
      </c>
      <c r="BR93" s="5">
        <f>IF(A93="","",N(INDEX(Projects[Systems Commissioning],92)))</f>
        <v/>
      </c>
      <c r="BS93" s="5">
        <f>IF(A93="","",N(INDEX(Projects[Service Commissioning],92)))</f>
        <v/>
      </c>
      <c r="BT93" s="5">
        <f>IF(A93="","",N(INDEX(Projects[Controls Eng],92)))</f>
        <v/>
      </c>
      <c r="BU93" s="5">
        <f>IF(A93="","",N(INDEX(Projects[Controls Purchase],92)))</f>
        <v/>
      </c>
      <c r="BV93" s="5">
        <f>IF(A93="","",N(INDEX(Projects[Software Eng],92)))</f>
        <v/>
      </c>
      <c r="BW93" s="5">
        <f>IF(A93="","",N(INDEX(Projects[Misc],92)))</f>
        <v/>
      </c>
      <c r="BX93" s="5">
        <f>IF(A93="","",SUM(BJ93:BW93))</f>
        <v/>
      </c>
      <c r="BY93" s="5">
        <f>IF(A93="","",IFERROR(IF(ISNUMBER(U93),U93,VALUE(SUBSTITUTE(SUBSTITUTE(SUBSTITUTE(UPPER(TRIM(U93)),"M",""),",","")," ",""))),0))</f>
        <v/>
      </c>
      <c r="BZ93" s="5">
        <f>INDEX(Projects[Solution Type],92)&amp;""</f>
        <v/>
      </c>
      <c r="CA93" s="5">
        <f>INDEX(Projects[Client / Region],92)&amp;""</f>
        <v/>
      </c>
      <c r="CB93" s="5">
        <f>INDEX(Projects[Year],92)</f>
        <v/>
      </c>
      <c r="CC93" s="5">
        <f>INDEX(Projects[Won?],92)&amp;""</f>
        <v/>
      </c>
      <c r="CD93" s="5">
        <f>INDEX(Projects[Value (USD M)],92)</f>
        <v/>
      </c>
    </row>
    <row r="94" ht="15" customHeight="1" s="74">
      <c r="A94" s="66">
        <f>INDEX(Projects[Project ID *],93)&amp;""</f>
        <v/>
      </c>
      <c r="B94" s="66">
        <f>INDEX(Projects[Project Name *],93)&amp;""</f>
        <v/>
      </c>
      <c r="C94" s="66">
        <f>INDEX(Projects[MS Shuttles],93)</f>
        <v/>
      </c>
      <c r="D94" s="66">
        <f>INDEX(Projects[MS Tote Locations],93)</f>
        <v/>
      </c>
      <c r="E94" s="66">
        <f>INDEX(Projects[AS Robots],93)</f>
        <v/>
      </c>
      <c r="F94" s="66">
        <f>INDEX(Projects[AS Tote Locations],93)</f>
        <v/>
      </c>
      <c r="G94" s="66">
        <f>INDEX(Projects[PS Shuttles],93)</f>
        <v/>
      </c>
      <c r="H94" s="66">
        <f>INDEX(Projects[PS Pallet Locations],93)</f>
        <v/>
      </c>
      <c r="I94" s="66">
        <f>INDEX(Projects[SRM Cranes],93)</f>
        <v/>
      </c>
      <c r="J94" s="66">
        <f>INDEX(Projects[SRM Pallet Locations],93)</f>
        <v/>
      </c>
      <c r="K94" s="66">
        <f>INDEX(Projects[Case Conv (m)],93)</f>
        <v/>
      </c>
      <c r="L94" s="66">
        <f>INDEX(Projects[Pallet Conv (m)],93)</f>
        <v/>
      </c>
      <c r="M94" s="66">
        <f>INDEX(Projects[Mech Eng (wks)],93)</f>
        <v/>
      </c>
      <c r="N94" s="66">
        <f>INDEX(Projects[Controls Eng (wks)],93)</f>
        <v/>
      </c>
      <c r="O94" s="66">
        <f>INDEX(Projects[Systems Eng (wks)],93)</f>
        <v/>
      </c>
      <c r="P94" s="66">
        <f>INDEX(Projects[Software Eng (wks)],93)</f>
        <v/>
      </c>
      <c r="Q94" s="66">
        <f>INDEX(Projects[M&amp;E Installation (wks)],93)</f>
        <v/>
      </c>
      <c r="R94" s="66">
        <f>INDEX(Projects[Commissioning (wks)],93)</f>
        <v/>
      </c>
      <c r="S94" s="66">
        <f>INDEX(Projects[Total Timeline (wks)],93)</f>
        <v/>
      </c>
      <c r="T94" s="66">
        <f>INDEX(Projects[Currency],93)&amp;""</f>
        <v/>
      </c>
      <c r="U94" s="67">
        <f>INDEX(Projects[Value (M)],93)</f>
        <v/>
      </c>
      <c r="V94" s="66">
        <f>IF('Smart Search'!B13=1,IFERROR(1/'Smart Search'!H13,0),0)</f>
        <v/>
      </c>
      <c r="W94" s="66">
        <f>IF('Smart Search'!B13=1,IFERROR(1/'Smart Search'!H13,0),0)</f>
        <v/>
      </c>
      <c r="X94" s="66">
        <f>IF('Smart Search'!C13=1,IFERROR(1/'Smart Search'!H13,0),0)</f>
        <v/>
      </c>
      <c r="Y94" s="66">
        <f>IF('Smart Search'!C13=1,IFERROR(1/'Smart Search'!H13,0),0)</f>
        <v/>
      </c>
      <c r="Z94" s="66">
        <f>IF('Smart Search'!D13=1,IFERROR(1/'Smart Search'!H13,0),0)</f>
        <v/>
      </c>
      <c r="AA94" s="66">
        <f>IF('Smart Search'!D13=1,IFERROR(1/'Smart Search'!H13,0),0)</f>
        <v/>
      </c>
      <c r="AB94" s="66">
        <f>IF('Smart Search'!E13=1,IFERROR(1/'Smart Search'!H13,0),0)</f>
        <v/>
      </c>
      <c r="AC94" s="66">
        <f>IF('Smart Search'!E13=1,IFERROR(1/'Smart Search'!H13,0),0)</f>
        <v/>
      </c>
      <c r="AD94" s="66">
        <f>IF('Smart Search'!F13=1,IFERROR(1/'Smart Search'!H13,0),0)</f>
        <v/>
      </c>
      <c r="AE94" s="66">
        <f>IF('Smart Search'!F13=1,IFERROR(1/'Smart Search'!H13,0),0)</f>
        <v/>
      </c>
      <c r="AF94" s="66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66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66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66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66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66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66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66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66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66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66">
        <f>AF94*V94</f>
        <v/>
      </c>
      <c r="AQ94" s="66">
        <f>AG94*W94</f>
        <v/>
      </c>
      <c r="AR94" s="66">
        <f>AH94*X94</f>
        <v/>
      </c>
      <c r="AS94" s="66">
        <f>AI94*Y94</f>
        <v/>
      </c>
      <c r="AT94" s="66">
        <f>AJ94*Z94</f>
        <v/>
      </c>
      <c r="AU94" s="66">
        <f>AK94*AA94</f>
        <v/>
      </c>
      <c r="AV94" s="66">
        <f>AL94*AB94</f>
        <v/>
      </c>
      <c r="AW94" s="66">
        <f>AM94*AC94</f>
        <v/>
      </c>
      <c r="AX94" s="66">
        <f>AN94*AD94</f>
        <v/>
      </c>
      <c r="AY94" s="66">
        <f>AO94*AE94</f>
        <v/>
      </c>
      <c r="AZ94" s="66">
        <f>INDEX(Projects[Automation Equipment],93)&amp;""</f>
        <v/>
      </c>
      <c r="BA94" s="66">
        <f>IF(OR(A94="",'Smart Search'!H13=0),"",MAX(0,BE94*BF94*MAX(0,1-BG94)))</f>
        <v/>
      </c>
      <c r="BB94" s="66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66">
        <f>IF('Smart Search'!G13=1,IFERROR(1/'Smart Search'!H13,0),0)</f>
        <v/>
      </c>
      <c r="BD94" s="66">
        <f>BB94*BC94</f>
        <v/>
      </c>
      <c r="BE94" s="66">
        <f>AP94+AQ94+AR94+AS94+AT94+AU94+AV94+AW94+AX94+AY94+BD94</f>
        <v/>
      </c>
      <c r="BF94" s="5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5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5">
        <f>IF(AND(A94&lt;&gt;"",OR('Smart Search'!$L$5="",'Smart Search'!$L$5="All",TRIM(BZ94)=TRIM('Smart Search'!$L$5)),OR(TRIM('Smart Search'!$L$6)="",TRIM('Smart Search'!$L$6)="All",ISNUMBER(SEARCH(SUBSTITUTE(SUBSTITUTE(SUBSTITUTE(TRIM('Smart Search'!$L$6),"~","~~"),"*","~*"),"?","~?"),CA94))),OR('Smart Search'!$L$7="",AND(CB94&lt;&gt;0,CB94='Smart Search'!$L$7)),OR('Smart Search'!$L$8="",'Smart Search'!$L$8="All",TRIM(CC94)=TRIM('Smart Search'!$L$8))),IF(BA94="","",BA94+ROW()*0.0000000001),"")</f>
        <v/>
      </c>
      <c r="BI94" s="5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5">
        <f>IF(A94="","",N(INDEX(Projects[Mech Inst],93)))</f>
        <v/>
      </c>
      <c r="BK94" s="5">
        <f>IF(A94="","",N(INDEX(Projects[Elec Inst],93)))</f>
        <v/>
      </c>
      <c r="BL94" s="5">
        <f>IF(A94="","",N(INDEX(Projects[Project Management],93)))</f>
        <v/>
      </c>
      <c r="BM94" s="5">
        <f>IF(A94="","",N(INDEX(Projects[Systems Eng],93)))</f>
        <v/>
      </c>
      <c r="BN94" s="5">
        <f>IF(A94="","",N(INDEX(Projects[Mechanical Eng],93)))</f>
        <v/>
      </c>
      <c r="BO94" s="5">
        <f>IF(A94="","",N(INDEX(Projects[Structural Engineering],93)))</f>
        <v/>
      </c>
      <c r="BP94" s="5">
        <f>IF(A94="","",N(INDEX(Projects[Site Sup],93)))</f>
        <v/>
      </c>
      <c r="BQ94" s="5">
        <f>IF(A94="","",N(INDEX(Projects[Controls Commissioning],93)))</f>
        <v/>
      </c>
      <c r="BR94" s="5">
        <f>IF(A94="","",N(INDEX(Projects[Systems Commissioning],93)))</f>
        <v/>
      </c>
      <c r="BS94" s="5">
        <f>IF(A94="","",N(INDEX(Projects[Service Commissioning],93)))</f>
        <v/>
      </c>
      <c r="BT94" s="5">
        <f>IF(A94="","",N(INDEX(Projects[Controls Eng],93)))</f>
        <v/>
      </c>
      <c r="BU94" s="5">
        <f>IF(A94="","",N(INDEX(Projects[Controls Purchase],93)))</f>
        <v/>
      </c>
      <c r="BV94" s="5">
        <f>IF(A94="","",N(INDEX(Projects[Software Eng],93)))</f>
        <v/>
      </c>
      <c r="BW94" s="5">
        <f>IF(A94="","",N(INDEX(Projects[Misc],93)))</f>
        <v/>
      </c>
      <c r="BX94" s="5">
        <f>IF(A94="","",SUM(BJ94:BW94))</f>
        <v/>
      </c>
      <c r="BY94" s="5">
        <f>IF(A94="","",IFERROR(IF(ISNUMBER(U94),U94,VALUE(SUBSTITUTE(SUBSTITUTE(SUBSTITUTE(UPPER(TRIM(U94)),"M",""),",","")," ",""))),0))</f>
        <v/>
      </c>
      <c r="BZ94" s="5">
        <f>INDEX(Projects[Solution Type],93)&amp;""</f>
        <v/>
      </c>
      <c r="CA94" s="5">
        <f>INDEX(Projects[Client / Region],93)&amp;""</f>
        <v/>
      </c>
      <c r="CB94" s="5">
        <f>INDEX(Projects[Year],93)</f>
        <v/>
      </c>
      <c r="CC94" s="5">
        <f>INDEX(Projects[Won?],93)&amp;""</f>
        <v/>
      </c>
      <c r="CD94" s="5">
        <f>INDEX(Projects[Value (USD M)],93)</f>
        <v/>
      </c>
    </row>
    <row r="95" ht="15" customHeight="1" s="74">
      <c r="A95" s="66">
        <f>INDEX(Projects[Project ID *],94)&amp;""</f>
        <v/>
      </c>
      <c r="B95" s="66">
        <f>INDEX(Projects[Project Name *],94)&amp;""</f>
        <v/>
      </c>
      <c r="C95" s="66">
        <f>INDEX(Projects[MS Shuttles],94)</f>
        <v/>
      </c>
      <c r="D95" s="66">
        <f>INDEX(Projects[MS Tote Locations],94)</f>
        <v/>
      </c>
      <c r="E95" s="66">
        <f>INDEX(Projects[AS Robots],94)</f>
        <v/>
      </c>
      <c r="F95" s="66">
        <f>INDEX(Projects[AS Tote Locations],94)</f>
        <v/>
      </c>
      <c r="G95" s="66">
        <f>INDEX(Projects[PS Shuttles],94)</f>
        <v/>
      </c>
      <c r="H95" s="66">
        <f>INDEX(Projects[PS Pallet Locations],94)</f>
        <v/>
      </c>
      <c r="I95" s="66">
        <f>INDEX(Projects[SRM Cranes],94)</f>
        <v/>
      </c>
      <c r="J95" s="66">
        <f>INDEX(Projects[SRM Pallet Locations],94)</f>
        <v/>
      </c>
      <c r="K95" s="66">
        <f>INDEX(Projects[Case Conv (m)],94)</f>
        <v/>
      </c>
      <c r="L95" s="66">
        <f>INDEX(Projects[Pallet Conv (m)],94)</f>
        <v/>
      </c>
      <c r="M95" s="66">
        <f>INDEX(Projects[Mech Eng (wks)],94)</f>
        <v/>
      </c>
      <c r="N95" s="66">
        <f>INDEX(Projects[Controls Eng (wks)],94)</f>
        <v/>
      </c>
      <c r="O95" s="66">
        <f>INDEX(Projects[Systems Eng (wks)],94)</f>
        <v/>
      </c>
      <c r="P95" s="66">
        <f>INDEX(Projects[Software Eng (wks)],94)</f>
        <v/>
      </c>
      <c r="Q95" s="66">
        <f>INDEX(Projects[M&amp;E Installation (wks)],94)</f>
        <v/>
      </c>
      <c r="R95" s="66">
        <f>INDEX(Projects[Commissioning (wks)],94)</f>
        <v/>
      </c>
      <c r="S95" s="66">
        <f>INDEX(Projects[Total Timeline (wks)],94)</f>
        <v/>
      </c>
      <c r="T95" s="66">
        <f>INDEX(Projects[Currency],94)&amp;""</f>
        <v/>
      </c>
      <c r="U95" s="67">
        <f>INDEX(Projects[Value (M)],94)</f>
        <v/>
      </c>
      <c r="V95" s="66">
        <f>IF('Smart Search'!B13=1,IFERROR(1/'Smart Search'!H13,0),0)</f>
        <v/>
      </c>
      <c r="W95" s="66">
        <f>IF('Smart Search'!B13=1,IFERROR(1/'Smart Search'!H13,0),0)</f>
        <v/>
      </c>
      <c r="X95" s="66">
        <f>IF('Smart Search'!C13=1,IFERROR(1/'Smart Search'!H13,0),0)</f>
        <v/>
      </c>
      <c r="Y95" s="66">
        <f>IF('Smart Search'!C13=1,IFERROR(1/'Smart Search'!H13,0),0)</f>
        <v/>
      </c>
      <c r="Z95" s="66">
        <f>IF('Smart Search'!D13=1,IFERROR(1/'Smart Search'!H13,0),0)</f>
        <v/>
      </c>
      <c r="AA95" s="66">
        <f>IF('Smart Search'!D13=1,IFERROR(1/'Smart Search'!H13,0),0)</f>
        <v/>
      </c>
      <c r="AB95" s="66">
        <f>IF('Smart Search'!E13=1,IFERROR(1/'Smart Search'!H13,0),0)</f>
        <v/>
      </c>
      <c r="AC95" s="66">
        <f>IF('Smart Search'!E13=1,IFERROR(1/'Smart Search'!H13,0),0)</f>
        <v/>
      </c>
      <c r="AD95" s="66">
        <f>IF('Smart Search'!F13=1,IFERROR(1/'Smart Search'!H13,0),0)</f>
        <v/>
      </c>
      <c r="AE95" s="66">
        <f>IF('Smart Search'!F13=1,IFERROR(1/'Smart Search'!H13,0),0)</f>
        <v/>
      </c>
      <c r="AF95" s="66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66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66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66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66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66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66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66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66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66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66">
        <f>AF95*V95</f>
        <v/>
      </c>
      <c r="AQ95" s="66">
        <f>AG95*W95</f>
        <v/>
      </c>
      <c r="AR95" s="66">
        <f>AH95*X95</f>
        <v/>
      </c>
      <c r="AS95" s="66">
        <f>AI95*Y95</f>
        <v/>
      </c>
      <c r="AT95" s="66">
        <f>AJ95*Z95</f>
        <v/>
      </c>
      <c r="AU95" s="66">
        <f>AK95*AA95</f>
        <v/>
      </c>
      <c r="AV95" s="66">
        <f>AL95*AB95</f>
        <v/>
      </c>
      <c r="AW95" s="66">
        <f>AM95*AC95</f>
        <v/>
      </c>
      <c r="AX95" s="66">
        <f>AN95*AD95</f>
        <v/>
      </c>
      <c r="AY95" s="66">
        <f>AO95*AE95</f>
        <v/>
      </c>
      <c r="AZ95" s="66">
        <f>INDEX(Projects[Automation Equipment],94)&amp;""</f>
        <v/>
      </c>
      <c r="BA95" s="66">
        <f>IF(OR(A95="",'Smart Search'!H13=0),"",MAX(0,BE95*BF95*MAX(0,1-BG95)))</f>
        <v/>
      </c>
      <c r="BB95" s="66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66">
        <f>IF('Smart Search'!G13=1,IFERROR(1/'Smart Search'!H13,0),0)</f>
        <v/>
      </c>
      <c r="BD95" s="66">
        <f>BB95*BC95</f>
        <v/>
      </c>
      <c r="BE95" s="66">
        <f>AP95+AQ95+AR95+AS95+AT95+AU95+AV95+AW95+AX95+AY95+BD95</f>
        <v/>
      </c>
      <c r="BF95" s="5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5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5">
        <f>IF(AND(A95&lt;&gt;"",OR('Smart Search'!$L$5="",'Smart Search'!$L$5="All",TRIM(BZ95)=TRIM('Smart Search'!$L$5)),OR(TRIM('Smart Search'!$L$6)="",TRIM('Smart Search'!$L$6)="All",ISNUMBER(SEARCH(SUBSTITUTE(SUBSTITUTE(SUBSTITUTE(TRIM('Smart Search'!$L$6),"~","~~"),"*","~*"),"?","~?"),CA95))),OR('Smart Search'!$L$7="",AND(CB95&lt;&gt;0,CB95='Smart Search'!$L$7)),OR('Smart Search'!$L$8="",'Smart Search'!$L$8="All",TRIM(CC95)=TRIM('Smart Search'!$L$8))),IF(BA95="","",BA95+ROW()*0.0000000001),"")</f>
        <v/>
      </c>
      <c r="BI95" s="5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5">
        <f>IF(A95="","",N(INDEX(Projects[Mech Inst],94)))</f>
        <v/>
      </c>
      <c r="BK95" s="5">
        <f>IF(A95="","",N(INDEX(Projects[Elec Inst],94)))</f>
        <v/>
      </c>
      <c r="BL95" s="5">
        <f>IF(A95="","",N(INDEX(Projects[Project Management],94)))</f>
        <v/>
      </c>
      <c r="BM95" s="5">
        <f>IF(A95="","",N(INDEX(Projects[Systems Eng],94)))</f>
        <v/>
      </c>
      <c r="BN95" s="5">
        <f>IF(A95="","",N(INDEX(Projects[Mechanical Eng],94)))</f>
        <v/>
      </c>
      <c r="BO95" s="5">
        <f>IF(A95="","",N(INDEX(Projects[Structural Engineering],94)))</f>
        <v/>
      </c>
      <c r="BP95" s="5">
        <f>IF(A95="","",N(INDEX(Projects[Site Sup],94)))</f>
        <v/>
      </c>
      <c r="BQ95" s="5">
        <f>IF(A95="","",N(INDEX(Projects[Controls Commissioning],94)))</f>
        <v/>
      </c>
      <c r="BR95" s="5">
        <f>IF(A95="","",N(INDEX(Projects[Systems Commissioning],94)))</f>
        <v/>
      </c>
      <c r="BS95" s="5">
        <f>IF(A95="","",N(INDEX(Projects[Service Commissioning],94)))</f>
        <v/>
      </c>
      <c r="BT95" s="5">
        <f>IF(A95="","",N(INDEX(Projects[Controls Eng],94)))</f>
        <v/>
      </c>
      <c r="BU95" s="5">
        <f>IF(A95="","",N(INDEX(Projects[Controls Purchase],94)))</f>
        <v/>
      </c>
      <c r="BV95" s="5">
        <f>IF(A95="","",N(INDEX(Projects[Software Eng],94)))</f>
        <v/>
      </c>
      <c r="BW95" s="5">
        <f>IF(A95="","",N(INDEX(Projects[Misc],94)))</f>
        <v/>
      </c>
      <c r="BX95" s="5">
        <f>IF(A95="","",SUM(BJ95:BW95))</f>
        <v/>
      </c>
      <c r="BY95" s="5">
        <f>IF(A95="","",IFERROR(IF(ISNUMBER(U95),U95,VALUE(SUBSTITUTE(SUBSTITUTE(SUBSTITUTE(UPPER(TRIM(U95)),"M",""),",","")," ",""))),0))</f>
        <v/>
      </c>
      <c r="BZ95" s="5">
        <f>INDEX(Projects[Solution Type],94)&amp;""</f>
        <v/>
      </c>
      <c r="CA95" s="5">
        <f>INDEX(Projects[Client / Region],94)&amp;""</f>
        <v/>
      </c>
      <c r="CB95" s="5">
        <f>INDEX(Projects[Year],94)</f>
        <v/>
      </c>
      <c r="CC95" s="5">
        <f>INDEX(Projects[Won?],94)&amp;""</f>
        <v/>
      </c>
      <c r="CD95" s="5">
        <f>INDEX(Projects[Value (USD M)],94)</f>
        <v/>
      </c>
    </row>
    <row r="96" ht="15" customHeight="1" s="74">
      <c r="A96" s="66">
        <f>INDEX(Projects[Project ID *],95)&amp;""</f>
        <v/>
      </c>
      <c r="B96" s="66">
        <f>INDEX(Projects[Project Name *],95)&amp;""</f>
        <v/>
      </c>
      <c r="C96" s="66">
        <f>INDEX(Projects[MS Shuttles],95)</f>
        <v/>
      </c>
      <c r="D96" s="66">
        <f>INDEX(Projects[MS Tote Locations],95)</f>
        <v/>
      </c>
      <c r="E96" s="66">
        <f>INDEX(Projects[AS Robots],95)</f>
        <v/>
      </c>
      <c r="F96" s="66">
        <f>INDEX(Projects[AS Tote Locations],95)</f>
        <v/>
      </c>
      <c r="G96" s="66">
        <f>INDEX(Projects[PS Shuttles],95)</f>
        <v/>
      </c>
      <c r="H96" s="66">
        <f>INDEX(Projects[PS Pallet Locations],95)</f>
        <v/>
      </c>
      <c r="I96" s="66">
        <f>INDEX(Projects[SRM Cranes],95)</f>
        <v/>
      </c>
      <c r="J96" s="66">
        <f>INDEX(Projects[SRM Pallet Locations],95)</f>
        <v/>
      </c>
      <c r="K96" s="66">
        <f>INDEX(Projects[Case Conv (m)],95)</f>
        <v/>
      </c>
      <c r="L96" s="66">
        <f>INDEX(Projects[Pallet Conv (m)],95)</f>
        <v/>
      </c>
      <c r="M96" s="66">
        <f>INDEX(Projects[Mech Eng (wks)],95)</f>
        <v/>
      </c>
      <c r="N96" s="66">
        <f>INDEX(Projects[Controls Eng (wks)],95)</f>
        <v/>
      </c>
      <c r="O96" s="66">
        <f>INDEX(Projects[Systems Eng (wks)],95)</f>
        <v/>
      </c>
      <c r="P96" s="66">
        <f>INDEX(Projects[Software Eng (wks)],95)</f>
        <v/>
      </c>
      <c r="Q96" s="66">
        <f>INDEX(Projects[M&amp;E Installation (wks)],95)</f>
        <v/>
      </c>
      <c r="R96" s="66">
        <f>INDEX(Projects[Commissioning (wks)],95)</f>
        <v/>
      </c>
      <c r="S96" s="66">
        <f>INDEX(Projects[Total Timeline (wks)],95)</f>
        <v/>
      </c>
      <c r="T96" s="66">
        <f>INDEX(Projects[Currency],95)&amp;""</f>
        <v/>
      </c>
      <c r="U96" s="67">
        <f>INDEX(Projects[Value (M)],95)</f>
        <v/>
      </c>
      <c r="V96" s="66">
        <f>IF('Smart Search'!B13=1,IFERROR(1/'Smart Search'!H13,0),0)</f>
        <v/>
      </c>
      <c r="W96" s="66">
        <f>IF('Smart Search'!B13=1,IFERROR(1/'Smart Search'!H13,0),0)</f>
        <v/>
      </c>
      <c r="X96" s="66">
        <f>IF('Smart Search'!C13=1,IFERROR(1/'Smart Search'!H13,0),0)</f>
        <v/>
      </c>
      <c r="Y96" s="66">
        <f>IF('Smart Search'!C13=1,IFERROR(1/'Smart Search'!H13,0),0)</f>
        <v/>
      </c>
      <c r="Z96" s="66">
        <f>IF('Smart Search'!D13=1,IFERROR(1/'Smart Search'!H13,0),0)</f>
        <v/>
      </c>
      <c r="AA96" s="66">
        <f>IF('Smart Search'!D13=1,IFERROR(1/'Smart Search'!H13,0),0)</f>
        <v/>
      </c>
      <c r="AB96" s="66">
        <f>IF('Smart Search'!E13=1,IFERROR(1/'Smart Search'!H13,0),0)</f>
        <v/>
      </c>
      <c r="AC96" s="66">
        <f>IF('Smart Search'!E13=1,IFERROR(1/'Smart Search'!H13,0),0)</f>
        <v/>
      </c>
      <c r="AD96" s="66">
        <f>IF('Smart Search'!F13=1,IFERROR(1/'Smart Search'!H13,0),0)</f>
        <v/>
      </c>
      <c r="AE96" s="66">
        <f>IF('Smart Search'!F13=1,IFERROR(1/'Smart Search'!H13,0),0)</f>
        <v/>
      </c>
      <c r="AF96" s="66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66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66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66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66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66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66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66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66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66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66">
        <f>AF96*V96</f>
        <v/>
      </c>
      <c r="AQ96" s="66">
        <f>AG96*W96</f>
        <v/>
      </c>
      <c r="AR96" s="66">
        <f>AH96*X96</f>
        <v/>
      </c>
      <c r="AS96" s="66">
        <f>AI96*Y96</f>
        <v/>
      </c>
      <c r="AT96" s="66">
        <f>AJ96*Z96</f>
        <v/>
      </c>
      <c r="AU96" s="66">
        <f>AK96*AA96</f>
        <v/>
      </c>
      <c r="AV96" s="66">
        <f>AL96*AB96</f>
        <v/>
      </c>
      <c r="AW96" s="66">
        <f>AM96*AC96</f>
        <v/>
      </c>
      <c r="AX96" s="66">
        <f>AN96*AD96</f>
        <v/>
      </c>
      <c r="AY96" s="66">
        <f>AO96*AE96</f>
        <v/>
      </c>
      <c r="AZ96" s="66">
        <f>INDEX(Projects[Automation Equipment],95)&amp;""</f>
        <v/>
      </c>
      <c r="BA96" s="66">
        <f>IF(OR(A96="",'Smart Search'!H13=0),"",MAX(0,BE96*BF96*MAX(0,1-BG96)))</f>
        <v/>
      </c>
      <c r="BB96" s="66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66">
        <f>IF('Smart Search'!G13=1,IFERROR(1/'Smart Search'!H13,0),0)</f>
        <v/>
      </c>
      <c r="BD96" s="66">
        <f>BB96*BC96</f>
        <v/>
      </c>
      <c r="BE96" s="66">
        <f>AP96+AQ96+AR96+AS96+AT96+AU96+AV96+AW96+AX96+AY96+BD96</f>
        <v/>
      </c>
      <c r="BF96" s="5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5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5">
        <f>IF(AND(A96&lt;&gt;"",OR('Smart Search'!$L$5="",'Smart Search'!$L$5="All",TRIM(BZ96)=TRIM('Smart Search'!$L$5)),OR(TRIM('Smart Search'!$L$6)="",TRIM('Smart Search'!$L$6)="All",ISNUMBER(SEARCH(SUBSTITUTE(SUBSTITUTE(SUBSTITUTE(TRIM('Smart Search'!$L$6),"~","~~"),"*","~*"),"?","~?"),CA96))),OR('Smart Search'!$L$7="",AND(CB96&lt;&gt;0,CB96='Smart Search'!$L$7)),OR('Smart Search'!$L$8="",'Smart Search'!$L$8="All",TRIM(CC96)=TRIM('Smart Search'!$L$8))),IF(BA96="","",BA96+ROW()*0.0000000001),"")</f>
        <v/>
      </c>
      <c r="BI96" s="5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5">
        <f>IF(A96="","",N(INDEX(Projects[Mech Inst],95)))</f>
        <v/>
      </c>
      <c r="BK96" s="5">
        <f>IF(A96="","",N(INDEX(Projects[Elec Inst],95)))</f>
        <v/>
      </c>
      <c r="BL96" s="5">
        <f>IF(A96="","",N(INDEX(Projects[Project Management],95)))</f>
        <v/>
      </c>
      <c r="BM96" s="5">
        <f>IF(A96="","",N(INDEX(Projects[Systems Eng],95)))</f>
        <v/>
      </c>
      <c r="BN96" s="5">
        <f>IF(A96="","",N(INDEX(Projects[Mechanical Eng],95)))</f>
        <v/>
      </c>
      <c r="BO96" s="5">
        <f>IF(A96="","",N(INDEX(Projects[Structural Engineering],95)))</f>
        <v/>
      </c>
      <c r="BP96" s="5">
        <f>IF(A96="","",N(INDEX(Projects[Site Sup],95)))</f>
        <v/>
      </c>
      <c r="BQ96" s="5">
        <f>IF(A96="","",N(INDEX(Projects[Controls Commissioning],95)))</f>
        <v/>
      </c>
      <c r="BR96" s="5">
        <f>IF(A96="","",N(INDEX(Projects[Systems Commissioning],95)))</f>
        <v/>
      </c>
      <c r="BS96" s="5">
        <f>IF(A96="","",N(INDEX(Projects[Service Commissioning],95)))</f>
        <v/>
      </c>
      <c r="BT96" s="5">
        <f>IF(A96="","",N(INDEX(Projects[Controls Eng],95)))</f>
        <v/>
      </c>
      <c r="BU96" s="5">
        <f>IF(A96="","",N(INDEX(Projects[Controls Purchase],95)))</f>
        <v/>
      </c>
      <c r="BV96" s="5">
        <f>IF(A96="","",N(INDEX(Projects[Software Eng],95)))</f>
        <v/>
      </c>
      <c r="BW96" s="5">
        <f>IF(A96="","",N(INDEX(Projects[Misc],95)))</f>
        <v/>
      </c>
      <c r="BX96" s="5">
        <f>IF(A96="","",SUM(BJ96:BW96))</f>
        <v/>
      </c>
      <c r="BY96" s="5">
        <f>IF(A96="","",IFERROR(IF(ISNUMBER(U96),U96,VALUE(SUBSTITUTE(SUBSTITUTE(SUBSTITUTE(UPPER(TRIM(U96)),"M",""),",","")," ",""))),0))</f>
        <v/>
      </c>
      <c r="BZ96" s="5">
        <f>INDEX(Projects[Solution Type],95)&amp;""</f>
        <v/>
      </c>
      <c r="CA96" s="5">
        <f>INDEX(Projects[Client / Region],95)&amp;""</f>
        <v/>
      </c>
      <c r="CB96" s="5">
        <f>INDEX(Projects[Year],95)</f>
        <v/>
      </c>
      <c r="CC96" s="5">
        <f>INDEX(Projects[Won?],95)&amp;""</f>
        <v/>
      </c>
      <c r="CD96" s="5">
        <f>INDEX(Projects[Value (USD M)],95)</f>
        <v/>
      </c>
    </row>
    <row r="97" ht="15" customHeight="1" s="74">
      <c r="A97" s="66">
        <f>INDEX(Projects[Project ID *],96)&amp;""</f>
        <v/>
      </c>
      <c r="B97" s="66">
        <f>INDEX(Projects[Project Name *],96)&amp;""</f>
        <v/>
      </c>
      <c r="C97" s="66">
        <f>INDEX(Projects[MS Shuttles],96)</f>
        <v/>
      </c>
      <c r="D97" s="66">
        <f>INDEX(Projects[MS Tote Locations],96)</f>
        <v/>
      </c>
      <c r="E97" s="66">
        <f>INDEX(Projects[AS Robots],96)</f>
        <v/>
      </c>
      <c r="F97" s="66">
        <f>INDEX(Projects[AS Tote Locations],96)</f>
        <v/>
      </c>
      <c r="G97" s="66">
        <f>INDEX(Projects[PS Shuttles],96)</f>
        <v/>
      </c>
      <c r="H97" s="66">
        <f>INDEX(Projects[PS Pallet Locations],96)</f>
        <v/>
      </c>
      <c r="I97" s="66">
        <f>INDEX(Projects[SRM Cranes],96)</f>
        <v/>
      </c>
      <c r="J97" s="66">
        <f>INDEX(Projects[SRM Pallet Locations],96)</f>
        <v/>
      </c>
      <c r="K97" s="66">
        <f>INDEX(Projects[Case Conv (m)],96)</f>
        <v/>
      </c>
      <c r="L97" s="66">
        <f>INDEX(Projects[Pallet Conv (m)],96)</f>
        <v/>
      </c>
      <c r="M97" s="66">
        <f>INDEX(Projects[Mech Eng (wks)],96)</f>
        <v/>
      </c>
      <c r="N97" s="66">
        <f>INDEX(Projects[Controls Eng (wks)],96)</f>
        <v/>
      </c>
      <c r="O97" s="66">
        <f>INDEX(Projects[Systems Eng (wks)],96)</f>
        <v/>
      </c>
      <c r="P97" s="66">
        <f>INDEX(Projects[Software Eng (wks)],96)</f>
        <v/>
      </c>
      <c r="Q97" s="66">
        <f>INDEX(Projects[M&amp;E Installation (wks)],96)</f>
        <v/>
      </c>
      <c r="R97" s="66">
        <f>INDEX(Projects[Commissioning (wks)],96)</f>
        <v/>
      </c>
      <c r="S97" s="66">
        <f>INDEX(Projects[Total Timeline (wks)],96)</f>
        <v/>
      </c>
      <c r="T97" s="66">
        <f>INDEX(Projects[Currency],96)&amp;""</f>
        <v/>
      </c>
      <c r="U97" s="67">
        <f>INDEX(Projects[Value (M)],96)</f>
        <v/>
      </c>
      <c r="V97" s="66">
        <f>IF('Smart Search'!B13=1,IFERROR(1/'Smart Search'!H13,0),0)</f>
        <v/>
      </c>
      <c r="W97" s="66">
        <f>IF('Smart Search'!B13=1,IFERROR(1/'Smart Search'!H13,0),0)</f>
        <v/>
      </c>
      <c r="X97" s="66">
        <f>IF('Smart Search'!C13=1,IFERROR(1/'Smart Search'!H13,0),0)</f>
        <v/>
      </c>
      <c r="Y97" s="66">
        <f>IF('Smart Search'!C13=1,IFERROR(1/'Smart Search'!H13,0),0)</f>
        <v/>
      </c>
      <c r="Z97" s="66">
        <f>IF('Smart Search'!D13=1,IFERROR(1/'Smart Search'!H13,0),0)</f>
        <v/>
      </c>
      <c r="AA97" s="66">
        <f>IF('Smart Search'!D13=1,IFERROR(1/'Smart Search'!H13,0),0)</f>
        <v/>
      </c>
      <c r="AB97" s="66">
        <f>IF('Smart Search'!E13=1,IFERROR(1/'Smart Search'!H13,0),0)</f>
        <v/>
      </c>
      <c r="AC97" s="66">
        <f>IF('Smart Search'!E13=1,IFERROR(1/'Smart Search'!H13,0),0)</f>
        <v/>
      </c>
      <c r="AD97" s="66">
        <f>IF('Smart Search'!F13=1,IFERROR(1/'Smart Search'!H13,0),0)</f>
        <v/>
      </c>
      <c r="AE97" s="66">
        <f>IF('Smart Search'!F13=1,IFERROR(1/'Smart Search'!H13,0),0)</f>
        <v/>
      </c>
      <c r="AF97" s="66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66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66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66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66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66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66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66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66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66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66">
        <f>AF97*V97</f>
        <v/>
      </c>
      <c r="AQ97" s="66">
        <f>AG97*W97</f>
        <v/>
      </c>
      <c r="AR97" s="66">
        <f>AH97*X97</f>
        <v/>
      </c>
      <c r="AS97" s="66">
        <f>AI97*Y97</f>
        <v/>
      </c>
      <c r="AT97" s="66">
        <f>AJ97*Z97</f>
        <v/>
      </c>
      <c r="AU97" s="66">
        <f>AK97*AA97</f>
        <v/>
      </c>
      <c r="AV97" s="66">
        <f>AL97*AB97</f>
        <v/>
      </c>
      <c r="AW97" s="66">
        <f>AM97*AC97</f>
        <v/>
      </c>
      <c r="AX97" s="66">
        <f>AN97*AD97</f>
        <v/>
      </c>
      <c r="AY97" s="66">
        <f>AO97*AE97</f>
        <v/>
      </c>
      <c r="AZ97" s="66">
        <f>INDEX(Projects[Automation Equipment],96)&amp;""</f>
        <v/>
      </c>
      <c r="BA97" s="66">
        <f>IF(OR(A97="",'Smart Search'!H13=0),"",MAX(0,BE97*BF97*MAX(0,1-BG97)))</f>
        <v/>
      </c>
      <c r="BB97" s="66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66">
        <f>IF('Smart Search'!G13=1,IFERROR(1/'Smart Search'!H13,0),0)</f>
        <v/>
      </c>
      <c r="BD97" s="66">
        <f>BB97*BC97</f>
        <v/>
      </c>
      <c r="BE97" s="66">
        <f>AP97+AQ97+AR97+AS97+AT97+AU97+AV97+AW97+AX97+AY97+BD97</f>
        <v/>
      </c>
      <c r="BF97" s="5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5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5">
        <f>IF(AND(A97&lt;&gt;"",OR('Smart Search'!$L$5="",'Smart Search'!$L$5="All",TRIM(BZ97)=TRIM('Smart Search'!$L$5)),OR(TRIM('Smart Search'!$L$6)="",TRIM('Smart Search'!$L$6)="All",ISNUMBER(SEARCH(SUBSTITUTE(SUBSTITUTE(SUBSTITUTE(TRIM('Smart Search'!$L$6),"~","~~"),"*","~*"),"?","~?"),CA97))),OR('Smart Search'!$L$7="",AND(CB97&lt;&gt;0,CB97='Smart Search'!$L$7)),OR('Smart Search'!$L$8="",'Smart Search'!$L$8="All",TRIM(CC97)=TRIM('Smart Search'!$L$8))),IF(BA97="","",BA97+ROW()*0.0000000001),"")</f>
        <v/>
      </c>
      <c r="BI97" s="5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5">
        <f>IF(A97="","",N(INDEX(Projects[Mech Inst],96)))</f>
        <v/>
      </c>
      <c r="BK97" s="5">
        <f>IF(A97="","",N(INDEX(Projects[Elec Inst],96)))</f>
        <v/>
      </c>
      <c r="BL97" s="5">
        <f>IF(A97="","",N(INDEX(Projects[Project Management],96)))</f>
        <v/>
      </c>
      <c r="BM97" s="5">
        <f>IF(A97="","",N(INDEX(Projects[Systems Eng],96)))</f>
        <v/>
      </c>
      <c r="BN97" s="5">
        <f>IF(A97="","",N(INDEX(Projects[Mechanical Eng],96)))</f>
        <v/>
      </c>
      <c r="BO97" s="5">
        <f>IF(A97="","",N(INDEX(Projects[Structural Engineering],96)))</f>
        <v/>
      </c>
      <c r="BP97" s="5">
        <f>IF(A97="","",N(INDEX(Projects[Site Sup],96)))</f>
        <v/>
      </c>
      <c r="BQ97" s="5">
        <f>IF(A97="","",N(INDEX(Projects[Controls Commissioning],96)))</f>
        <v/>
      </c>
      <c r="BR97" s="5">
        <f>IF(A97="","",N(INDEX(Projects[Systems Commissioning],96)))</f>
        <v/>
      </c>
      <c r="BS97" s="5">
        <f>IF(A97="","",N(INDEX(Projects[Service Commissioning],96)))</f>
        <v/>
      </c>
      <c r="BT97" s="5">
        <f>IF(A97="","",N(INDEX(Projects[Controls Eng],96)))</f>
        <v/>
      </c>
      <c r="BU97" s="5">
        <f>IF(A97="","",N(INDEX(Projects[Controls Purchase],96)))</f>
        <v/>
      </c>
      <c r="BV97" s="5">
        <f>IF(A97="","",N(INDEX(Projects[Software Eng],96)))</f>
        <v/>
      </c>
      <c r="BW97" s="5">
        <f>IF(A97="","",N(INDEX(Projects[Misc],96)))</f>
        <v/>
      </c>
      <c r="BX97" s="5">
        <f>IF(A97="","",SUM(BJ97:BW97))</f>
        <v/>
      </c>
      <c r="BY97" s="5">
        <f>IF(A97="","",IFERROR(IF(ISNUMBER(U97),U97,VALUE(SUBSTITUTE(SUBSTITUTE(SUBSTITUTE(UPPER(TRIM(U97)),"M",""),",","")," ",""))),0))</f>
        <v/>
      </c>
      <c r="BZ97" s="5">
        <f>INDEX(Projects[Solution Type],96)&amp;""</f>
        <v/>
      </c>
      <c r="CA97" s="5">
        <f>INDEX(Projects[Client / Region],96)&amp;""</f>
        <v/>
      </c>
      <c r="CB97" s="5">
        <f>INDEX(Projects[Year],96)</f>
        <v/>
      </c>
      <c r="CC97" s="5">
        <f>INDEX(Projects[Won?],96)&amp;""</f>
        <v/>
      </c>
      <c r="CD97" s="5">
        <f>INDEX(Projects[Value (USD M)],96)</f>
        <v/>
      </c>
    </row>
    <row r="98" ht="15" customHeight="1" s="74">
      <c r="A98" s="66">
        <f>INDEX(Projects[Project ID *],97)&amp;""</f>
        <v/>
      </c>
      <c r="B98" s="66">
        <f>INDEX(Projects[Project Name *],97)&amp;""</f>
        <v/>
      </c>
      <c r="C98" s="66">
        <f>INDEX(Projects[MS Shuttles],97)</f>
        <v/>
      </c>
      <c r="D98" s="66">
        <f>INDEX(Projects[MS Tote Locations],97)</f>
        <v/>
      </c>
      <c r="E98" s="66">
        <f>INDEX(Projects[AS Robots],97)</f>
        <v/>
      </c>
      <c r="F98" s="66">
        <f>INDEX(Projects[AS Tote Locations],97)</f>
        <v/>
      </c>
      <c r="G98" s="66">
        <f>INDEX(Projects[PS Shuttles],97)</f>
        <v/>
      </c>
      <c r="H98" s="66">
        <f>INDEX(Projects[PS Pallet Locations],97)</f>
        <v/>
      </c>
      <c r="I98" s="66">
        <f>INDEX(Projects[SRM Cranes],97)</f>
        <v/>
      </c>
      <c r="J98" s="66">
        <f>INDEX(Projects[SRM Pallet Locations],97)</f>
        <v/>
      </c>
      <c r="K98" s="66">
        <f>INDEX(Projects[Case Conv (m)],97)</f>
        <v/>
      </c>
      <c r="L98" s="66">
        <f>INDEX(Projects[Pallet Conv (m)],97)</f>
        <v/>
      </c>
      <c r="M98" s="66">
        <f>INDEX(Projects[Mech Eng (wks)],97)</f>
        <v/>
      </c>
      <c r="N98" s="66">
        <f>INDEX(Projects[Controls Eng (wks)],97)</f>
        <v/>
      </c>
      <c r="O98" s="66">
        <f>INDEX(Projects[Systems Eng (wks)],97)</f>
        <v/>
      </c>
      <c r="P98" s="66">
        <f>INDEX(Projects[Software Eng (wks)],97)</f>
        <v/>
      </c>
      <c r="Q98" s="66">
        <f>INDEX(Projects[M&amp;E Installation (wks)],97)</f>
        <v/>
      </c>
      <c r="R98" s="66">
        <f>INDEX(Projects[Commissioning (wks)],97)</f>
        <v/>
      </c>
      <c r="S98" s="66">
        <f>INDEX(Projects[Total Timeline (wks)],97)</f>
        <v/>
      </c>
      <c r="T98" s="66">
        <f>INDEX(Projects[Currency],97)&amp;""</f>
        <v/>
      </c>
      <c r="U98" s="67">
        <f>INDEX(Projects[Value (M)],97)</f>
        <v/>
      </c>
      <c r="V98" s="66">
        <f>IF('Smart Search'!B13=1,IFERROR(1/'Smart Search'!H13,0),0)</f>
        <v/>
      </c>
      <c r="W98" s="66">
        <f>IF('Smart Search'!B13=1,IFERROR(1/'Smart Search'!H13,0),0)</f>
        <v/>
      </c>
      <c r="X98" s="66">
        <f>IF('Smart Search'!C13=1,IFERROR(1/'Smart Search'!H13,0),0)</f>
        <v/>
      </c>
      <c r="Y98" s="66">
        <f>IF('Smart Search'!C13=1,IFERROR(1/'Smart Search'!H13,0),0)</f>
        <v/>
      </c>
      <c r="Z98" s="66">
        <f>IF('Smart Search'!D13=1,IFERROR(1/'Smart Search'!H13,0),0)</f>
        <v/>
      </c>
      <c r="AA98" s="66">
        <f>IF('Smart Search'!D13=1,IFERROR(1/'Smart Search'!H13,0),0)</f>
        <v/>
      </c>
      <c r="AB98" s="66">
        <f>IF('Smart Search'!E13=1,IFERROR(1/'Smart Search'!H13,0),0)</f>
        <v/>
      </c>
      <c r="AC98" s="66">
        <f>IF('Smart Search'!E13=1,IFERROR(1/'Smart Search'!H13,0),0)</f>
        <v/>
      </c>
      <c r="AD98" s="66">
        <f>IF('Smart Search'!F13=1,IFERROR(1/'Smart Search'!H13,0),0)</f>
        <v/>
      </c>
      <c r="AE98" s="66">
        <f>IF('Smart Search'!F13=1,IFERROR(1/'Smart Search'!H13,0),0)</f>
        <v/>
      </c>
      <c r="AF98" s="66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66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66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66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66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66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66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66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66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66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66">
        <f>AF98*V98</f>
        <v/>
      </c>
      <c r="AQ98" s="66">
        <f>AG98*W98</f>
        <v/>
      </c>
      <c r="AR98" s="66">
        <f>AH98*X98</f>
        <v/>
      </c>
      <c r="AS98" s="66">
        <f>AI98*Y98</f>
        <v/>
      </c>
      <c r="AT98" s="66">
        <f>AJ98*Z98</f>
        <v/>
      </c>
      <c r="AU98" s="66">
        <f>AK98*AA98</f>
        <v/>
      </c>
      <c r="AV98" s="66">
        <f>AL98*AB98</f>
        <v/>
      </c>
      <c r="AW98" s="66">
        <f>AM98*AC98</f>
        <v/>
      </c>
      <c r="AX98" s="66">
        <f>AN98*AD98</f>
        <v/>
      </c>
      <c r="AY98" s="66">
        <f>AO98*AE98</f>
        <v/>
      </c>
      <c r="AZ98" s="66">
        <f>INDEX(Projects[Automation Equipment],97)&amp;""</f>
        <v/>
      </c>
      <c r="BA98" s="66">
        <f>IF(OR(A98="",'Smart Search'!H13=0),"",MAX(0,BE98*BF98*MAX(0,1-BG98)))</f>
        <v/>
      </c>
      <c r="BB98" s="66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66">
        <f>IF('Smart Search'!G13=1,IFERROR(1/'Smart Search'!H13,0),0)</f>
        <v/>
      </c>
      <c r="BD98" s="66">
        <f>BB98*BC98</f>
        <v/>
      </c>
      <c r="BE98" s="66">
        <f>AP98+AQ98+AR98+AS98+AT98+AU98+AV98+AW98+AX98+AY98+BD98</f>
        <v/>
      </c>
      <c r="BF98" s="5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5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5">
        <f>IF(AND(A98&lt;&gt;"",OR('Smart Search'!$L$5="",'Smart Search'!$L$5="All",TRIM(BZ98)=TRIM('Smart Search'!$L$5)),OR(TRIM('Smart Search'!$L$6)="",TRIM('Smart Search'!$L$6)="All",ISNUMBER(SEARCH(SUBSTITUTE(SUBSTITUTE(SUBSTITUTE(TRIM('Smart Search'!$L$6),"~","~~"),"*","~*"),"?","~?"),CA98))),OR('Smart Search'!$L$7="",AND(CB98&lt;&gt;0,CB98='Smart Search'!$L$7)),OR('Smart Search'!$L$8="",'Smart Search'!$L$8="All",TRIM(CC98)=TRIM('Smart Search'!$L$8))),IF(BA98="","",BA98+ROW()*0.0000000001),"")</f>
        <v/>
      </c>
      <c r="BI98" s="5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5">
        <f>IF(A98="","",N(INDEX(Projects[Mech Inst],97)))</f>
        <v/>
      </c>
      <c r="BK98" s="5">
        <f>IF(A98="","",N(INDEX(Projects[Elec Inst],97)))</f>
        <v/>
      </c>
      <c r="BL98" s="5">
        <f>IF(A98="","",N(INDEX(Projects[Project Management],97)))</f>
        <v/>
      </c>
      <c r="BM98" s="5">
        <f>IF(A98="","",N(INDEX(Projects[Systems Eng],97)))</f>
        <v/>
      </c>
      <c r="BN98" s="5">
        <f>IF(A98="","",N(INDEX(Projects[Mechanical Eng],97)))</f>
        <v/>
      </c>
      <c r="BO98" s="5">
        <f>IF(A98="","",N(INDEX(Projects[Structural Engineering],97)))</f>
        <v/>
      </c>
      <c r="BP98" s="5">
        <f>IF(A98="","",N(INDEX(Projects[Site Sup],97)))</f>
        <v/>
      </c>
      <c r="BQ98" s="5">
        <f>IF(A98="","",N(INDEX(Projects[Controls Commissioning],97)))</f>
        <v/>
      </c>
      <c r="BR98" s="5">
        <f>IF(A98="","",N(INDEX(Projects[Systems Commissioning],97)))</f>
        <v/>
      </c>
      <c r="BS98" s="5">
        <f>IF(A98="","",N(INDEX(Projects[Service Commissioning],97)))</f>
        <v/>
      </c>
      <c r="BT98" s="5">
        <f>IF(A98="","",N(INDEX(Projects[Controls Eng],97)))</f>
        <v/>
      </c>
      <c r="BU98" s="5">
        <f>IF(A98="","",N(INDEX(Projects[Controls Purchase],97)))</f>
        <v/>
      </c>
      <c r="BV98" s="5">
        <f>IF(A98="","",N(INDEX(Projects[Software Eng],97)))</f>
        <v/>
      </c>
      <c r="BW98" s="5">
        <f>IF(A98="","",N(INDEX(Projects[Misc],97)))</f>
        <v/>
      </c>
      <c r="BX98" s="5">
        <f>IF(A98="","",SUM(BJ98:BW98))</f>
        <v/>
      </c>
      <c r="BY98" s="5">
        <f>IF(A98="","",IFERROR(IF(ISNUMBER(U98),U98,VALUE(SUBSTITUTE(SUBSTITUTE(SUBSTITUTE(UPPER(TRIM(U98)),"M",""),",","")," ",""))),0))</f>
        <v/>
      </c>
      <c r="BZ98" s="5">
        <f>INDEX(Projects[Solution Type],97)&amp;""</f>
        <v/>
      </c>
      <c r="CA98" s="5">
        <f>INDEX(Projects[Client / Region],97)&amp;""</f>
        <v/>
      </c>
      <c r="CB98" s="5">
        <f>INDEX(Projects[Year],97)</f>
        <v/>
      </c>
      <c r="CC98" s="5">
        <f>INDEX(Projects[Won?],97)&amp;""</f>
        <v/>
      </c>
      <c r="CD98" s="5">
        <f>INDEX(Projects[Value (USD M)],97)</f>
        <v/>
      </c>
    </row>
    <row r="99" ht="15" customHeight="1" s="74">
      <c r="A99" s="66">
        <f>INDEX(Projects[Project ID *],98)&amp;""</f>
        <v/>
      </c>
      <c r="B99" s="66">
        <f>INDEX(Projects[Project Name *],98)&amp;""</f>
        <v/>
      </c>
      <c r="C99" s="66">
        <f>INDEX(Projects[MS Shuttles],98)</f>
        <v/>
      </c>
      <c r="D99" s="66">
        <f>INDEX(Projects[MS Tote Locations],98)</f>
        <v/>
      </c>
      <c r="E99" s="66">
        <f>INDEX(Projects[AS Robots],98)</f>
        <v/>
      </c>
      <c r="F99" s="66">
        <f>INDEX(Projects[AS Tote Locations],98)</f>
        <v/>
      </c>
      <c r="G99" s="66">
        <f>INDEX(Projects[PS Shuttles],98)</f>
        <v/>
      </c>
      <c r="H99" s="66">
        <f>INDEX(Projects[PS Pallet Locations],98)</f>
        <v/>
      </c>
      <c r="I99" s="66">
        <f>INDEX(Projects[SRM Cranes],98)</f>
        <v/>
      </c>
      <c r="J99" s="66">
        <f>INDEX(Projects[SRM Pallet Locations],98)</f>
        <v/>
      </c>
      <c r="K99" s="66">
        <f>INDEX(Projects[Case Conv (m)],98)</f>
        <v/>
      </c>
      <c r="L99" s="66">
        <f>INDEX(Projects[Pallet Conv (m)],98)</f>
        <v/>
      </c>
      <c r="M99" s="66">
        <f>INDEX(Projects[Mech Eng (wks)],98)</f>
        <v/>
      </c>
      <c r="N99" s="66">
        <f>INDEX(Projects[Controls Eng (wks)],98)</f>
        <v/>
      </c>
      <c r="O99" s="66">
        <f>INDEX(Projects[Systems Eng (wks)],98)</f>
        <v/>
      </c>
      <c r="P99" s="66">
        <f>INDEX(Projects[Software Eng (wks)],98)</f>
        <v/>
      </c>
      <c r="Q99" s="66">
        <f>INDEX(Projects[M&amp;E Installation (wks)],98)</f>
        <v/>
      </c>
      <c r="R99" s="66">
        <f>INDEX(Projects[Commissioning (wks)],98)</f>
        <v/>
      </c>
      <c r="S99" s="66">
        <f>INDEX(Projects[Total Timeline (wks)],98)</f>
        <v/>
      </c>
      <c r="T99" s="66">
        <f>INDEX(Projects[Currency],98)&amp;""</f>
        <v/>
      </c>
      <c r="U99" s="67">
        <f>INDEX(Projects[Value (M)],98)</f>
        <v/>
      </c>
      <c r="V99" s="66">
        <f>IF('Smart Search'!B13=1,IFERROR(1/'Smart Search'!H13,0),0)</f>
        <v/>
      </c>
      <c r="W99" s="66">
        <f>IF('Smart Search'!B13=1,IFERROR(1/'Smart Search'!H13,0),0)</f>
        <v/>
      </c>
      <c r="X99" s="66">
        <f>IF('Smart Search'!C13=1,IFERROR(1/'Smart Search'!H13,0),0)</f>
        <v/>
      </c>
      <c r="Y99" s="66">
        <f>IF('Smart Search'!C13=1,IFERROR(1/'Smart Search'!H13,0),0)</f>
        <v/>
      </c>
      <c r="Z99" s="66">
        <f>IF('Smart Search'!D13=1,IFERROR(1/'Smart Search'!H13,0),0)</f>
        <v/>
      </c>
      <c r="AA99" s="66">
        <f>IF('Smart Search'!D13=1,IFERROR(1/'Smart Search'!H13,0),0)</f>
        <v/>
      </c>
      <c r="AB99" s="66">
        <f>IF('Smart Search'!E13=1,IFERROR(1/'Smart Search'!H13,0),0)</f>
        <v/>
      </c>
      <c r="AC99" s="66">
        <f>IF('Smart Search'!E13=1,IFERROR(1/'Smart Search'!H13,0),0)</f>
        <v/>
      </c>
      <c r="AD99" s="66">
        <f>IF('Smart Search'!F13=1,IFERROR(1/'Smart Search'!H13,0),0)</f>
        <v/>
      </c>
      <c r="AE99" s="66">
        <f>IF('Smart Search'!F13=1,IFERROR(1/'Smart Search'!H13,0),0)</f>
        <v/>
      </c>
      <c r="AF99" s="66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66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66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66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66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66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66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66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66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66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66">
        <f>AF99*V99</f>
        <v/>
      </c>
      <c r="AQ99" s="66">
        <f>AG99*W99</f>
        <v/>
      </c>
      <c r="AR99" s="66">
        <f>AH99*X99</f>
        <v/>
      </c>
      <c r="AS99" s="66">
        <f>AI99*Y99</f>
        <v/>
      </c>
      <c r="AT99" s="66">
        <f>AJ99*Z99</f>
        <v/>
      </c>
      <c r="AU99" s="66">
        <f>AK99*AA99</f>
        <v/>
      </c>
      <c r="AV99" s="66">
        <f>AL99*AB99</f>
        <v/>
      </c>
      <c r="AW99" s="66">
        <f>AM99*AC99</f>
        <v/>
      </c>
      <c r="AX99" s="66">
        <f>AN99*AD99</f>
        <v/>
      </c>
      <c r="AY99" s="66">
        <f>AO99*AE99</f>
        <v/>
      </c>
      <c r="AZ99" s="66">
        <f>INDEX(Projects[Automation Equipment],98)&amp;""</f>
        <v/>
      </c>
      <c r="BA99" s="66">
        <f>IF(OR(A99="",'Smart Search'!H13=0),"",MAX(0,BE99*BF99*MAX(0,1-BG99)))</f>
        <v/>
      </c>
      <c r="BB99" s="66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66">
        <f>IF('Smart Search'!G13=1,IFERROR(1/'Smart Search'!H13,0),0)</f>
        <v/>
      </c>
      <c r="BD99" s="66">
        <f>BB99*BC99</f>
        <v/>
      </c>
      <c r="BE99" s="66">
        <f>AP99+AQ99+AR99+AS99+AT99+AU99+AV99+AW99+AX99+AY99+BD99</f>
        <v/>
      </c>
      <c r="BF99" s="5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5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5">
        <f>IF(AND(A99&lt;&gt;"",OR('Smart Search'!$L$5="",'Smart Search'!$L$5="All",TRIM(BZ99)=TRIM('Smart Search'!$L$5)),OR(TRIM('Smart Search'!$L$6)="",TRIM('Smart Search'!$L$6)="All",ISNUMBER(SEARCH(SUBSTITUTE(SUBSTITUTE(SUBSTITUTE(TRIM('Smart Search'!$L$6),"~","~~"),"*","~*"),"?","~?"),CA99))),OR('Smart Search'!$L$7="",AND(CB99&lt;&gt;0,CB99='Smart Search'!$L$7)),OR('Smart Search'!$L$8="",'Smart Search'!$L$8="All",TRIM(CC99)=TRIM('Smart Search'!$L$8))),IF(BA99="","",BA99+ROW()*0.0000000001),"")</f>
        <v/>
      </c>
      <c r="BI99" s="5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5">
        <f>IF(A99="","",N(INDEX(Projects[Mech Inst],98)))</f>
        <v/>
      </c>
      <c r="BK99" s="5">
        <f>IF(A99="","",N(INDEX(Projects[Elec Inst],98)))</f>
        <v/>
      </c>
      <c r="BL99" s="5">
        <f>IF(A99="","",N(INDEX(Projects[Project Management],98)))</f>
        <v/>
      </c>
      <c r="BM99" s="5">
        <f>IF(A99="","",N(INDEX(Projects[Systems Eng],98)))</f>
        <v/>
      </c>
      <c r="BN99" s="5">
        <f>IF(A99="","",N(INDEX(Projects[Mechanical Eng],98)))</f>
        <v/>
      </c>
      <c r="BO99" s="5">
        <f>IF(A99="","",N(INDEX(Projects[Structural Engineering],98)))</f>
        <v/>
      </c>
      <c r="BP99" s="5">
        <f>IF(A99="","",N(INDEX(Projects[Site Sup],98)))</f>
        <v/>
      </c>
      <c r="BQ99" s="5">
        <f>IF(A99="","",N(INDEX(Projects[Controls Commissioning],98)))</f>
        <v/>
      </c>
      <c r="BR99" s="5">
        <f>IF(A99="","",N(INDEX(Projects[Systems Commissioning],98)))</f>
        <v/>
      </c>
      <c r="BS99" s="5">
        <f>IF(A99="","",N(INDEX(Projects[Service Commissioning],98)))</f>
        <v/>
      </c>
      <c r="BT99" s="5">
        <f>IF(A99="","",N(INDEX(Projects[Controls Eng],98)))</f>
        <v/>
      </c>
      <c r="BU99" s="5">
        <f>IF(A99="","",N(INDEX(Projects[Controls Purchase],98)))</f>
        <v/>
      </c>
      <c r="BV99" s="5">
        <f>IF(A99="","",N(INDEX(Projects[Software Eng],98)))</f>
        <v/>
      </c>
      <c r="BW99" s="5">
        <f>IF(A99="","",N(INDEX(Projects[Misc],98)))</f>
        <v/>
      </c>
      <c r="BX99" s="5">
        <f>IF(A99="","",SUM(BJ99:BW99))</f>
        <v/>
      </c>
      <c r="BY99" s="5">
        <f>IF(A99="","",IFERROR(IF(ISNUMBER(U99),U99,VALUE(SUBSTITUTE(SUBSTITUTE(SUBSTITUTE(UPPER(TRIM(U99)),"M",""),",","")," ",""))),0))</f>
        <v/>
      </c>
      <c r="BZ99" s="5">
        <f>INDEX(Projects[Solution Type],98)&amp;""</f>
        <v/>
      </c>
      <c r="CA99" s="5">
        <f>INDEX(Projects[Client / Region],98)&amp;""</f>
        <v/>
      </c>
      <c r="CB99" s="5">
        <f>INDEX(Projects[Year],98)</f>
        <v/>
      </c>
      <c r="CC99" s="5">
        <f>INDEX(Projects[Won?],98)&amp;""</f>
        <v/>
      </c>
      <c r="CD99" s="5">
        <f>INDEX(Projects[Value (USD M)],98)</f>
        <v/>
      </c>
    </row>
    <row r="100" ht="15" customHeight="1" s="74">
      <c r="A100" s="66">
        <f>INDEX(Projects[Project ID *],99)&amp;""</f>
        <v/>
      </c>
      <c r="B100" s="66">
        <f>INDEX(Projects[Project Name *],99)&amp;""</f>
        <v/>
      </c>
      <c r="C100" s="66">
        <f>INDEX(Projects[MS Shuttles],99)</f>
        <v/>
      </c>
      <c r="D100" s="66">
        <f>INDEX(Projects[MS Tote Locations],99)</f>
        <v/>
      </c>
      <c r="E100" s="66">
        <f>INDEX(Projects[AS Robots],99)</f>
        <v/>
      </c>
      <c r="F100" s="66">
        <f>INDEX(Projects[AS Tote Locations],99)</f>
        <v/>
      </c>
      <c r="G100" s="66">
        <f>INDEX(Projects[PS Shuttles],99)</f>
        <v/>
      </c>
      <c r="H100" s="66">
        <f>INDEX(Projects[PS Pallet Locations],99)</f>
        <v/>
      </c>
      <c r="I100" s="66">
        <f>INDEX(Projects[SRM Cranes],99)</f>
        <v/>
      </c>
      <c r="J100" s="66">
        <f>INDEX(Projects[SRM Pallet Locations],99)</f>
        <v/>
      </c>
      <c r="K100" s="66">
        <f>INDEX(Projects[Case Conv (m)],99)</f>
        <v/>
      </c>
      <c r="L100" s="66">
        <f>INDEX(Projects[Pallet Conv (m)],99)</f>
        <v/>
      </c>
      <c r="M100" s="66">
        <f>INDEX(Projects[Mech Eng (wks)],99)</f>
        <v/>
      </c>
      <c r="N100" s="66">
        <f>INDEX(Projects[Controls Eng (wks)],99)</f>
        <v/>
      </c>
      <c r="O100" s="66">
        <f>INDEX(Projects[Systems Eng (wks)],99)</f>
        <v/>
      </c>
      <c r="P100" s="66">
        <f>INDEX(Projects[Software Eng (wks)],99)</f>
        <v/>
      </c>
      <c r="Q100" s="66">
        <f>INDEX(Projects[M&amp;E Installation (wks)],99)</f>
        <v/>
      </c>
      <c r="R100" s="66">
        <f>INDEX(Projects[Commissioning (wks)],99)</f>
        <v/>
      </c>
      <c r="S100" s="66">
        <f>INDEX(Projects[Total Timeline (wks)],99)</f>
        <v/>
      </c>
      <c r="T100" s="66">
        <f>INDEX(Projects[Currency],99)&amp;""</f>
        <v/>
      </c>
      <c r="U100" s="67">
        <f>INDEX(Projects[Value (M)],99)</f>
        <v/>
      </c>
      <c r="V100" s="66">
        <f>IF('Smart Search'!B13=1,IFERROR(1/'Smart Search'!H13,0),0)</f>
        <v/>
      </c>
      <c r="W100" s="66">
        <f>IF('Smart Search'!B13=1,IFERROR(1/'Smart Search'!H13,0),0)</f>
        <v/>
      </c>
      <c r="X100" s="66">
        <f>IF('Smart Search'!C13=1,IFERROR(1/'Smart Search'!H13,0),0)</f>
        <v/>
      </c>
      <c r="Y100" s="66">
        <f>IF('Smart Search'!C13=1,IFERROR(1/'Smart Search'!H13,0),0)</f>
        <v/>
      </c>
      <c r="Z100" s="66">
        <f>IF('Smart Search'!D13=1,IFERROR(1/'Smart Search'!H13,0),0)</f>
        <v/>
      </c>
      <c r="AA100" s="66">
        <f>IF('Smart Search'!D13=1,IFERROR(1/'Smart Search'!H13,0),0)</f>
        <v/>
      </c>
      <c r="AB100" s="66">
        <f>IF('Smart Search'!E13=1,IFERROR(1/'Smart Search'!H13,0),0)</f>
        <v/>
      </c>
      <c r="AC100" s="66">
        <f>IF('Smart Search'!E13=1,IFERROR(1/'Smart Search'!H13,0),0)</f>
        <v/>
      </c>
      <c r="AD100" s="66">
        <f>IF('Smart Search'!F13=1,IFERROR(1/'Smart Search'!H13,0),0)</f>
        <v/>
      </c>
      <c r="AE100" s="66">
        <f>IF('Smart Search'!F13=1,IFERROR(1/'Smart Search'!H13,0),0)</f>
        <v/>
      </c>
      <c r="AF100" s="66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66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66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66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66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66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66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66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66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66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66">
        <f>AF100*V100</f>
        <v/>
      </c>
      <c r="AQ100" s="66">
        <f>AG100*W100</f>
        <v/>
      </c>
      <c r="AR100" s="66">
        <f>AH100*X100</f>
        <v/>
      </c>
      <c r="AS100" s="66">
        <f>AI100*Y100</f>
        <v/>
      </c>
      <c r="AT100" s="66">
        <f>AJ100*Z100</f>
        <v/>
      </c>
      <c r="AU100" s="66">
        <f>AK100*AA100</f>
        <v/>
      </c>
      <c r="AV100" s="66">
        <f>AL100*AB100</f>
        <v/>
      </c>
      <c r="AW100" s="66">
        <f>AM100*AC100</f>
        <v/>
      </c>
      <c r="AX100" s="66">
        <f>AN100*AD100</f>
        <v/>
      </c>
      <c r="AY100" s="66">
        <f>AO100*AE100</f>
        <v/>
      </c>
      <c r="AZ100" s="66">
        <f>INDEX(Projects[Automation Equipment],99)&amp;""</f>
        <v/>
      </c>
      <c r="BA100" s="66">
        <f>IF(OR(A100="",'Smart Search'!H13=0),"",MAX(0,BE100*BF100*MAX(0,1-BG100)))</f>
        <v/>
      </c>
      <c r="BB100" s="66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66">
        <f>IF('Smart Search'!G13=1,IFERROR(1/'Smart Search'!H13,0),0)</f>
        <v/>
      </c>
      <c r="BD100" s="66">
        <f>BB100*BC100</f>
        <v/>
      </c>
      <c r="BE100" s="66">
        <f>AP100+AQ100+AR100+AS100+AT100+AU100+AV100+AW100+AX100+AY100+BD100</f>
        <v/>
      </c>
      <c r="BF100" s="5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5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5">
        <f>IF(AND(A100&lt;&gt;"",OR('Smart Search'!$L$5="",'Smart Search'!$L$5="All",TRIM(BZ100)=TRIM('Smart Search'!$L$5)),OR(TRIM('Smart Search'!$L$6)="",TRIM('Smart Search'!$L$6)="All",ISNUMBER(SEARCH(SUBSTITUTE(SUBSTITUTE(SUBSTITUTE(TRIM('Smart Search'!$L$6),"~","~~"),"*","~*"),"?","~?"),CA100))),OR('Smart Search'!$L$7="",AND(CB100&lt;&gt;0,CB100='Smart Search'!$L$7)),OR('Smart Search'!$L$8="",'Smart Search'!$L$8="All",TRIM(CC100)=TRIM('Smart Search'!$L$8))),IF(BA100="","",BA100+ROW()*0.0000000001),"")</f>
        <v/>
      </c>
      <c r="BI100" s="5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5">
        <f>IF(A100="","",N(INDEX(Projects[Mech Inst],99)))</f>
        <v/>
      </c>
      <c r="BK100" s="5">
        <f>IF(A100="","",N(INDEX(Projects[Elec Inst],99)))</f>
        <v/>
      </c>
      <c r="BL100" s="5">
        <f>IF(A100="","",N(INDEX(Projects[Project Management],99)))</f>
        <v/>
      </c>
      <c r="BM100" s="5">
        <f>IF(A100="","",N(INDEX(Projects[Systems Eng],99)))</f>
        <v/>
      </c>
      <c r="BN100" s="5">
        <f>IF(A100="","",N(INDEX(Projects[Mechanical Eng],99)))</f>
        <v/>
      </c>
      <c r="BO100" s="5">
        <f>IF(A100="","",N(INDEX(Projects[Structural Engineering],99)))</f>
        <v/>
      </c>
      <c r="BP100" s="5">
        <f>IF(A100="","",N(INDEX(Projects[Site Sup],99)))</f>
        <v/>
      </c>
      <c r="BQ100" s="5">
        <f>IF(A100="","",N(INDEX(Projects[Controls Commissioning],99)))</f>
        <v/>
      </c>
      <c r="BR100" s="5">
        <f>IF(A100="","",N(INDEX(Projects[Systems Commissioning],99)))</f>
        <v/>
      </c>
      <c r="BS100" s="5">
        <f>IF(A100="","",N(INDEX(Projects[Service Commissioning],99)))</f>
        <v/>
      </c>
      <c r="BT100" s="5">
        <f>IF(A100="","",N(INDEX(Projects[Controls Eng],99)))</f>
        <v/>
      </c>
      <c r="BU100" s="5">
        <f>IF(A100="","",N(INDEX(Projects[Controls Purchase],99)))</f>
        <v/>
      </c>
      <c r="BV100" s="5">
        <f>IF(A100="","",N(INDEX(Projects[Software Eng],99)))</f>
        <v/>
      </c>
      <c r="BW100" s="5">
        <f>IF(A100="","",N(INDEX(Projects[Misc],99)))</f>
        <v/>
      </c>
      <c r="BX100" s="5">
        <f>IF(A100="","",SUM(BJ100:BW100))</f>
        <v/>
      </c>
      <c r="BY100" s="5">
        <f>IF(A100="","",IFERROR(IF(ISNUMBER(U100),U100,VALUE(SUBSTITUTE(SUBSTITUTE(SUBSTITUTE(UPPER(TRIM(U100)),"M",""),",","")," ",""))),0))</f>
        <v/>
      </c>
      <c r="BZ100" s="5">
        <f>INDEX(Projects[Solution Type],99)&amp;""</f>
        <v/>
      </c>
      <c r="CA100" s="5">
        <f>INDEX(Projects[Client / Region],99)&amp;""</f>
        <v/>
      </c>
      <c r="CB100" s="5">
        <f>INDEX(Projects[Year],99)</f>
        <v/>
      </c>
      <c r="CC100" s="5">
        <f>INDEX(Projects[Won?],99)&amp;""</f>
        <v/>
      </c>
      <c r="CD100" s="5">
        <f>INDEX(Projects[Value (USD M)],99)</f>
        <v/>
      </c>
    </row>
    <row r="101" ht="15" customHeight="1" s="74">
      <c r="A101" s="66">
        <f>INDEX(Projects[Project ID *],100)&amp;""</f>
        <v/>
      </c>
      <c r="B101" s="66">
        <f>INDEX(Projects[Project Name *],100)&amp;""</f>
        <v/>
      </c>
      <c r="C101" s="66">
        <f>INDEX(Projects[MS Shuttles],100)</f>
        <v/>
      </c>
      <c r="D101" s="66">
        <f>INDEX(Projects[MS Tote Locations],100)</f>
        <v/>
      </c>
      <c r="E101" s="66">
        <f>INDEX(Projects[AS Robots],100)</f>
        <v/>
      </c>
      <c r="F101" s="66">
        <f>INDEX(Projects[AS Tote Locations],100)</f>
        <v/>
      </c>
      <c r="G101" s="66">
        <f>INDEX(Projects[PS Shuttles],100)</f>
        <v/>
      </c>
      <c r="H101" s="66">
        <f>INDEX(Projects[PS Pallet Locations],100)</f>
        <v/>
      </c>
      <c r="I101" s="66">
        <f>INDEX(Projects[SRM Cranes],100)</f>
        <v/>
      </c>
      <c r="J101" s="66">
        <f>INDEX(Projects[SRM Pallet Locations],100)</f>
        <v/>
      </c>
      <c r="K101" s="66">
        <f>INDEX(Projects[Case Conv (m)],100)</f>
        <v/>
      </c>
      <c r="L101" s="66">
        <f>INDEX(Projects[Pallet Conv (m)],100)</f>
        <v/>
      </c>
      <c r="M101" s="66">
        <f>INDEX(Projects[Mech Eng (wks)],100)</f>
        <v/>
      </c>
      <c r="N101" s="66">
        <f>INDEX(Projects[Controls Eng (wks)],100)</f>
        <v/>
      </c>
      <c r="O101" s="66">
        <f>INDEX(Projects[Systems Eng (wks)],100)</f>
        <v/>
      </c>
      <c r="P101" s="66">
        <f>INDEX(Projects[Software Eng (wks)],100)</f>
        <v/>
      </c>
      <c r="Q101" s="66">
        <f>INDEX(Projects[M&amp;E Installation (wks)],100)</f>
        <v/>
      </c>
      <c r="R101" s="66">
        <f>INDEX(Projects[Commissioning (wks)],100)</f>
        <v/>
      </c>
      <c r="S101" s="66">
        <f>INDEX(Projects[Total Timeline (wks)],100)</f>
        <v/>
      </c>
      <c r="T101" s="66">
        <f>INDEX(Projects[Currency],100)&amp;""</f>
        <v/>
      </c>
      <c r="U101" s="67">
        <f>INDEX(Projects[Value (M)],100)</f>
        <v/>
      </c>
      <c r="V101" s="66">
        <f>IF('Smart Search'!B13=1,IFERROR(1/'Smart Search'!H13,0),0)</f>
        <v/>
      </c>
      <c r="W101" s="66">
        <f>IF('Smart Search'!B13=1,IFERROR(1/'Smart Search'!H13,0),0)</f>
        <v/>
      </c>
      <c r="X101" s="66">
        <f>IF('Smart Search'!C13=1,IFERROR(1/'Smart Search'!H13,0),0)</f>
        <v/>
      </c>
      <c r="Y101" s="66">
        <f>IF('Smart Search'!C13=1,IFERROR(1/'Smart Search'!H13,0),0)</f>
        <v/>
      </c>
      <c r="Z101" s="66">
        <f>IF('Smart Search'!D13=1,IFERROR(1/'Smart Search'!H13,0),0)</f>
        <v/>
      </c>
      <c r="AA101" s="66">
        <f>IF('Smart Search'!D13=1,IFERROR(1/'Smart Search'!H13,0),0)</f>
        <v/>
      </c>
      <c r="AB101" s="66">
        <f>IF('Smart Search'!E13=1,IFERROR(1/'Smart Search'!H13,0),0)</f>
        <v/>
      </c>
      <c r="AC101" s="66">
        <f>IF('Smart Search'!E13=1,IFERROR(1/'Smart Search'!H13,0),0)</f>
        <v/>
      </c>
      <c r="AD101" s="66">
        <f>IF('Smart Search'!F13=1,IFERROR(1/'Smart Search'!H13,0),0)</f>
        <v/>
      </c>
      <c r="AE101" s="66">
        <f>IF('Smart Search'!F13=1,IFERROR(1/'Smart Search'!H13,0),0)</f>
        <v/>
      </c>
      <c r="AF101" s="66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66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66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66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66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66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66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66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66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66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66">
        <f>AF101*V101</f>
        <v/>
      </c>
      <c r="AQ101" s="66">
        <f>AG101*W101</f>
        <v/>
      </c>
      <c r="AR101" s="66">
        <f>AH101*X101</f>
        <v/>
      </c>
      <c r="AS101" s="66">
        <f>AI101*Y101</f>
        <v/>
      </c>
      <c r="AT101" s="66">
        <f>AJ101*Z101</f>
        <v/>
      </c>
      <c r="AU101" s="66">
        <f>AK101*AA101</f>
        <v/>
      </c>
      <c r="AV101" s="66">
        <f>AL101*AB101</f>
        <v/>
      </c>
      <c r="AW101" s="66">
        <f>AM101*AC101</f>
        <v/>
      </c>
      <c r="AX101" s="66">
        <f>AN101*AD101</f>
        <v/>
      </c>
      <c r="AY101" s="66">
        <f>AO101*AE101</f>
        <v/>
      </c>
      <c r="AZ101" s="66">
        <f>INDEX(Projects[Automation Equipment],100)&amp;""</f>
        <v/>
      </c>
      <c r="BA101" s="66">
        <f>IF(OR(A101="",'Smart Search'!H13=0),"",MAX(0,BE101*BF101*MAX(0,1-BG101)))</f>
        <v/>
      </c>
      <c r="BB101" s="66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66">
        <f>IF('Smart Search'!G13=1,IFERROR(1/'Smart Search'!H13,0),0)</f>
        <v/>
      </c>
      <c r="BD101" s="66">
        <f>BB101*BC101</f>
        <v/>
      </c>
      <c r="BE101" s="66">
        <f>AP101+AQ101+AR101+AS101+AT101+AU101+AV101+AW101+AX101+AY101+BD101</f>
        <v/>
      </c>
      <c r="BF101" s="5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5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5">
        <f>IF(AND(A101&lt;&gt;"",OR('Smart Search'!$L$5="",'Smart Search'!$L$5="All",TRIM(BZ101)=TRIM('Smart Search'!$L$5)),OR(TRIM('Smart Search'!$L$6)="",TRIM('Smart Search'!$L$6)="All",ISNUMBER(SEARCH(SUBSTITUTE(SUBSTITUTE(SUBSTITUTE(TRIM('Smart Search'!$L$6),"~","~~"),"*","~*"),"?","~?"),CA101))),OR('Smart Search'!$L$7="",AND(CB101&lt;&gt;0,CB101='Smart Search'!$L$7)),OR('Smart Search'!$L$8="",'Smart Search'!$L$8="All",TRIM(CC101)=TRIM('Smart Search'!$L$8))),IF(BA101="","",BA101+ROW()*0.0000000001),"")</f>
        <v/>
      </c>
      <c r="BI101" s="5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5">
        <f>IF(A101="","",N(INDEX(Projects[Mech Inst],100)))</f>
        <v/>
      </c>
      <c r="BK101" s="5">
        <f>IF(A101="","",N(INDEX(Projects[Elec Inst],100)))</f>
        <v/>
      </c>
      <c r="BL101" s="5">
        <f>IF(A101="","",N(INDEX(Projects[Project Management],100)))</f>
        <v/>
      </c>
      <c r="BM101" s="5">
        <f>IF(A101="","",N(INDEX(Projects[Systems Eng],100)))</f>
        <v/>
      </c>
      <c r="BN101" s="5">
        <f>IF(A101="","",N(INDEX(Projects[Mechanical Eng],100)))</f>
        <v/>
      </c>
      <c r="BO101" s="5">
        <f>IF(A101="","",N(INDEX(Projects[Structural Engineering],100)))</f>
        <v/>
      </c>
      <c r="BP101" s="5">
        <f>IF(A101="","",N(INDEX(Projects[Site Sup],100)))</f>
        <v/>
      </c>
      <c r="BQ101" s="5">
        <f>IF(A101="","",N(INDEX(Projects[Controls Commissioning],100)))</f>
        <v/>
      </c>
      <c r="BR101" s="5">
        <f>IF(A101="","",N(INDEX(Projects[Systems Commissioning],100)))</f>
        <v/>
      </c>
      <c r="BS101" s="5">
        <f>IF(A101="","",N(INDEX(Projects[Service Commissioning],100)))</f>
        <v/>
      </c>
      <c r="BT101" s="5">
        <f>IF(A101="","",N(INDEX(Projects[Controls Eng],100)))</f>
        <v/>
      </c>
      <c r="BU101" s="5">
        <f>IF(A101="","",N(INDEX(Projects[Controls Purchase],100)))</f>
        <v/>
      </c>
      <c r="BV101" s="5">
        <f>IF(A101="","",N(INDEX(Projects[Software Eng],100)))</f>
        <v/>
      </c>
      <c r="BW101" s="5">
        <f>IF(A101="","",N(INDEX(Projects[Misc],100)))</f>
        <v/>
      </c>
      <c r="BX101" s="5">
        <f>IF(A101="","",SUM(BJ101:BW101))</f>
        <v/>
      </c>
      <c r="BY101" s="5">
        <f>IF(A101="","",IFERROR(IF(ISNUMBER(U101),U101,VALUE(SUBSTITUTE(SUBSTITUTE(SUBSTITUTE(UPPER(TRIM(U101)),"M",""),",","")," ",""))),0))</f>
        <v/>
      </c>
      <c r="BZ101" s="5">
        <f>INDEX(Projects[Solution Type],100)&amp;""</f>
        <v/>
      </c>
      <c r="CA101" s="5">
        <f>INDEX(Projects[Client / Region],100)&amp;""</f>
        <v/>
      </c>
      <c r="CB101" s="5">
        <f>INDEX(Projects[Year],100)</f>
        <v/>
      </c>
      <c r="CC101" s="5">
        <f>INDEX(Projects[Won?],100)&amp;""</f>
        <v/>
      </c>
      <c r="CD101" s="5">
        <f>INDEX(Projects[Value (USD M)],100)</f>
        <v/>
      </c>
    </row>
    <row r="102" ht="15" customHeight="1" s="74">
      <c r="A102" s="66">
        <f>INDEX(Projects[Project ID *],101)&amp;""</f>
        <v/>
      </c>
      <c r="B102" s="66">
        <f>INDEX(Projects[Project Name *],101)&amp;""</f>
        <v/>
      </c>
      <c r="C102" s="66">
        <f>INDEX(Projects[MS Shuttles],101)</f>
        <v/>
      </c>
      <c r="D102" s="66">
        <f>INDEX(Projects[MS Tote Locations],101)</f>
        <v/>
      </c>
      <c r="E102" s="66">
        <f>INDEX(Projects[AS Robots],101)</f>
        <v/>
      </c>
      <c r="F102" s="66">
        <f>INDEX(Projects[AS Tote Locations],101)</f>
        <v/>
      </c>
      <c r="G102" s="66">
        <f>INDEX(Projects[PS Shuttles],101)</f>
        <v/>
      </c>
      <c r="H102" s="66">
        <f>INDEX(Projects[PS Pallet Locations],101)</f>
        <v/>
      </c>
      <c r="I102" s="66">
        <f>INDEX(Projects[SRM Cranes],101)</f>
        <v/>
      </c>
      <c r="J102" s="66">
        <f>INDEX(Projects[SRM Pallet Locations],101)</f>
        <v/>
      </c>
      <c r="K102" s="66">
        <f>INDEX(Projects[Case Conv (m)],101)</f>
        <v/>
      </c>
      <c r="L102" s="66">
        <f>INDEX(Projects[Pallet Conv (m)],101)</f>
        <v/>
      </c>
      <c r="M102" s="66">
        <f>INDEX(Projects[Mech Eng (wks)],101)</f>
        <v/>
      </c>
      <c r="N102" s="66">
        <f>INDEX(Projects[Controls Eng (wks)],101)</f>
        <v/>
      </c>
      <c r="O102" s="66">
        <f>INDEX(Projects[Systems Eng (wks)],101)</f>
        <v/>
      </c>
      <c r="P102" s="66">
        <f>INDEX(Projects[Software Eng (wks)],101)</f>
        <v/>
      </c>
      <c r="Q102" s="66">
        <f>INDEX(Projects[M&amp;E Installation (wks)],101)</f>
        <v/>
      </c>
      <c r="R102" s="66">
        <f>INDEX(Projects[Commissioning (wks)],101)</f>
        <v/>
      </c>
      <c r="S102" s="66">
        <f>INDEX(Projects[Total Timeline (wks)],101)</f>
        <v/>
      </c>
      <c r="T102" s="66">
        <f>INDEX(Projects[Currency],101)&amp;""</f>
        <v/>
      </c>
      <c r="U102" s="67">
        <f>INDEX(Projects[Value (M)],101)</f>
        <v/>
      </c>
      <c r="V102" s="66">
        <f>IF('Smart Search'!B13=1,IFERROR(1/'Smart Search'!H13,0),0)</f>
        <v/>
      </c>
      <c r="W102" s="66">
        <f>IF('Smart Search'!B13=1,IFERROR(1/'Smart Search'!H13,0),0)</f>
        <v/>
      </c>
      <c r="X102" s="66">
        <f>IF('Smart Search'!C13=1,IFERROR(1/'Smart Search'!H13,0),0)</f>
        <v/>
      </c>
      <c r="Y102" s="66">
        <f>IF('Smart Search'!C13=1,IFERROR(1/'Smart Search'!H13,0),0)</f>
        <v/>
      </c>
      <c r="Z102" s="66">
        <f>IF('Smart Search'!D13=1,IFERROR(1/'Smart Search'!H13,0),0)</f>
        <v/>
      </c>
      <c r="AA102" s="66">
        <f>IF('Smart Search'!D13=1,IFERROR(1/'Smart Search'!H13,0),0)</f>
        <v/>
      </c>
      <c r="AB102" s="66">
        <f>IF('Smart Search'!E13=1,IFERROR(1/'Smart Search'!H13,0),0)</f>
        <v/>
      </c>
      <c r="AC102" s="66">
        <f>IF('Smart Search'!E13=1,IFERROR(1/'Smart Search'!H13,0),0)</f>
        <v/>
      </c>
      <c r="AD102" s="66">
        <f>IF('Smart Search'!F13=1,IFERROR(1/'Smart Search'!H13,0),0)</f>
        <v/>
      </c>
      <c r="AE102" s="66">
        <f>IF('Smart Search'!F13=1,IFERROR(1/'Smart Search'!H13,0),0)</f>
        <v/>
      </c>
      <c r="AF102" s="66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66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66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66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66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66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66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66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66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66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66">
        <f>AF102*V102</f>
        <v/>
      </c>
      <c r="AQ102" s="66">
        <f>AG102*W102</f>
        <v/>
      </c>
      <c r="AR102" s="66">
        <f>AH102*X102</f>
        <v/>
      </c>
      <c r="AS102" s="66">
        <f>AI102*Y102</f>
        <v/>
      </c>
      <c r="AT102" s="66">
        <f>AJ102*Z102</f>
        <v/>
      </c>
      <c r="AU102" s="66">
        <f>AK102*AA102</f>
        <v/>
      </c>
      <c r="AV102" s="66">
        <f>AL102*AB102</f>
        <v/>
      </c>
      <c r="AW102" s="66">
        <f>AM102*AC102</f>
        <v/>
      </c>
      <c r="AX102" s="66">
        <f>AN102*AD102</f>
        <v/>
      </c>
      <c r="AY102" s="66">
        <f>AO102*AE102</f>
        <v/>
      </c>
      <c r="AZ102" s="66">
        <f>INDEX(Projects[Automation Equipment],101)&amp;""</f>
        <v/>
      </c>
      <c r="BA102" s="66">
        <f>IF(OR(A102="",'Smart Search'!H13=0),"",MAX(0,BE102*BF102*MAX(0,1-BG102)))</f>
        <v/>
      </c>
      <c r="BB102" s="66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66">
        <f>IF('Smart Search'!G13=1,IFERROR(1/'Smart Search'!H13,0),0)</f>
        <v/>
      </c>
      <c r="BD102" s="66">
        <f>BB102*BC102</f>
        <v/>
      </c>
      <c r="BE102" s="66">
        <f>AP102+AQ102+AR102+AS102+AT102+AU102+AV102+AW102+AX102+AY102+BD102</f>
        <v/>
      </c>
      <c r="BF102" s="5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5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5">
        <f>IF(AND(A102&lt;&gt;"",OR('Smart Search'!$L$5="",'Smart Search'!$L$5="All",TRIM(BZ102)=TRIM('Smart Search'!$L$5)),OR(TRIM('Smart Search'!$L$6)="",TRIM('Smart Search'!$L$6)="All",ISNUMBER(SEARCH(SUBSTITUTE(SUBSTITUTE(SUBSTITUTE(TRIM('Smart Search'!$L$6),"~","~~"),"*","~*"),"?","~?"),CA102))),OR('Smart Search'!$L$7="",AND(CB102&lt;&gt;0,CB102='Smart Search'!$L$7)),OR('Smart Search'!$L$8="",'Smart Search'!$L$8="All",TRIM(CC102)=TRIM('Smart Search'!$L$8))),IF(BA102="","",BA102+ROW()*0.0000000001),"")</f>
        <v/>
      </c>
      <c r="BI102" s="5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5">
        <f>IF(A102="","",N(INDEX(Projects[Mech Inst],101)))</f>
        <v/>
      </c>
      <c r="BK102" s="5">
        <f>IF(A102="","",N(INDEX(Projects[Elec Inst],101)))</f>
        <v/>
      </c>
      <c r="BL102" s="5">
        <f>IF(A102="","",N(INDEX(Projects[Project Management],101)))</f>
        <v/>
      </c>
      <c r="BM102" s="5">
        <f>IF(A102="","",N(INDEX(Projects[Systems Eng],101)))</f>
        <v/>
      </c>
      <c r="BN102" s="5">
        <f>IF(A102="","",N(INDEX(Projects[Mechanical Eng],101)))</f>
        <v/>
      </c>
      <c r="BO102" s="5">
        <f>IF(A102="","",N(INDEX(Projects[Structural Engineering],101)))</f>
        <v/>
      </c>
      <c r="BP102" s="5">
        <f>IF(A102="","",N(INDEX(Projects[Site Sup],101)))</f>
        <v/>
      </c>
      <c r="BQ102" s="5">
        <f>IF(A102="","",N(INDEX(Projects[Controls Commissioning],101)))</f>
        <v/>
      </c>
      <c r="BR102" s="5">
        <f>IF(A102="","",N(INDEX(Projects[Systems Commissioning],101)))</f>
        <v/>
      </c>
      <c r="BS102" s="5">
        <f>IF(A102="","",N(INDEX(Projects[Service Commissioning],101)))</f>
        <v/>
      </c>
      <c r="BT102" s="5">
        <f>IF(A102="","",N(INDEX(Projects[Controls Eng],101)))</f>
        <v/>
      </c>
      <c r="BU102" s="5">
        <f>IF(A102="","",N(INDEX(Projects[Controls Purchase],101)))</f>
        <v/>
      </c>
      <c r="BV102" s="5">
        <f>IF(A102="","",N(INDEX(Projects[Software Eng],101)))</f>
        <v/>
      </c>
      <c r="BW102" s="5">
        <f>IF(A102="","",N(INDEX(Projects[Misc],101)))</f>
        <v/>
      </c>
      <c r="BX102" s="5">
        <f>IF(A102="","",SUM(BJ102:BW102))</f>
        <v/>
      </c>
      <c r="BY102" s="5">
        <f>IF(A102="","",IFERROR(IF(ISNUMBER(U102),U102,VALUE(SUBSTITUTE(SUBSTITUTE(SUBSTITUTE(UPPER(TRIM(U102)),"M",""),",","")," ",""))),0))</f>
        <v/>
      </c>
      <c r="BZ102" s="5">
        <f>INDEX(Projects[Solution Type],101)&amp;""</f>
        <v/>
      </c>
      <c r="CA102" s="5">
        <f>INDEX(Projects[Client / Region],101)&amp;""</f>
        <v/>
      </c>
      <c r="CB102" s="5">
        <f>INDEX(Projects[Year],101)</f>
        <v/>
      </c>
      <c r="CC102" s="5">
        <f>INDEX(Projects[Won?],101)&amp;""</f>
        <v/>
      </c>
      <c r="CD102" s="5">
        <f>INDEX(Projects[Value (USD M)],101)</f>
        <v/>
      </c>
    </row>
    <row r="103" ht="15" customHeight="1" s="74">
      <c r="A103" s="66">
        <f>INDEX(Projects[Project ID *],102)&amp;""</f>
        <v/>
      </c>
      <c r="B103" s="66">
        <f>INDEX(Projects[Project Name *],102)&amp;""</f>
        <v/>
      </c>
      <c r="C103" s="66">
        <f>INDEX(Projects[MS Shuttles],102)</f>
        <v/>
      </c>
      <c r="D103" s="66">
        <f>INDEX(Projects[MS Tote Locations],102)</f>
        <v/>
      </c>
      <c r="E103" s="66">
        <f>INDEX(Projects[AS Robots],102)</f>
        <v/>
      </c>
      <c r="F103" s="66">
        <f>INDEX(Projects[AS Tote Locations],102)</f>
        <v/>
      </c>
      <c r="G103" s="66">
        <f>INDEX(Projects[PS Shuttles],102)</f>
        <v/>
      </c>
      <c r="H103" s="66">
        <f>INDEX(Projects[PS Pallet Locations],102)</f>
        <v/>
      </c>
      <c r="I103" s="66">
        <f>INDEX(Projects[SRM Cranes],102)</f>
        <v/>
      </c>
      <c r="J103" s="66">
        <f>INDEX(Projects[SRM Pallet Locations],102)</f>
        <v/>
      </c>
      <c r="K103" s="66">
        <f>INDEX(Projects[Case Conv (m)],102)</f>
        <v/>
      </c>
      <c r="L103" s="66">
        <f>INDEX(Projects[Pallet Conv (m)],102)</f>
        <v/>
      </c>
      <c r="M103" s="66">
        <f>INDEX(Projects[Mech Eng (wks)],102)</f>
        <v/>
      </c>
      <c r="N103" s="66">
        <f>INDEX(Projects[Controls Eng (wks)],102)</f>
        <v/>
      </c>
      <c r="O103" s="66">
        <f>INDEX(Projects[Systems Eng (wks)],102)</f>
        <v/>
      </c>
      <c r="P103" s="66">
        <f>INDEX(Projects[Software Eng (wks)],102)</f>
        <v/>
      </c>
      <c r="Q103" s="66">
        <f>INDEX(Projects[M&amp;E Installation (wks)],102)</f>
        <v/>
      </c>
      <c r="R103" s="66">
        <f>INDEX(Projects[Commissioning (wks)],102)</f>
        <v/>
      </c>
      <c r="S103" s="66">
        <f>INDEX(Projects[Total Timeline (wks)],102)</f>
        <v/>
      </c>
      <c r="T103" s="66">
        <f>INDEX(Projects[Currency],102)&amp;""</f>
        <v/>
      </c>
      <c r="U103" s="67">
        <f>INDEX(Projects[Value (M)],102)</f>
        <v/>
      </c>
      <c r="V103" s="66">
        <f>IF('Smart Search'!B13=1,IFERROR(1/'Smart Search'!H13,0),0)</f>
        <v/>
      </c>
      <c r="W103" s="66">
        <f>IF('Smart Search'!B13=1,IFERROR(1/'Smart Search'!H13,0),0)</f>
        <v/>
      </c>
      <c r="X103" s="66">
        <f>IF('Smart Search'!C13=1,IFERROR(1/'Smart Search'!H13,0),0)</f>
        <v/>
      </c>
      <c r="Y103" s="66">
        <f>IF('Smart Search'!C13=1,IFERROR(1/'Smart Search'!H13,0),0)</f>
        <v/>
      </c>
      <c r="Z103" s="66">
        <f>IF('Smart Search'!D13=1,IFERROR(1/'Smart Search'!H13,0),0)</f>
        <v/>
      </c>
      <c r="AA103" s="66">
        <f>IF('Smart Search'!D13=1,IFERROR(1/'Smart Search'!H13,0),0)</f>
        <v/>
      </c>
      <c r="AB103" s="66">
        <f>IF('Smart Search'!E13=1,IFERROR(1/'Smart Search'!H13,0),0)</f>
        <v/>
      </c>
      <c r="AC103" s="66">
        <f>IF('Smart Search'!E13=1,IFERROR(1/'Smart Search'!H13,0),0)</f>
        <v/>
      </c>
      <c r="AD103" s="66">
        <f>IF('Smart Search'!F13=1,IFERROR(1/'Smart Search'!H13,0),0)</f>
        <v/>
      </c>
      <c r="AE103" s="66">
        <f>IF('Smart Search'!F13=1,IFERROR(1/'Smart Search'!H13,0),0)</f>
        <v/>
      </c>
      <c r="AF103" s="66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66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66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66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66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66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66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66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66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66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66">
        <f>AF103*V103</f>
        <v/>
      </c>
      <c r="AQ103" s="66">
        <f>AG103*W103</f>
        <v/>
      </c>
      <c r="AR103" s="66">
        <f>AH103*X103</f>
        <v/>
      </c>
      <c r="AS103" s="66">
        <f>AI103*Y103</f>
        <v/>
      </c>
      <c r="AT103" s="66">
        <f>AJ103*Z103</f>
        <v/>
      </c>
      <c r="AU103" s="66">
        <f>AK103*AA103</f>
        <v/>
      </c>
      <c r="AV103" s="66">
        <f>AL103*AB103</f>
        <v/>
      </c>
      <c r="AW103" s="66">
        <f>AM103*AC103</f>
        <v/>
      </c>
      <c r="AX103" s="66">
        <f>AN103*AD103</f>
        <v/>
      </c>
      <c r="AY103" s="66">
        <f>AO103*AE103</f>
        <v/>
      </c>
      <c r="AZ103" s="66">
        <f>INDEX(Projects[Automation Equipment],102)&amp;""</f>
        <v/>
      </c>
      <c r="BA103" s="66">
        <f>IF(OR(A103="",'Smart Search'!H13=0),"",MAX(0,BE103*BF103*MAX(0,1-BG103)))</f>
        <v/>
      </c>
      <c r="BB103" s="66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66">
        <f>IF('Smart Search'!G13=1,IFERROR(1/'Smart Search'!H13,0),0)</f>
        <v/>
      </c>
      <c r="BD103" s="66">
        <f>BB103*BC103</f>
        <v/>
      </c>
      <c r="BE103" s="66">
        <f>AP103+AQ103+AR103+AS103+AT103+AU103+AV103+AW103+AX103+AY103+BD103</f>
        <v/>
      </c>
      <c r="BF103" s="5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5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5">
        <f>IF(AND(A103&lt;&gt;"",OR('Smart Search'!$L$5="",'Smart Search'!$L$5="All",TRIM(BZ103)=TRIM('Smart Search'!$L$5)),OR(TRIM('Smart Search'!$L$6)="",TRIM('Smart Search'!$L$6)="All",ISNUMBER(SEARCH(SUBSTITUTE(SUBSTITUTE(SUBSTITUTE(TRIM('Smart Search'!$L$6),"~","~~"),"*","~*"),"?","~?"),CA103))),OR('Smart Search'!$L$7="",AND(CB103&lt;&gt;0,CB103='Smart Search'!$L$7)),OR('Smart Search'!$L$8="",'Smart Search'!$L$8="All",TRIM(CC103)=TRIM('Smart Search'!$L$8))),IF(BA103="","",BA103+ROW()*0.0000000001),"")</f>
        <v/>
      </c>
      <c r="BI103" s="5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5">
        <f>IF(A103="","",N(INDEX(Projects[Mech Inst],102)))</f>
        <v/>
      </c>
      <c r="BK103" s="5">
        <f>IF(A103="","",N(INDEX(Projects[Elec Inst],102)))</f>
        <v/>
      </c>
      <c r="BL103" s="5">
        <f>IF(A103="","",N(INDEX(Projects[Project Management],102)))</f>
        <v/>
      </c>
      <c r="BM103" s="5">
        <f>IF(A103="","",N(INDEX(Projects[Systems Eng],102)))</f>
        <v/>
      </c>
      <c r="BN103" s="5">
        <f>IF(A103="","",N(INDEX(Projects[Mechanical Eng],102)))</f>
        <v/>
      </c>
      <c r="BO103" s="5">
        <f>IF(A103="","",N(INDEX(Projects[Structural Engineering],102)))</f>
        <v/>
      </c>
      <c r="BP103" s="5">
        <f>IF(A103="","",N(INDEX(Projects[Site Sup],102)))</f>
        <v/>
      </c>
      <c r="BQ103" s="5">
        <f>IF(A103="","",N(INDEX(Projects[Controls Commissioning],102)))</f>
        <v/>
      </c>
      <c r="BR103" s="5">
        <f>IF(A103="","",N(INDEX(Projects[Systems Commissioning],102)))</f>
        <v/>
      </c>
      <c r="BS103" s="5">
        <f>IF(A103="","",N(INDEX(Projects[Service Commissioning],102)))</f>
        <v/>
      </c>
      <c r="BT103" s="5">
        <f>IF(A103="","",N(INDEX(Projects[Controls Eng],102)))</f>
        <v/>
      </c>
      <c r="BU103" s="5">
        <f>IF(A103="","",N(INDEX(Projects[Controls Purchase],102)))</f>
        <v/>
      </c>
      <c r="BV103" s="5">
        <f>IF(A103="","",N(INDEX(Projects[Software Eng],102)))</f>
        <v/>
      </c>
      <c r="BW103" s="5">
        <f>IF(A103="","",N(INDEX(Projects[Misc],102)))</f>
        <v/>
      </c>
      <c r="BX103" s="5">
        <f>IF(A103="","",SUM(BJ103:BW103))</f>
        <v/>
      </c>
      <c r="BY103" s="5">
        <f>IF(A103="","",IFERROR(IF(ISNUMBER(U103),U103,VALUE(SUBSTITUTE(SUBSTITUTE(SUBSTITUTE(UPPER(TRIM(U103)),"M",""),",","")," ",""))),0))</f>
        <v/>
      </c>
      <c r="BZ103" s="5">
        <f>INDEX(Projects[Solution Type],102)&amp;""</f>
        <v/>
      </c>
      <c r="CA103" s="5">
        <f>INDEX(Projects[Client / Region],102)&amp;""</f>
        <v/>
      </c>
      <c r="CB103" s="5">
        <f>INDEX(Projects[Year],102)</f>
        <v/>
      </c>
      <c r="CC103" s="5">
        <f>INDEX(Projects[Won?],102)&amp;""</f>
        <v/>
      </c>
      <c r="CD103" s="5">
        <f>INDEX(Projects[Value (USD M)],102)</f>
        <v/>
      </c>
    </row>
    <row r="104" ht="15" customHeight="1" s="74">
      <c r="A104" s="66">
        <f>INDEX(Projects[Project ID *],103)&amp;""</f>
        <v/>
      </c>
      <c r="B104" s="66">
        <f>INDEX(Projects[Project Name *],103)&amp;""</f>
        <v/>
      </c>
      <c r="C104" s="66">
        <f>INDEX(Projects[MS Shuttles],103)</f>
        <v/>
      </c>
      <c r="D104" s="66">
        <f>INDEX(Projects[MS Tote Locations],103)</f>
        <v/>
      </c>
      <c r="E104" s="66">
        <f>INDEX(Projects[AS Robots],103)</f>
        <v/>
      </c>
      <c r="F104" s="66">
        <f>INDEX(Projects[AS Tote Locations],103)</f>
        <v/>
      </c>
      <c r="G104" s="66">
        <f>INDEX(Projects[PS Shuttles],103)</f>
        <v/>
      </c>
      <c r="H104" s="66">
        <f>INDEX(Projects[PS Pallet Locations],103)</f>
        <v/>
      </c>
      <c r="I104" s="66">
        <f>INDEX(Projects[SRM Cranes],103)</f>
        <v/>
      </c>
      <c r="J104" s="66">
        <f>INDEX(Projects[SRM Pallet Locations],103)</f>
        <v/>
      </c>
      <c r="K104" s="66">
        <f>INDEX(Projects[Case Conv (m)],103)</f>
        <v/>
      </c>
      <c r="L104" s="66">
        <f>INDEX(Projects[Pallet Conv (m)],103)</f>
        <v/>
      </c>
      <c r="M104" s="66">
        <f>INDEX(Projects[Mech Eng (wks)],103)</f>
        <v/>
      </c>
      <c r="N104" s="66">
        <f>INDEX(Projects[Controls Eng (wks)],103)</f>
        <v/>
      </c>
      <c r="O104" s="66">
        <f>INDEX(Projects[Systems Eng (wks)],103)</f>
        <v/>
      </c>
      <c r="P104" s="66">
        <f>INDEX(Projects[Software Eng (wks)],103)</f>
        <v/>
      </c>
      <c r="Q104" s="66">
        <f>INDEX(Projects[M&amp;E Installation (wks)],103)</f>
        <v/>
      </c>
      <c r="R104" s="66">
        <f>INDEX(Projects[Commissioning (wks)],103)</f>
        <v/>
      </c>
      <c r="S104" s="66">
        <f>INDEX(Projects[Total Timeline (wks)],103)</f>
        <v/>
      </c>
      <c r="T104" s="66">
        <f>INDEX(Projects[Currency],103)&amp;""</f>
        <v/>
      </c>
      <c r="U104" s="67">
        <f>INDEX(Projects[Value (M)],103)</f>
        <v/>
      </c>
      <c r="V104" s="66">
        <f>IF('Smart Search'!B13=1,IFERROR(1/'Smart Search'!H13,0),0)</f>
        <v/>
      </c>
      <c r="W104" s="66">
        <f>IF('Smart Search'!B13=1,IFERROR(1/'Smart Search'!H13,0),0)</f>
        <v/>
      </c>
      <c r="X104" s="66">
        <f>IF('Smart Search'!C13=1,IFERROR(1/'Smart Search'!H13,0),0)</f>
        <v/>
      </c>
      <c r="Y104" s="66">
        <f>IF('Smart Search'!C13=1,IFERROR(1/'Smart Search'!H13,0),0)</f>
        <v/>
      </c>
      <c r="Z104" s="66">
        <f>IF('Smart Search'!D13=1,IFERROR(1/'Smart Search'!H13,0),0)</f>
        <v/>
      </c>
      <c r="AA104" s="66">
        <f>IF('Smart Search'!D13=1,IFERROR(1/'Smart Search'!H13,0),0)</f>
        <v/>
      </c>
      <c r="AB104" s="66">
        <f>IF('Smart Search'!E13=1,IFERROR(1/'Smart Search'!H13,0),0)</f>
        <v/>
      </c>
      <c r="AC104" s="66">
        <f>IF('Smart Search'!E13=1,IFERROR(1/'Smart Search'!H13,0),0)</f>
        <v/>
      </c>
      <c r="AD104" s="66">
        <f>IF('Smart Search'!F13=1,IFERROR(1/'Smart Search'!H13,0),0)</f>
        <v/>
      </c>
      <c r="AE104" s="66">
        <f>IF('Smart Search'!F13=1,IFERROR(1/'Smart Search'!H13,0),0)</f>
        <v/>
      </c>
      <c r="AF104" s="66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66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66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66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66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66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66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66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66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66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66">
        <f>AF104*V104</f>
        <v/>
      </c>
      <c r="AQ104" s="66">
        <f>AG104*W104</f>
        <v/>
      </c>
      <c r="AR104" s="66">
        <f>AH104*X104</f>
        <v/>
      </c>
      <c r="AS104" s="66">
        <f>AI104*Y104</f>
        <v/>
      </c>
      <c r="AT104" s="66">
        <f>AJ104*Z104</f>
        <v/>
      </c>
      <c r="AU104" s="66">
        <f>AK104*AA104</f>
        <v/>
      </c>
      <c r="AV104" s="66">
        <f>AL104*AB104</f>
        <v/>
      </c>
      <c r="AW104" s="66">
        <f>AM104*AC104</f>
        <v/>
      </c>
      <c r="AX104" s="66">
        <f>AN104*AD104</f>
        <v/>
      </c>
      <c r="AY104" s="66">
        <f>AO104*AE104</f>
        <v/>
      </c>
      <c r="AZ104" s="66">
        <f>INDEX(Projects[Automation Equipment],103)&amp;""</f>
        <v/>
      </c>
      <c r="BA104" s="66">
        <f>IF(OR(A104="",'Smart Search'!H13=0),"",MAX(0,BE104*BF104*MAX(0,1-BG104)))</f>
        <v/>
      </c>
      <c r="BB104" s="66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66">
        <f>IF('Smart Search'!G13=1,IFERROR(1/'Smart Search'!H13,0),0)</f>
        <v/>
      </c>
      <c r="BD104" s="66">
        <f>BB104*BC104</f>
        <v/>
      </c>
      <c r="BE104" s="66">
        <f>AP104+AQ104+AR104+AS104+AT104+AU104+AV104+AW104+AX104+AY104+BD104</f>
        <v/>
      </c>
      <c r="BF104" s="5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5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5">
        <f>IF(AND(A104&lt;&gt;"",OR('Smart Search'!$L$5="",'Smart Search'!$L$5="All",TRIM(BZ104)=TRIM('Smart Search'!$L$5)),OR(TRIM('Smart Search'!$L$6)="",TRIM('Smart Search'!$L$6)="All",ISNUMBER(SEARCH(SUBSTITUTE(SUBSTITUTE(SUBSTITUTE(TRIM('Smart Search'!$L$6),"~","~~"),"*","~*"),"?","~?"),CA104))),OR('Smart Search'!$L$7="",AND(CB104&lt;&gt;0,CB104='Smart Search'!$L$7)),OR('Smart Search'!$L$8="",'Smart Search'!$L$8="All",TRIM(CC104)=TRIM('Smart Search'!$L$8))),IF(BA104="","",BA104+ROW()*0.0000000001),"")</f>
        <v/>
      </c>
      <c r="BI104" s="5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5">
        <f>IF(A104="","",N(INDEX(Projects[Mech Inst],103)))</f>
        <v/>
      </c>
      <c r="BK104" s="5">
        <f>IF(A104="","",N(INDEX(Projects[Elec Inst],103)))</f>
        <v/>
      </c>
      <c r="BL104" s="5">
        <f>IF(A104="","",N(INDEX(Projects[Project Management],103)))</f>
        <v/>
      </c>
      <c r="BM104" s="5">
        <f>IF(A104="","",N(INDEX(Projects[Systems Eng],103)))</f>
        <v/>
      </c>
      <c r="BN104" s="5">
        <f>IF(A104="","",N(INDEX(Projects[Mechanical Eng],103)))</f>
        <v/>
      </c>
      <c r="BO104" s="5">
        <f>IF(A104="","",N(INDEX(Projects[Structural Engineering],103)))</f>
        <v/>
      </c>
      <c r="BP104" s="5">
        <f>IF(A104="","",N(INDEX(Projects[Site Sup],103)))</f>
        <v/>
      </c>
      <c r="BQ104" s="5">
        <f>IF(A104="","",N(INDEX(Projects[Controls Commissioning],103)))</f>
        <v/>
      </c>
      <c r="BR104" s="5">
        <f>IF(A104="","",N(INDEX(Projects[Systems Commissioning],103)))</f>
        <v/>
      </c>
      <c r="BS104" s="5">
        <f>IF(A104="","",N(INDEX(Projects[Service Commissioning],103)))</f>
        <v/>
      </c>
      <c r="BT104" s="5">
        <f>IF(A104="","",N(INDEX(Projects[Controls Eng],103)))</f>
        <v/>
      </c>
      <c r="BU104" s="5">
        <f>IF(A104="","",N(INDEX(Projects[Controls Purchase],103)))</f>
        <v/>
      </c>
      <c r="BV104" s="5">
        <f>IF(A104="","",N(INDEX(Projects[Software Eng],103)))</f>
        <v/>
      </c>
      <c r="BW104" s="5">
        <f>IF(A104="","",N(INDEX(Projects[Misc],103)))</f>
        <v/>
      </c>
      <c r="BX104" s="5">
        <f>IF(A104="","",SUM(BJ104:BW104))</f>
        <v/>
      </c>
      <c r="BY104" s="5">
        <f>IF(A104="","",IFERROR(IF(ISNUMBER(U104),U104,VALUE(SUBSTITUTE(SUBSTITUTE(SUBSTITUTE(UPPER(TRIM(U104)),"M",""),",","")," ",""))),0))</f>
        <v/>
      </c>
      <c r="BZ104" s="5">
        <f>INDEX(Projects[Solution Type],103)&amp;""</f>
        <v/>
      </c>
      <c r="CA104" s="5">
        <f>INDEX(Projects[Client / Region],103)&amp;""</f>
        <v/>
      </c>
      <c r="CB104" s="5">
        <f>INDEX(Projects[Year],103)</f>
        <v/>
      </c>
      <c r="CC104" s="5">
        <f>INDEX(Projects[Won?],103)&amp;""</f>
        <v/>
      </c>
      <c r="CD104" s="5">
        <f>INDEX(Projects[Value (USD M)],103)</f>
        <v/>
      </c>
    </row>
    <row r="105" ht="15" customHeight="1" s="74">
      <c r="A105" s="66">
        <f>INDEX(Projects[Project ID *],104)&amp;""</f>
        <v/>
      </c>
      <c r="B105" s="66">
        <f>INDEX(Projects[Project Name *],104)&amp;""</f>
        <v/>
      </c>
      <c r="C105" s="66">
        <f>INDEX(Projects[MS Shuttles],104)</f>
        <v/>
      </c>
      <c r="D105" s="66">
        <f>INDEX(Projects[MS Tote Locations],104)</f>
        <v/>
      </c>
      <c r="E105" s="66">
        <f>INDEX(Projects[AS Robots],104)</f>
        <v/>
      </c>
      <c r="F105" s="66">
        <f>INDEX(Projects[AS Tote Locations],104)</f>
        <v/>
      </c>
      <c r="G105" s="66">
        <f>INDEX(Projects[PS Shuttles],104)</f>
        <v/>
      </c>
      <c r="H105" s="66">
        <f>INDEX(Projects[PS Pallet Locations],104)</f>
        <v/>
      </c>
      <c r="I105" s="66">
        <f>INDEX(Projects[SRM Cranes],104)</f>
        <v/>
      </c>
      <c r="J105" s="66">
        <f>INDEX(Projects[SRM Pallet Locations],104)</f>
        <v/>
      </c>
      <c r="K105" s="66">
        <f>INDEX(Projects[Case Conv (m)],104)</f>
        <v/>
      </c>
      <c r="L105" s="66">
        <f>INDEX(Projects[Pallet Conv (m)],104)</f>
        <v/>
      </c>
      <c r="M105" s="66">
        <f>INDEX(Projects[Mech Eng (wks)],104)</f>
        <v/>
      </c>
      <c r="N105" s="66">
        <f>INDEX(Projects[Controls Eng (wks)],104)</f>
        <v/>
      </c>
      <c r="O105" s="66">
        <f>INDEX(Projects[Systems Eng (wks)],104)</f>
        <v/>
      </c>
      <c r="P105" s="66">
        <f>INDEX(Projects[Software Eng (wks)],104)</f>
        <v/>
      </c>
      <c r="Q105" s="66">
        <f>INDEX(Projects[M&amp;E Installation (wks)],104)</f>
        <v/>
      </c>
      <c r="R105" s="66">
        <f>INDEX(Projects[Commissioning (wks)],104)</f>
        <v/>
      </c>
      <c r="S105" s="66">
        <f>INDEX(Projects[Total Timeline (wks)],104)</f>
        <v/>
      </c>
      <c r="T105" s="66">
        <f>INDEX(Projects[Currency],104)&amp;""</f>
        <v/>
      </c>
      <c r="U105" s="67">
        <f>INDEX(Projects[Value (M)],104)</f>
        <v/>
      </c>
      <c r="V105" s="66">
        <f>IF('Smart Search'!B13=1,IFERROR(1/'Smart Search'!H13,0),0)</f>
        <v/>
      </c>
      <c r="W105" s="66">
        <f>IF('Smart Search'!B13=1,IFERROR(1/'Smart Search'!H13,0),0)</f>
        <v/>
      </c>
      <c r="X105" s="66">
        <f>IF('Smart Search'!C13=1,IFERROR(1/'Smart Search'!H13,0),0)</f>
        <v/>
      </c>
      <c r="Y105" s="66">
        <f>IF('Smart Search'!C13=1,IFERROR(1/'Smart Search'!H13,0),0)</f>
        <v/>
      </c>
      <c r="Z105" s="66">
        <f>IF('Smart Search'!D13=1,IFERROR(1/'Smart Search'!H13,0),0)</f>
        <v/>
      </c>
      <c r="AA105" s="66">
        <f>IF('Smart Search'!D13=1,IFERROR(1/'Smart Search'!H13,0),0)</f>
        <v/>
      </c>
      <c r="AB105" s="66">
        <f>IF('Smart Search'!E13=1,IFERROR(1/'Smart Search'!H13,0),0)</f>
        <v/>
      </c>
      <c r="AC105" s="66">
        <f>IF('Smart Search'!E13=1,IFERROR(1/'Smart Search'!H13,0),0)</f>
        <v/>
      </c>
      <c r="AD105" s="66">
        <f>IF('Smart Search'!F13=1,IFERROR(1/'Smart Search'!H13,0),0)</f>
        <v/>
      </c>
      <c r="AE105" s="66">
        <f>IF('Smart Search'!F13=1,IFERROR(1/'Smart Search'!H13,0),0)</f>
        <v/>
      </c>
      <c r="AF105" s="66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66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66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66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66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66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66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66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66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66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66">
        <f>AF105*V105</f>
        <v/>
      </c>
      <c r="AQ105" s="66">
        <f>AG105*W105</f>
        <v/>
      </c>
      <c r="AR105" s="66">
        <f>AH105*X105</f>
        <v/>
      </c>
      <c r="AS105" s="66">
        <f>AI105*Y105</f>
        <v/>
      </c>
      <c r="AT105" s="66">
        <f>AJ105*Z105</f>
        <v/>
      </c>
      <c r="AU105" s="66">
        <f>AK105*AA105</f>
        <v/>
      </c>
      <c r="AV105" s="66">
        <f>AL105*AB105</f>
        <v/>
      </c>
      <c r="AW105" s="66">
        <f>AM105*AC105</f>
        <v/>
      </c>
      <c r="AX105" s="66">
        <f>AN105*AD105</f>
        <v/>
      </c>
      <c r="AY105" s="66">
        <f>AO105*AE105</f>
        <v/>
      </c>
      <c r="AZ105" s="66">
        <f>INDEX(Projects[Automation Equipment],104)&amp;""</f>
        <v/>
      </c>
      <c r="BA105" s="66">
        <f>IF(OR(A105="",'Smart Search'!H13=0),"",MAX(0,BE105*BF105*MAX(0,1-BG105)))</f>
        <v/>
      </c>
      <c r="BB105" s="66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66">
        <f>IF('Smart Search'!G13=1,IFERROR(1/'Smart Search'!H13,0),0)</f>
        <v/>
      </c>
      <c r="BD105" s="66">
        <f>BB105*BC105</f>
        <v/>
      </c>
      <c r="BE105" s="66">
        <f>AP105+AQ105+AR105+AS105+AT105+AU105+AV105+AW105+AX105+AY105+BD105</f>
        <v/>
      </c>
      <c r="BF105" s="5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5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5">
        <f>IF(AND(A105&lt;&gt;"",OR('Smart Search'!$L$5="",'Smart Search'!$L$5="All",TRIM(BZ105)=TRIM('Smart Search'!$L$5)),OR(TRIM('Smart Search'!$L$6)="",TRIM('Smart Search'!$L$6)="All",ISNUMBER(SEARCH(SUBSTITUTE(SUBSTITUTE(SUBSTITUTE(TRIM('Smart Search'!$L$6),"~","~~"),"*","~*"),"?","~?"),CA105))),OR('Smart Search'!$L$7="",AND(CB105&lt;&gt;0,CB105='Smart Search'!$L$7)),OR('Smart Search'!$L$8="",'Smart Search'!$L$8="All",TRIM(CC105)=TRIM('Smart Search'!$L$8))),IF(BA105="","",BA105+ROW()*0.0000000001),"")</f>
        <v/>
      </c>
      <c r="BI105" s="5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5">
        <f>IF(A105="","",N(INDEX(Projects[Mech Inst],104)))</f>
        <v/>
      </c>
      <c r="BK105" s="5">
        <f>IF(A105="","",N(INDEX(Projects[Elec Inst],104)))</f>
        <v/>
      </c>
      <c r="BL105" s="5">
        <f>IF(A105="","",N(INDEX(Projects[Project Management],104)))</f>
        <v/>
      </c>
      <c r="BM105" s="5">
        <f>IF(A105="","",N(INDEX(Projects[Systems Eng],104)))</f>
        <v/>
      </c>
      <c r="BN105" s="5">
        <f>IF(A105="","",N(INDEX(Projects[Mechanical Eng],104)))</f>
        <v/>
      </c>
      <c r="BO105" s="5">
        <f>IF(A105="","",N(INDEX(Projects[Structural Engineering],104)))</f>
        <v/>
      </c>
      <c r="BP105" s="5">
        <f>IF(A105="","",N(INDEX(Projects[Site Sup],104)))</f>
        <v/>
      </c>
      <c r="BQ105" s="5">
        <f>IF(A105="","",N(INDEX(Projects[Controls Commissioning],104)))</f>
        <v/>
      </c>
      <c r="BR105" s="5">
        <f>IF(A105="","",N(INDEX(Projects[Systems Commissioning],104)))</f>
        <v/>
      </c>
      <c r="BS105" s="5">
        <f>IF(A105="","",N(INDEX(Projects[Service Commissioning],104)))</f>
        <v/>
      </c>
      <c r="BT105" s="5">
        <f>IF(A105="","",N(INDEX(Projects[Controls Eng],104)))</f>
        <v/>
      </c>
      <c r="BU105" s="5">
        <f>IF(A105="","",N(INDEX(Projects[Controls Purchase],104)))</f>
        <v/>
      </c>
      <c r="BV105" s="5">
        <f>IF(A105="","",N(INDEX(Projects[Software Eng],104)))</f>
        <v/>
      </c>
      <c r="BW105" s="5">
        <f>IF(A105="","",N(INDEX(Projects[Misc],104)))</f>
        <v/>
      </c>
      <c r="BX105" s="5">
        <f>IF(A105="","",SUM(BJ105:BW105))</f>
        <v/>
      </c>
      <c r="BY105" s="5">
        <f>IF(A105="","",IFERROR(IF(ISNUMBER(U105),U105,VALUE(SUBSTITUTE(SUBSTITUTE(SUBSTITUTE(UPPER(TRIM(U105)),"M",""),",","")," ",""))),0))</f>
        <v/>
      </c>
      <c r="BZ105" s="5">
        <f>INDEX(Projects[Solution Type],104)&amp;""</f>
        <v/>
      </c>
      <c r="CA105" s="5">
        <f>INDEX(Projects[Client / Region],104)&amp;""</f>
        <v/>
      </c>
      <c r="CB105" s="5">
        <f>INDEX(Projects[Year],104)</f>
        <v/>
      </c>
      <c r="CC105" s="5">
        <f>INDEX(Projects[Won?],104)&amp;""</f>
        <v/>
      </c>
      <c r="CD105" s="5">
        <f>INDEX(Projects[Value (USD M)],104)</f>
        <v/>
      </c>
    </row>
    <row r="106" ht="15" customHeight="1" s="74">
      <c r="A106" s="66">
        <f>INDEX(Projects[Project ID *],105)&amp;""</f>
        <v/>
      </c>
      <c r="B106" s="66">
        <f>INDEX(Projects[Project Name *],105)&amp;""</f>
        <v/>
      </c>
      <c r="C106" s="66">
        <f>INDEX(Projects[MS Shuttles],105)</f>
        <v/>
      </c>
      <c r="D106" s="66">
        <f>INDEX(Projects[MS Tote Locations],105)</f>
        <v/>
      </c>
      <c r="E106" s="66">
        <f>INDEX(Projects[AS Robots],105)</f>
        <v/>
      </c>
      <c r="F106" s="66">
        <f>INDEX(Projects[AS Tote Locations],105)</f>
        <v/>
      </c>
      <c r="G106" s="66">
        <f>INDEX(Projects[PS Shuttles],105)</f>
        <v/>
      </c>
      <c r="H106" s="66">
        <f>INDEX(Projects[PS Pallet Locations],105)</f>
        <v/>
      </c>
      <c r="I106" s="66">
        <f>INDEX(Projects[SRM Cranes],105)</f>
        <v/>
      </c>
      <c r="J106" s="66">
        <f>INDEX(Projects[SRM Pallet Locations],105)</f>
        <v/>
      </c>
      <c r="K106" s="66">
        <f>INDEX(Projects[Case Conv (m)],105)</f>
        <v/>
      </c>
      <c r="L106" s="66">
        <f>INDEX(Projects[Pallet Conv (m)],105)</f>
        <v/>
      </c>
      <c r="M106" s="66">
        <f>INDEX(Projects[Mech Eng (wks)],105)</f>
        <v/>
      </c>
      <c r="N106" s="66">
        <f>INDEX(Projects[Controls Eng (wks)],105)</f>
        <v/>
      </c>
      <c r="O106" s="66">
        <f>INDEX(Projects[Systems Eng (wks)],105)</f>
        <v/>
      </c>
      <c r="P106" s="66">
        <f>INDEX(Projects[Software Eng (wks)],105)</f>
        <v/>
      </c>
      <c r="Q106" s="66">
        <f>INDEX(Projects[M&amp;E Installation (wks)],105)</f>
        <v/>
      </c>
      <c r="R106" s="66">
        <f>INDEX(Projects[Commissioning (wks)],105)</f>
        <v/>
      </c>
      <c r="S106" s="66">
        <f>INDEX(Projects[Total Timeline (wks)],105)</f>
        <v/>
      </c>
      <c r="T106" s="66">
        <f>INDEX(Projects[Currency],105)&amp;""</f>
        <v/>
      </c>
      <c r="U106" s="67">
        <f>INDEX(Projects[Value (M)],105)</f>
        <v/>
      </c>
      <c r="V106" s="66">
        <f>IF('Smart Search'!B13=1,IFERROR(1/'Smart Search'!H13,0),0)</f>
        <v/>
      </c>
      <c r="W106" s="66">
        <f>IF('Smart Search'!B13=1,IFERROR(1/'Smart Search'!H13,0),0)</f>
        <v/>
      </c>
      <c r="X106" s="66">
        <f>IF('Smart Search'!C13=1,IFERROR(1/'Smart Search'!H13,0),0)</f>
        <v/>
      </c>
      <c r="Y106" s="66">
        <f>IF('Smart Search'!C13=1,IFERROR(1/'Smart Search'!H13,0),0)</f>
        <v/>
      </c>
      <c r="Z106" s="66">
        <f>IF('Smart Search'!D13=1,IFERROR(1/'Smart Search'!H13,0),0)</f>
        <v/>
      </c>
      <c r="AA106" s="66">
        <f>IF('Smart Search'!D13=1,IFERROR(1/'Smart Search'!H13,0),0)</f>
        <v/>
      </c>
      <c r="AB106" s="66">
        <f>IF('Smart Search'!E13=1,IFERROR(1/'Smart Search'!H13,0),0)</f>
        <v/>
      </c>
      <c r="AC106" s="66">
        <f>IF('Smart Search'!E13=1,IFERROR(1/'Smart Search'!H13,0),0)</f>
        <v/>
      </c>
      <c r="AD106" s="66">
        <f>IF('Smart Search'!F13=1,IFERROR(1/'Smart Search'!H13,0),0)</f>
        <v/>
      </c>
      <c r="AE106" s="66">
        <f>IF('Smart Search'!F13=1,IFERROR(1/'Smart Search'!H13,0),0)</f>
        <v/>
      </c>
      <c r="AF106" s="66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66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66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66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66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66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66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66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66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66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66">
        <f>AF106*V106</f>
        <v/>
      </c>
      <c r="AQ106" s="66">
        <f>AG106*W106</f>
        <v/>
      </c>
      <c r="AR106" s="66">
        <f>AH106*X106</f>
        <v/>
      </c>
      <c r="AS106" s="66">
        <f>AI106*Y106</f>
        <v/>
      </c>
      <c r="AT106" s="66">
        <f>AJ106*Z106</f>
        <v/>
      </c>
      <c r="AU106" s="66">
        <f>AK106*AA106</f>
        <v/>
      </c>
      <c r="AV106" s="66">
        <f>AL106*AB106</f>
        <v/>
      </c>
      <c r="AW106" s="66">
        <f>AM106*AC106</f>
        <v/>
      </c>
      <c r="AX106" s="66">
        <f>AN106*AD106</f>
        <v/>
      </c>
      <c r="AY106" s="66">
        <f>AO106*AE106</f>
        <v/>
      </c>
      <c r="AZ106" s="66">
        <f>INDEX(Projects[Automation Equipment],105)&amp;""</f>
        <v/>
      </c>
      <c r="BA106" s="66">
        <f>IF(OR(A106="",'Smart Search'!H13=0),"",MAX(0,BE106*BF106*MAX(0,1-BG106)))</f>
        <v/>
      </c>
      <c r="BB106" s="66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66">
        <f>IF('Smart Search'!G13=1,IFERROR(1/'Smart Search'!H13,0),0)</f>
        <v/>
      </c>
      <c r="BD106" s="66">
        <f>BB106*BC106</f>
        <v/>
      </c>
      <c r="BE106" s="66">
        <f>AP106+AQ106+AR106+AS106+AT106+AU106+AV106+AW106+AX106+AY106+BD106</f>
        <v/>
      </c>
      <c r="BF106" s="5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5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5">
        <f>IF(AND(A106&lt;&gt;"",OR('Smart Search'!$L$5="",'Smart Search'!$L$5="All",TRIM(BZ106)=TRIM('Smart Search'!$L$5)),OR(TRIM('Smart Search'!$L$6)="",TRIM('Smart Search'!$L$6)="All",ISNUMBER(SEARCH(SUBSTITUTE(SUBSTITUTE(SUBSTITUTE(TRIM('Smart Search'!$L$6),"~","~~"),"*","~*"),"?","~?"),CA106))),OR('Smart Search'!$L$7="",AND(CB106&lt;&gt;0,CB106='Smart Search'!$L$7)),OR('Smart Search'!$L$8="",'Smart Search'!$L$8="All",TRIM(CC106)=TRIM('Smart Search'!$L$8))),IF(BA106="","",BA106+ROW()*0.0000000001),"")</f>
        <v/>
      </c>
      <c r="BI106" s="5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5">
        <f>IF(A106="","",N(INDEX(Projects[Mech Inst],105)))</f>
        <v/>
      </c>
      <c r="BK106" s="5">
        <f>IF(A106="","",N(INDEX(Projects[Elec Inst],105)))</f>
        <v/>
      </c>
      <c r="BL106" s="5">
        <f>IF(A106="","",N(INDEX(Projects[Project Management],105)))</f>
        <v/>
      </c>
      <c r="BM106" s="5">
        <f>IF(A106="","",N(INDEX(Projects[Systems Eng],105)))</f>
        <v/>
      </c>
      <c r="BN106" s="5">
        <f>IF(A106="","",N(INDEX(Projects[Mechanical Eng],105)))</f>
        <v/>
      </c>
      <c r="BO106" s="5">
        <f>IF(A106="","",N(INDEX(Projects[Structural Engineering],105)))</f>
        <v/>
      </c>
      <c r="BP106" s="5">
        <f>IF(A106="","",N(INDEX(Projects[Site Sup],105)))</f>
        <v/>
      </c>
      <c r="BQ106" s="5">
        <f>IF(A106="","",N(INDEX(Projects[Controls Commissioning],105)))</f>
        <v/>
      </c>
      <c r="BR106" s="5">
        <f>IF(A106="","",N(INDEX(Projects[Systems Commissioning],105)))</f>
        <v/>
      </c>
      <c r="BS106" s="5">
        <f>IF(A106="","",N(INDEX(Projects[Service Commissioning],105)))</f>
        <v/>
      </c>
      <c r="BT106" s="5">
        <f>IF(A106="","",N(INDEX(Projects[Controls Eng],105)))</f>
        <v/>
      </c>
      <c r="BU106" s="5">
        <f>IF(A106="","",N(INDEX(Projects[Controls Purchase],105)))</f>
        <v/>
      </c>
      <c r="BV106" s="5">
        <f>IF(A106="","",N(INDEX(Projects[Software Eng],105)))</f>
        <v/>
      </c>
      <c r="BW106" s="5">
        <f>IF(A106="","",N(INDEX(Projects[Misc],105)))</f>
        <v/>
      </c>
      <c r="BX106" s="5">
        <f>IF(A106="","",SUM(BJ106:BW106))</f>
        <v/>
      </c>
      <c r="BY106" s="5">
        <f>IF(A106="","",IFERROR(IF(ISNUMBER(U106),U106,VALUE(SUBSTITUTE(SUBSTITUTE(SUBSTITUTE(UPPER(TRIM(U106)),"M",""),",","")," ",""))),0))</f>
        <v/>
      </c>
      <c r="BZ106" s="5">
        <f>INDEX(Projects[Solution Type],105)&amp;""</f>
        <v/>
      </c>
      <c r="CA106" s="5">
        <f>INDEX(Projects[Client / Region],105)&amp;""</f>
        <v/>
      </c>
      <c r="CB106" s="5">
        <f>INDEX(Projects[Year],105)</f>
        <v/>
      </c>
      <c r="CC106" s="5">
        <f>INDEX(Projects[Won?],105)&amp;""</f>
        <v/>
      </c>
      <c r="CD106" s="5">
        <f>INDEX(Projects[Value (USD M)],105)</f>
        <v/>
      </c>
    </row>
    <row r="107" ht="15" customHeight="1" s="74">
      <c r="A107" s="66">
        <f>INDEX(Projects[Project ID *],106)&amp;""</f>
        <v/>
      </c>
      <c r="B107" s="66">
        <f>INDEX(Projects[Project Name *],106)&amp;""</f>
        <v/>
      </c>
      <c r="C107" s="66">
        <f>INDEX(Projects[MS Shuttles],106)</f>
        <v/>
      </c>
      <c r="D107" s="66">
        <f>INDEX(Projects[MS Tote Locations],106)</f>
        <v/>
      </c>
      <c r="E107" s="66">
        <f>INDEX(Projects[AS Robots],106)</f>
        <v/>
      </c>
      <c r="F107" s="66">
        <f>INDEX(Projects[AS Tote Locations],106)</f>
        <v/>
      </c>
      <c r="G107" s="66">
        <f>INDEX(Projects[PS Shuttles],106)</f>
        <v/>
      </c>
      <c r="H107" s="66">
        <f>INDEX(Projects[PS Pallet Locations],106)</f>
        <v/>
      </c>
      <c r="I107" s="66">
        <f>INDEX(Projects[SRM Cranes],106)</f>
        <v/>
      </c>
      <c r="J107" s="66">
        <f>INDEX(Projects[SRM Pallet Locations],106)</f>
        <v/>
      </c>
      <c r="K107" s="66">
        <f>INDEX(Projects[Case Conv (m)],106)</f>
        <v/>
      </c>
      <c r="L107" s="66">
        <f>INDEX(Projects[Pallet Conv (m)],106)</f>
        <v/>
      </c>
      <c r="M107" s="66">
        <f>INDEX(Projects[Mech Eng (wks)],106)</f>
        <v/>
      </c>
      <c r="N107" s="66">
        <f>INDEX(Projects[Controls Eng (wks)],106)</f>
        <v/>
      </c>
      <c r="O107" s="66">
        <f>INDEX(Projects[Systems Eng (wks)],106)</f>
        <v/>
      </c>
      <c r="P107" s="66">
        <f>INDEX(Projects[Software Eng (wks)],106)</f>
        <v/>
      </c>
      <c r="Q107" s="66">
        <f>INDEX(Projects[M&amp;E Installation (wks)],106)</f>
        <v/>
      </c>
      <c r="R107" s="66">
        <f>INDEX(Projects[Commissioning (wks)],106)</f>
        <v/>
      </c>
      <c r="S107" s="66">
        <f>INDEX(Projects[Total Timeline (wks)],106)</f>
        <v/>
      </c>
      <c r="T107" s="66">
        <f>INDEX(Projects[Currency],106)&amp;""</f>
        <v/>
      </c>
      <c r="U107" s="67">
        <f>INDEX(Projects[Value (M)],106)</f>
        <v/>
      </c>
      <c r="V107" s="66">
        <f>IF('Smart Search'!B13=1,IFERROR(1/'Smart Search'!H13,0),0)</f>
        <v/>
      </c>
      <c r="W107" s="66">
        <f>IF('Smart Search'!B13=1,IFERROR(1/'Smart Search'!H13,0),0)</f>
        <v/>
      </c>
      <c r="X107" s="66">
        <f>IF('Smart Search'!C13=1,IFERROR(1/'Smart Search'!H13,0),0)</f>
        <v/>
      </c>
      <c r="Y107" s="66">
        <f>IF('Smart Search'!C13=1,IFERROR(1/'Smart Search'!H13,0),0)</f>
        <v/>
      </c>
      <c r="Z107" s="66">
        <f>IF('Smart Search'!D13=1,IFERROR(1/'Smart Search'!H13,0),0)</f>
        <v/>
      </c>
      <c r="AA107" s="66">
        <f>IF('Smart Search'!D13=1,IFERROR(1/'Smart Search'!H13,0),0)</f>
        <v/>
      </c>
      <c r="AB107" s="66">
        <f>IF('Smart Search'!E13=1,IFERROR(1/'Smart Search'!H13,0),0)</f>
        <v/>
      </c>
      <c r="AC107" s="66">
        <f>IF('Smart Search'!E13=1,IFERROR(1/'Smart Search'!H13,0),0)</f>
        <v/>
      </c>
      <c r="AD107" s="66">
        <f>IF('Smart Search'!F13=1,IFERROR(1/'Smart Search'!H13,0),0)</f>
        <v/>
      </c>
      <c r="AE107" s="66">
        <f>IF('Smart Search'!F13=1,IFERROR(1/'Smart Search'!H13,0),0)</f>
        <v/>
      </c>
      <c r="AF107" s="66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66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66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66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66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66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66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66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66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66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66">
        <f>AF107*V107</f>
        <v/>
      </c>
      <c r="AQ107" s="66">
        <f>AG107*W107</f>
        <v/>
      </c>
      <c r="AR107" s="66">
        <f>AH107*X107</f>
        <v/>
      </c>
      <c r="AS107" s="66">
        <f>AI107*Y107</f>
        <v/>
      </c>
      <c r="AT107" s="66">
        <f>AJ107*Z107</f>
        <v/>
      </c>
      <c r="AU107" s="66">
        <f>AK107*AA107</f>
        <v/>
      </c>
      <c r="AV107" s="66">
        <f>AL107*AB107</f>
        <v/>
      </c>
      <c r="AW107" s="66">
        <f>AM107*AC107</f>
        <v/>
      </c>
      <c r="AX107" s="66">
        <f>AN107*AD107</f>
        <v/>
      </c>
      <c r="AY107" s="66">
        <f>AO107*AE107</f>
        <v/>
      </c>
      <c r="AZ107" s="66">
        <f>INDEX(Projects[Automation Equipment],106)&amp;""</f>
        <v/>
      </c>
      <c r="BA107" s="66">
        <f>IF(OR(A107="",'Smart Search'!H13=0),"",MAX(0,BE107*BF107*MAX(0,1-BG107)))</f>
        <v/>
      </c>
      <c r="BB107" s="66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66">
        <f>IF('Smart Search'!G13=1,IFERROR(1/'Smart Search'!H13,0),0)</f>
        <v/>
      </c>
      <c r="BD107" s="66">
        <f>BB107*BC107</f>
        <v/>
      </c>
      <c r="BE107" s="66">
        <f>AP107+AQ107+AR107+AS107+AT107+AU107+AV107+AW107+AX107+AY107+BD107</f>
        <v/>
      </c>
      <c r="BF107" s="5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5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5">
        <f>IF(AND(A107&lt;&gt;"",OR('Smart Search'!$L$5="",'Smart Search'!$L$5="All",TRIM(BZ107)=TRIM('Smart Search'!$L$5)),OR(TRIM('Smart Search'!$L$6)="",TRIM('Smart Search'!$L$6)="All",ISNUMBER(SEARCH(SUBSTITUTE(SUBSTITUTE(SUBSTITUTE(TRIM('Smart Search'!$L$6),"~","~~"),"*","~*"),"?","~?"),CA107))),OR('Smart Search'!$L$7="",AND(CB107&lt;&gt;0,CB107='Smart Search'!$L$7)),OR('Smart Search'!$L$8="",'Smart Search'!$L$8="All",TRIM(CC107)=TRIM('Smart Search'!$L$8))),IF(BA107="","",BA107+ROW()*0.0000000001),"")</f>
        <v/>
      </c>
      <c r="BI107" s="5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5">
        <f>IF(A107="","",N(INDEX(Projects[Mech Inst],106)))</f>
        <v/>
      </c>
      <c r="BK107" s="5">
        <f>IF(A107="","",N(INDEX(Projects[Elec Inst],106)))</f>
        <v/>
      </c>
      <c r="BL107" s="5">
        <f>IF(A107="","",N(INDEX(Projects[Project Management],106)))</f>
        <v/>
      </c>
      <c r="BM107" s="5">
        <f>IF(A107="","",N(INDEX(Projects[Systems Eng],106)))</f>
        <v/>
      </c>
      <c r="BN107" s="5">
        <f>IF(A107="","",N(INDEX(Projects[Mechanical Eng],106)))</f>
        <v/>
      </c>
      <c r="BO107" s="5">
        <f>IF(A107="","",N(INDEX(Projects[Structural Engineering],106)))</f>
        <v/>
      </c>
      <c r="BP107" s="5">
        <f>IF(A107="","",N(INDEX(Projects[Site Sup],106)))</f>
        <v/>
      </c>
      <c r="BQ107" s="5">
        <f>IF(A107="","",N(INDEX(Projects[Controls Commissioning],106)))</f>
        <v/>
      </c>
      <c r="BR107" s="5">
        <f>IF(A107="","",N(INDEX(Projects[Systems Commissioning],106)))</f>
        <v/>
      </c>
      <c r="BS107" s="5">
        <f>IF(A107="","",N(INDEX(Projects[Service Commissioning],106)))</f>
        <v/>
      </c>
      <c r="BT107" s="5">
        <f>IF(A107="","",N(INDEX(Projects[Controls Eng],106)))</f>
        <v/>
      </c>
      <c r="BU107" s="5">
        <f>IF(A107="","",N(INDEX(Projects[Controls Purchase],106)))</f>
        <v/>
      </c>
      <c r="BV107" s="5">
        <f>IF(A107="","",N(INDEX(Projects[Software Eng],106)))</f>
        <v/>
      </c>
      <c r="BW107" s="5">
        <f>IF(A107="","",N(INDEX(Projects[Misc],106)))</f>
        <v/>
      </c>
      <c r="BX107" s="5">
        <f>IF(A107="","",SUM(BJ107:BW107))</f>
        <v/>
      </c>
      <c r="BY107" s="5">
        <f>IF(A107="","",IFERROR(IF(ISNUMBER(U107),U107,VALUE(SUBSTITUTE(SUBSTITUTE(SUBSTITUTE(UPPER(TRIM(U107)),"M",""),",","")," ",""))),0))</f>
        <v/>
      </c>
      <c r="BZ107" s="5">
        <f>INDEX(Projects[Solution Type],106)&amp;""</f>
        <v/>
      </c>
      <c r="CA107" s="5">
        <f>INDEX(Projects[Client / Region],106)&amp;""</f>
        <v/>
      </c>
      <c r="CB107" s="5">
        <f>INDEX(Projects[Year],106)</f>
        <v/>
      </c>
      <c r="CC107" s="5">
        <f>INDEX(Projects[Won?],106)&amp;""</f>
        <v/>
      </c>
      <c r="CD107" s="5">
        <f>INDEX(Projects[Value (USD M)],106)</f>
        <v/>
      </c>
    </row>
    <row r="108" ht="15" customHeight="1" s="74">
      <c r="A108" s="66">
        <f>INDEX(Projects[Project ID *],107)&amp;""</f>
        <v/>
      </c>
      <c r="B108" s="66">
        <f>INDEX(Projects[Project Name *],107)&amp;""</f>
        <v/>
      </c>
      <c r="C108" s="66">
        <f>INDEX(Projects[MS Shuttles],107)</f>
        <v/>
      </c>
      <c r="D108" s="66">
        <f>INDEX(Projects[MS Tote Locations],107)</f>
        <v/>
      </c>
      <c r="E108" s="66">
        <f>INDEX(Projects[AS Robots],107)</f>
        <v/>
      </c>
      <c r="F108" s="66">
        <f>INDEX(Projects[AS Tote Locations],107)</f>
        <v/>
      </c>
      <c r="G108" s="66">
        <f>INDEX(Projects[PS Shuttles],107)</f>
        <v/>
      </c>
      <c r="H108" s="66">
        <f>INDEX(Projects[PS Pallet Locations],107)</f>
        <v/>
      </c>
      <c r="I108" s="66">
        <f>INDEX(Projects[SRM Cranes],107)</f>
        <v/>
      </c>
      <c r="J108" s="66">
        <f>INDEX(Projects[SRM Pallet Locations],107)</f>
        <v/>
      </c>
      <c r="K108" s="66">
        <f>INDEX(Projects[Case Conv (m)],107)</f>
        <v/>
      </c>
      <c r="L108" s="66">
        <f>INDEX(Projects[Pallet Conv (m)],107)</f>
        <v/>
      </c>
      <c r="M108" s="66">
        <f>INDEX(Projects[Mech Eng (wks)],107)</f>
        <v/>
      </c>
      <c r="N108" s="66">
        <f>INDEX(Projects[Controls Eng (wks)],107)</f>
        <v/>
      </c>
      <c r="O108" s="66">
        <f>INDEX(Projects[Systems Eng (wks)],107)</f>
        <v/>
      </c>
      <c r="P108" s="66">
        <f>INDEX(Projects[Software Eng (wks)],107)</f>
        <v/>
      </c>
      <c r="Q108" s="66">
        <f>INDEX(Projects[M&amp;E Installation (wks)],107)</f>
        <v/>
      </c>
      <c r="R108" s="66">
        <f>INDEX(Projects[Commissioning (wks)],107)</f>
        <v/>
      </c>
      <c r="S108" s="66">
        <f>INDEX(Projects[Total Timeline (wks)],107)</f>
        <v/>
      </c>
      <c r="T108" s="66">
        <f>INDEX(Projects[Currency],107)&amp;""</f>
        <v/>
      </c>
      <c r="U108" s="67">
        <f>INDEX(Projects[Value (M)],107)</f>
        <v/>
      </c>
      <c r="V108" s="66">
        <f>IF('Smart Search'!B13=1,IFERROR(1/'Smart Search'!H13,0),0)</f>
        <v/>
      </c>
      <c r="W108" s="66">
        <f>IF('Smart Search'!B13=1,IFERROR(1/'Smart Search'!H13,0),0)</f>
        <v/>
      </c>
      <c r="X108" s="66">
        <f>IF('Smart Search'!C13=1,IFERROR(1/'Smart Search'!H13,0),0)</f>
        <v/>
      </c>
      <c r="Y108" s="66">
        <f>IF('Smart Search'!C13=1,IFERROR(1/'Smart Search'!H13,0),0)</f>
        <v/>
      </c>
      <c r="Z108" s="66">
        <f>IF('Smart Search'!D13=1,IFERROR(1/'Smart Search'!H13,0),0)</f>
        <v/>
      </c>
      <c r="AA108" s="66">
        <f>IF('Smart Search'!D13=1,IFERROR(1/'Smart Search'!H13,0),0)</f>
        <v/>
      </c>
      <c r="AB108" s="66">
        <f>IF('Smart Search'!E13=1,IFERROR(1/'Smart Search'!H13,0),0)</f>
        <v/>
      </c>
      <c r="AC108" s="66">
        <f>IF('Smart Search'!E13=1,IFERROR(1/'Smart Search'!H13,0),0)</f>
        <v/>
      </c>
      <c r="AD108" s="66">
        <f>IF('Smart Search'!F13=1,IFERROR(1/'Smart Search'!H13,0),0)</f>
        <v/>
      </c>
      <c r="AE108" s="66">
        <f>IF('Smart Search'!F13=1,IFERROR(1/'Smart Search'!H13,0),0)</f>
        <v/>
      </c>
      <c r="AF108" s="66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66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66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66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66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66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66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66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66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66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66">
        <f>AF108*V108</f>
        <v/>
      </c>
      <c r="AQ108" s="66">
        <f>AG108*W108</f>
        <v/>
      </c>
      <c r="AR108" s="66">
        <f>AH108*X108</f>
        <v/>
      </c>
      <c r="AS108" s="66">
        <f>AI108*Y108</f>
        <v/>
      </c>
      <c r="AT108" s="66">
        <f>AJ108*Z108</f>
        <v/>
      </c>
      <c r="AU108" s="66">
        <f>AK108*AA108</f>
        <v/>
      </c>
      <c r="AV108" s="66">
        <f>AL108*AB108</f>
        <v/>
      </c>
      <c r="AW108" s="66">
        <f>AM108*AC108</f>
        <v/>
      </c>
      <c r="AX108" s="66">
        <f>AN108*AD108</f>
        <v/>
      </c>
      <c r="AY108" s="66">
        <f>AO108*AE108</f>
        <v/>
      </c>
      <c r="AZ108" s="66">
        <f>INDEX(Projects[Automation Equipment],107)&amp;""</f>
        <v/>
      </c>
      <c r="BA108" s="66">
        <f>IF(OR(A108="",'Smart Search'!H13=0),"",MAX(0,BE108*BF108*MAX(0,1-BG108)))</f>
        <v/>
      </c>
      <c r="BB108" s="66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66">
        <f>IF('Smart Search'!G13=1,IFERROR(1/'Smart Search'!H13,0),0)</f>
        <v/>
      </c>
      <c r="BD108" s="66">
        <f>BB108*BC108</f>
        <v/>
      </c>
      <c r="BE108" s="66">
        <f>AP108+AQ108+AR108+AS108+AT108+AU108+AV108+AW108+AX108+AY108+BD108</f>
        <v/>
      </c>
      <c r="BF108" s="5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5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5">
        <f>IF(AND(A108&lt;&gt;"",OR('Smart Search'!$L$5="",'Smart Search'!$L$5="All",TRIM(BZ108)=TRIM('Smart Search'!$L$5)),OR(TRIM('Smart Search'!$L$6)="",TRIM('Smart Search'!$L$6)="All",ISNUMBER(SEARCH(SUBSTITUTE(SUBSTITUTE(SUBSTITUTE(TRIM('Smart Search'!$L$6),"~","~~"),"*","~*"),"?","~?"),CA108))),OR('Smart Search'!$L$7="",AND(CB108&lt;&gt;0,CB108='Smart Search'!$L$7)),OR('Smart Search'!$L$8="",'Smart Search'!$L$8="All",TRIM(CC108)=TRIM('Smart Search'!$L$8))),IF(BA108="","",BA108+ROW()*0.0000000001),"")</f>
        <v/>
      </c>
      <c r="BI108" s="5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5">
        <f>IF(A108="","",N(INDEX(Projects[Mech Inst],107)))</f>
        <v/>
      </c>
      <c r="BK108" s="5">
        <f>IF(A108="","",N(INDEX(Projects[Elec Inst],107)))</f>
        <v/>
      </c>
      <c r="BL108" s="5">
        <f>IF(A108="","",N(INDEX(Projects[Project Management],107)))</f>
        <v/>
      </c>
      <c r="BM108" s="5">
        <f>IF(A108="","",N(INDEX(Projects[Systems Eng],107)))</f>
        <v/>
      </c>
      <c r="BN108" s="5">
        <f>IF(A108="","",N(INDEX(Projects[Mechanical Eng],107)))</f>
        <v/>
      </c>
      <c r="BO108" s="5">
        <f>IF(A108="","",N(INDEX(Projects[Structural Engineering],107)))</f>
        <v/>
      </c>
      <c r="BP108" s="5">
        <f>IF(A108="","",N(INDEX(Projects[Site Sup],107)))</f>
        <v/>
      </c>
      <c r="BQ108" s="5">
        <f>IF(A108="","",N(INDEX(Projects[Controls Commissioning],107)))</f>
        <v/>
      </c>
      <c r="BR108" s="5">
        <f>IF(A108="","",N(INDEX(Projects[Systems Commissioning],107)))</f>
        <v/>
      </c>
      <c r="BS108" s="5">
        <f>IF(A108="","",N(INDEX(Projects[Service Commissioning],107)))</f>
        <v/>
      </c>
      <c r="BT108" s="5">
        <f>IF(A108="","",N(INDEX(Projects[Controls Eng],107)))</f>
        <v/>
      </c>
      <c r="BU108" s="5">
        <f>IF(A108="","",N(INDEX(Projects[Controls Purchase],107)))</f>
        <v/>
      </c>
      <c r="BV108" s="5">
        <f>IF(A108="","",N(INDEX(Projects[Software Eng],107)))</f>
        <v/>
      </c>
      <c r="BW108" s="5">
        <f>IF(A108="","",N(INDEX(Projects[Misc],107)))</f>
        <v/>
      </c>
      <c r="BX108" s="5">
        <f>IF(A108="","",SUM(BJ108:BW108))</f>
        <v/>
      </c>
      <c r="BY108" s="5">
        <f>IF(A108="","",IFERROR(IF(ISNUMBER(U108),U108,VALUE(SUBSTITUTE(SUBSTITUTE(SUBSTITUTE(UPPER(TRIM(U108)),"M",""),",","")," ",""))),0))</f>
        <v/>
      </c>
      <c r="BZ108" s="5">
        <f>INDEX(Projects[Solution Type],107)&amp;""</f>
        <v/>
      </c>
      <c r="CA108" s="5">
        <f>INDEX(Projects[Client / Region],107)&amp;""</f>
        <v/>
      </c>
      <c r="CB108" s="5">
        <f>INDEX(Projects[Year],107)</f>
        <v/>
      </c>
      <c r="CC108" s="5">
        <f>INDEX(Projects[Won?],107)&amp;""</f>
        <v/>
      </c>
      <c r="CD108" s="5">
        <f>INDEX(Projects[Value (USD M)],107)</f>
        <v/>
      </c>
    </row>
    <row r="109" ht="15" customHeight="1" s="74">
      <c r="A109" s="66">
        <f>INDEX(Projects[Project ID *],108)&amp;""</f>
        <v/>
      </c>
      <c r="B109" s="66">
        <f>INDEX(Projects[Project Name *],108)&amp;""</f>
        <v/>
      </c>
      <c r="C109" s="66">
        <f>INDEX(Projects[MS Shuttles],108)</f>
        <v/>
      </c>
      <c r="D109" s="66">
        <f>INDEX(Projects[MS Tote Locations],108)</f>
        <v/>
      </c>
      <c r="E109" s="66">
        <f>INDEX(Projects[AS Robots],108)</f>
        <v/>
      </c>
      <c r="F109" s="66">
        <f>INDEX(Projects[AS Tote Locations],108)</f>
        <v/>
      </c>
      <c r="G109" s="66">
        <f>INDEX(Projects[PS Shuttles],108)</f>
        <v/>
      </c>
      <c r="H109" s="66">
        <f>INDEX(Projects[PS Pallet Locations],108)</f>
        <v/>
      </c>
      <c r="I109" s="66">
        <f>INDEX(Projects[SRM Cranes],108)</f>
        <v/>
      </c>
      <c r="J109" s="66">
        <f>INDEX(Projects[SRM Pallet Locations],108)</f>
        <v/>
      </c>
      <c r="K109" s="66">
        <f>INDEX(Projects[Case Conv (m)],108)</f>
        <v/>
      </c>
      <c r="L109" s="66">
        <f>INDEX(Projects[Pallet Conv (m)],108)</f>
        <v/>
      </c>
      <c r="M109" s="66">
        <f>INDEX(Projects[Mech Eng (wks)],108)</f>
        <v/>
      </c>
      <c r="N109" s="66">
        <f>INDEX(Projects[Controls Eng (wks)],108)</f>
        <v/>
      </c>
      <c r="O109" s="66">
        <f>INDEX(Projects[Systems Eng (wks)],108)</f>
        <v/>
      </c>
      <c r="P109" s="66">
        <f>INDEX(Projects[Software Eng (wks)],108)</f>
        <v/>
      </c>
      <c r="Q109" s="66">
        <f>INDEX(Projects[M&amp;E Installation (wks)],108)</f>
        <v/>
      </c>
      <c r="R109" s="66">
        <f>INDEX(Projects[Commissioning (wks)],108)</f>
        <v/>
      </c>
      <c r="S109" s="66">
        <f>INDEX(Projects[Total Timeline (wks)],108)</f>
        <v/>
      </c>
      <c r="T109" s="66">
        <f>INDEX(Projects[Currency],108)&amp;""</f>
        <v/>
      </c>
      <c r="U109" s="67">
        <f>INDEX(Projects[Value (M)],108)</f>
        <v/>
      </c>
      <c r="V109" s="66">
        <f>IF('Smart Search'!B13=1,IFERROR(1/'Smart Search'!H13,0),0)</f>
        <v/>
      </c>
      <c r="W109" s="66">
        <f>IF('Smart Search'!B13=1,IFERROR(1/'Smart Search'!H13,0),0)</f>
        <v/>
      </c>
      <c r="X109" s="66">
        <f>IF('Smart Search'!C13=1,IFERROR(1/'Smart Search'!H13,0),0)</f>
        <v/>
      </c>
      <c r="Y109" s="66">
        <f>IF('Smart Search'!C13=1,IFERROR(1/'Smart Search'!H13,0),0)</f>
        <v/>
      </c>
      <c r="Z109" s="66">
        <f>IF('Smart Search'!D13=1,IFERROR(1/'Smart Search'!H13,0),0)</f>
        <v/>
      </c>
      <c r="AA109" s="66">
        <f>IF('Smart Search'!D13=1,IFERROR(1/'Smart Search'!H13,0),0)</f>
        <v/>
      </c>
      <c r="AB109" s="66">
        <f>IF('Smart Search'!E13=1,IFERROR(1/'Smart Search'!H13,0),0)</f>
        <v/>
      </c>
      <c r="AC109" s="66">
        <f>IF('Smart Search'!E13=1,IFERROR(1/'Smart Search'!H13,0),0)</f>
        <v/>
      </c>
      <c r="AD109" s="66">
        <f>IF('Smart Search'!F13=1,IFERROR(1/'Smart Search'!H13,0),0)</f>
        <v/>
      </c>
      <c r="AE109" s="66">
        <f>IF('Smart Search'!F13=1,IFERROR(1/'Smart Search'!H13,0),0)</f>
        <v/>
      </c>
      <c r="AF109" s="66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66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66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66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66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66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66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66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66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66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66">
        <f>AF109*V109</f>
        <v/>
      </c>
      <c r="AQ109" s="66">
        <f>AG109*W109</f>
        <v/>
      </c>
      <c r="AR109" s="66">
        <f>AH109*X109</f>
        <v/>
      </c>
      <c r="AS109" s="66">
        <f>AI109*Y109</f>
        <v/>
      </c>
      <c r="AT109" s="66">
        <f>AJ109*Z109</f>
        <v/>
      </c>
      <c r="AU109" s="66">
        <f>AK109*AA109</f>
        <v/>
      </c>
      <c r="AV109" s="66">
        <f>AL109*AB109</f>
        <v/>
      </c>
      <c r="AW109" s="66">
        <f>AM109*AC109</f>
        <v/>
      </c>
      <c r="AX109" s="66">
        <f>AN109*AD109</f>
        <v/>
      </c>
      <c r="AY109" s="66">
        <f>AO109*AE109</f>
        <v/>
      </c>
      <c r="AZ109" s="66">
        <f>INDEX(Projects[Automation Equipment],108)&amp;""</f>
        <v/>
      </c>
      <c r="BA109" s="66">
        <f>IF(OR(A109="",'Smart Search'!H13=0),"",MAX(0,BE109*BF109*MAX(0,1-BG109)))</f>
        <v/>
      </c>
      <c r="BB109" s="66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66">
        <f>IF('Smart Search'!G13=1,IFERROR(1/'Smart Search'!H13,0),0)</f>
        <v/>
      </c>
      <c r="BD109" s="66">
        <f>BB109*BC109</f>
        <v/>
      </c>
      <c r="BE109" s="66">
        <f>AP109+AQ109+AR109+AS109+AT109+AU109+AV109+AW109+AX109+AY109+BD109</f>
        <v/>
      </c>
      <c r="BF109" s="5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5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5">
        <f>IF(AND(A109&lt;&gt;"",OR('Smart Search'!$L$5="",'Smart Search'!$L$5="All",TRIM(BZ109)=TRIM('Smart Search'!$L$5)),OR(TRIM('Smart Search'!$L$6)="",TRIM('Smart Search'!$L$6)="All",ISNUMBER(SEARCH(SUBSTITUTE(SUBSTITUTE(SUBSTITUTE(TRIM('Smart Search'!$L$6),"~","~~"),"*","~*"),"?","~?"),CA109))),OR('Smart Search'!$L$7="",AND(CB109&lt;&gt;0,CB109='Smart Search'!$L$7)),OR('Smart Search'!$L$8="",'Smart Search'!$L$8="All",TRIM(CC109)=TRIM('Smart Search'!$L$8))),IF(BA109="","",BA109+ROW()*0.0000000001),"")</f>
        <v/>
      </c>
      <c r="BI109" s="5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5">
        <f>IF(A109="","",N(INDEX(Projects[Mech Inst],108)))</f>
        <v/>
      </c>
      <c r="BK109" s="5">
        <f>IF(A109="","",N(INDEX(Projects[Elec Inst],108)))</f>
        <v/>
      </c>
      <c r="BL109" s="5">
        <f>IF(A109="","",N(INDEX(Projects[Project Management],108)))</f>
        <v/>
      </c>
      <c r="BM109" s="5">
        <f>IF(A109="","",N(INDEX(Projects[Systems Eng],108)))</f>
        <v/>
      </c>
      <c r="BN109" s="5">
        <f>IF(A109="","",N(INDEX(Projects[Mechanical Eng],108)))</f>
        <v/>
      </c>
      <c r="BO109" s="5">
        <f>IF(A109="","",N(INDEX(Projects[Structural Engineering],108)))</f>
        <v/>
      </c>
      <c r="BP109" s="5">
        <f>IF(A109="","",N(INDEX(Projects[Site Sup],108)))</f>
        <v/>
      </c>
      <c r="BQ109" s="5">
        <f>IF(A109="","",N(INDEX(Projects[Controls Commissioning],108)))</f>
        <v/>
      </c>
      <c r="BR109" s="5">
        <f>IF(A109="","",N(INDEX(Projects[Systems Commissioning],108)))</f>
        <v/>
      </c>
      <c r="BS109" s="5">
        <f>IF(A109="","",N(INDEX(Projects[Service Commissioning],108)))</f>
        <v/>
      </c>
      <c r="BT109" s="5">
        <f>IF(A109="","",N(INDEX(Projects[Controls Eng],108)))</f>
        <v/>
      </c>
      <c r="BU109" s="5">
        <f>IF(A109="","",N(INDEX(Projects[Controls Purchase],108)))</f>
        <v/>
      </c>
      <c r="BV109" s="5">
        <f>IF(A109="","",N(INDEX(Projects[Software Eng],108)))</f>
        <v/>
      </c>
      <c r="BW109" s="5">
        <f>IF(A109="","",N(INDEX(Projects[Misc],108)))</f>
        <v/>
      </c>
      <c r="BX109" s="5">
        <f>IF(A109="","",SUM(BJ109:BW109))</f>
        <v/>
      </c>
      <c r="BY109" s="5">
        <f>IF(A109="","",IFERROR(IF(ISNUMBER(U109),U109,VALUE(SUBSTITUTE(SUBSTITUTE(SUBSTITUTE(UPPER(TRIM(U109)),"M",""),",","")," ",""))),0))</f>
        <v/>
      </c>
      <c r="BZ109" s="5">
        <f>INDEX(Projects[Solution Type],108)&amp;""</f>
        <v/>
      </c>
      <c r="CA109" s="5">
        <f>INDEX(Projects[Client / Region],108)&amp;""</f>
        <v/>
      </c>
      <c r="CB109" s="5">
        <f>INDEX(Projects[Year],108)</f>
        <v/>
      </c>
      <c r="CC109" s="5">
        <f>INDEX(Projects[Won?],108)&amp;""</f>
        <v/>
      </c>
      <c r="CD109" s="5">
        <f>INDEX(Projects[Value (USD M)],108)</f>
        <v/>
      </c>
    </row>
    <row r="110" ht="15" customHeight="1" s="74">
      <c r="A110" s="66">
        <f>INDEX(Projects[Project ID *],109)&amp;""</f>
        <v/>
      </c>
      <c r="B110" s="66">
        <f>INDEX(Projects[Project Name *],109)&amp;""</f>
        <v/>
      </c>
      <c r="C110" s="66">
        <f>INDEX(Projects[MS Shuttles],109)</f>
        <v/>
      </c>
      <c r="D110" s="66">
        <f>INDEX(Projects[MS Tote Locations],109)</f>
        <v/>
      </c>
      <c r="E110" s="66">
        <f>INDEX(Projects[AS Robots],109)</f>
        <v/>
      </c>
      <c r="F110" s="66">
        <f>INDEX(Projects[AS Tote Locations],109)</f>
        <v/>
      </c>
      <c r="G110" s="66">
        <f>INDEX(Projects[PS Shuttles],109)</f>
        <v/>
      </c>
      <c r="H110" s="66">
        <f>INDEX(Projects[PS Pallet Locations],109)</f>
        <v/>
      </c>
      <c r="I110" s="66">
        <f>INDEX(Projects[SRM Cranes],109)</f>
        <v/>
      </c>
      <c r="J110" s="66">
        <f>INDEX(Projects[SRM Pallet Locations],109)</f>
        <v/>
      </c>
      <c r="K110" s="66">
        <f>INDEX(Projects[Case Conv (m)],109)</f>
        <v/>
      </c>
      <c r="L110" s="66">
        <f>INDEX(Projects[Pallet Conv (m)],109)</f>
        <v/>
      </c>
      <c r="M110" s="66">
        <f>INDEX(Projects[Mech Eng (wks)],109)</f>
        <v/>
      </c>
      <c r="N110" s="66">
        <f>INDEX(Projects[Controls Eng (wks)],109)</f>
        <v/>
      </c>
      <c r="O110" s="66">
        <f>INDEX(Projects[Systems Eng (wks)],109)</f>
        <v/>
      </c>
      <c r="P110" s="66">
        <f>INDEX(Projects[Software Eng (wks)],109)</f>
        <v/>
      </c>
      <c r="Q110" s="66">
        <f>INDEX(Projects[M&amp;E Installation (wks)],109)</f>
        <v/>
      </c>
      <c r="R110" s="66">
        <f>INDEX(Projects[Commissioning (wks)],109)</f>
        <v/>
      </c>
      <c r="S110" s="66">
        <f>INDEX(Projects[Total Timeline (wks)],109)</f>
        <v/>
      </c>
      <c r="T110" s="66">
        <f>INDEX(Projects[Currency],109)&amp;""</f>
        <v/>
      </c>
      <c r="U110" s="67">
        <f>INDEX(Projects[Value (M)],109)</f>
        <v/>
      </c>
      <c r="V110" s="66">
        <f>IF('Smart Search'!B13=1,IFERROR(1/'Smart Search'!H13,0),0)</f>
        <v/>
      </c>
      <c r="W110" s="66">
        <f>IF('Smart Search'!B13=1,IFERROR(1/'Smart Search'!H13,0),0)</f>
        <v/>
      </c>
      <c r="X110" s="66">
        <f>IF('Smart Search'!C13=1,IFERROR(1/'Smart Search'!H13,0),0)</f>
        <v/>
      </c>
      <c r="Y110" s="66">
        <f>IF('Smart Search'!C13=1,IFERROR(1/'Smart Search'!H13,0),0)</f>
        <v/>
      </c>
      <c r="Z110" s="66">
        <f>IF('Smart Search'!D13=1,IFERROR(1/'Smart Search'!H13,0),0)</f>
        <v/>
      </c>
      <c r="AA110" s="66">
        <f>IF('Smart Search'!D13=1,IFERROR(1/'Smart Search'!H13,0),0)</f>
        <v/>
      </c>
      <c r="AB110" s="66">
        <f>IF('Smart Search'!E13=1,IFERROR(1/'Smart Search'!H13,0),0)</f>
        <v/>
      </c>
      <c r="AC110" s="66">
        <f>IF('Smart Search'!E13=1,IFERROR(1/'Smart Search'!H13,0),0)</f>
        <v/>
      </c>
      <c r="AD110" s="66">
        <f>IF('Smart Search'!F13=1,IFERROR(1/'Smart Search'!H13,0),0)</f>
        <v/>
      </c>
      <c r="AE110" s="66">
        <f>IF('Smart Search'!F13=1,IFERROR(1/'Smart Search'!H13,0),0)</f>
        <v/>
      </c>
      <c r="AF110" s="66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66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66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66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66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66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66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66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66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66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66">
        <f>AF110*V110</f>
        <v/>
      </c>
      <c r="AQ110" s="66">
        <f>AG110*W110</f>
        <v/>
      </c>
      <c r="AR110" s="66">
        <f>AH110*X110</f>
        <v/>
      </c>
      <c r="AS110" s="66">
        <f>AI110*Y110</f>
        <v/>
      </c>
      <c r="AT110" s="66">
        <f>AJ110*Z110</f>
        <v/>
      </c>
      <c r="AU110" s="66">
        <f>AK110*AA110</f>
        <v/>
      </c>
      <c r="AV110" s="66">
        <f>AL110*AB110</f>
        <v/>
      </c>
      <c r="AW110" s="66">
        <f>AM110*AC110</f>
        <v/>
      </c>
      <c r="AX110" s="66">
        <f>AN110*AD110</f>
        <v/>
      </c>
      <c r="AY110" s="66">
        <f>AO110*AE110</f>
        <v/>
      </c>
      <c r="AZ110" s="66">
        <f>INDEX(Projects[Automation Equipment],109)&amp;""</f>
        <v/>
      </c>
      <c r="BA110" s="66">
        <f>IF(OR(A110="",'Smart Search'!H13=0),"",MAX(0,BE110*BF110*MAX(0,1-BG110)))</f>
        <v/>
      </c>
      <c r="BB110" s="66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66">
        <f>IF('Smart Search'!G13=1,IFERROR(1/'Smart Search'!H13,0),0)</f>
        <v/>
      </c>
      <c r="BD110" s="66">
        <f>BB110*BC110</f>
        <v/>
      </c>
      <c r="BE110" s="66">
        <f>AP110+AQ110+AR110+AS110+AT110+AU110+AV110+AW110+AX110+AY110+BD110</f>
        <v/>
      </c>
      <c r="BF110" s="5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5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5">
        <f>IF(AND(A110&lt;&gt;"",OR('Smart Search'!$L$5="",'Smart Search'!$L$5="All",TRIM(BZ110)=TRIM('Smart Search'!$L$5)),OR(TRIM('Smart Search'!$L$6)="",TRIM('Smart Search'!$L$6)="All",ISNUMBER(SEARCH(SUBSTITUTE(SUBSTITUTE(SUBSTITUTE(TRIM('Smart Search'!$L$6),"~","~~"),"*","~*"),"?","~?"),CA110))),OR('Smart Search'!$L$7="",AND(CB110&lt;&gt;0,CB110='Smart Search'!$L$7)),OR('Smart Search'!$L$8="",'Smart Search'!$L$8="All",TRIM(CC110)=TRIM('Smart Search'!$L$8))),IF(BA110="","",BA110+ROW()*0.0000000001),"")</f>
        <v/>
      </c>
      <c r="BI110" s="5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5">
        <f>IF(A110="","",N(INDEX(Projects[Mech Inst],109)))</f>
        <v/>
      </c>
      <c r="BK110" s="5">
        <f>IF(A110="","",N(INDEX(Projects[Elec Inst],109)))</f>
        <v/>
      </c>
      <c r="BL110" s="5">
        <f>IF(A110="","",N(INDEX(Projects[Project Management],109)))</f>
        <v/>
      </c>
      <c r="BM110" s="5">
        <f>IF(A110="","",N(INDEX(Projects[Systems Eng],109)))</f>
        <v/>
      </c>
      <c r="BN110" s="5">
        <f>IF(A110="","",N(INDEX(Projects[Mechanical Eng],109)))</f>
        <v/>
      </c>
      <c r="BO110" s="5">
        <f>IF(A110="","",N(INDEX(Projects[Structural Engineering],109)))</f>
        <v/>
      </c>
      <c r="BP110" s="5">
        <f>IF(A110="","",N(INDEX(Projects[Site Sup],109)))</f>
        <v/>
      </c>
      <c r="BQ110" s="5">
        <f>IF(A110="","",N(INDEX(Projects[Controls Commissioning],109)))</f>
        <v/>
      </c>
      <c r="BR110" s="5">
        <f>IF(A110="","",N(INDEX(Projects[Systems Commissioning],109)))</f>
        <v/>
      </c>
      <c r="BS110" s="5">
        <f>IF(A110="","",N(INDEX(Projects[Service Commissioning],109)))</f>
        <v/>
      </c>
      <c r="BT110" s="5">
        <f>IF(A110="","",N(INDEX(Projects[Controls Eng],109)))</f>
        <v/>
      </c>
      <c r="BU110" s="5">
        <f>IF(A110="","",N(INDEX(Projects[Controls Purchase],109)))</f>
        <v/>
      </c>
      <c r="BV110" s="5">
        <f>IF(A110="","",N(INDEX(Projects[Software Eng],109)))</f>
        <v/>
      </c>
      <c r="BW110" s="5">
        <f>IF(A110="","",N(INDEX(Projects[Misc],109)))</f>
        <v/>
      </c>
      <c r="BX110" s="5">
        <f>IF(A110="","",SUM(BJ110:BW110))</f>
        <v/>
      </c>
      <c r="BY110" s="5">
        <f>IF(A110="","",IFERROR(IF(ISNUMBER(U110),U110,VALUE(SUBSTITUTE(SUBSTITUTE(SUBSTITUTE(UPPER(TRIM(U110)),"M",""),",","")," ",""))),0))</f>
        <v/>
      </c>
      <c r="BZ110" s="5">
        <f>INDEX(Projects[Solution Type],109)&amp;""</f>
        <v/>
      </c>
      <c r="CA110" s="5">
        <f>INDEX(Projects[Client / Region],109)&amp;""</f>
        <v/>
      </c>
      <c r="CB110" s="5">
        <f>INDEX(Projects[Year],109)</f>
        <v/>
      </c>
      <c r="CC110" s="5">
        <f>INDEX(Projects[Won?],109)&amp;""</f>
        <v/>
      </c>
      <c r="CD110" s="5">
        <f>INDEX(Projects[Value (USD M)],109)</f>
        <v/>
      </c>
    </row>
    <row r="111" ht="15" customHeight="1" s="74">
      <c r="A111" s="66">
        <f>INDEX(Projects[Project ID *],110)&amp;""</f>
        <v/>
      </c>
      <c r="B111" s="66">
        <f>INDEX(Projects[Project Name *],110)&amp;""</f>
        <v/>
      </c>
      <c r="C111" s="66">
        <f>INDEX(Projects[MS Shuttles],110)</f>
        <v/>
      </c>
      <c r="D111" s="66">
        <f>INDEX(Projects[MS Tote Locations],110)</f>
        <v/>
      </c>
      <c r="E111" s="66">
        <f>INDEX(Projects[AS Robots],110)</f>
        <v/>
      </c>
      <c r="F111" s="66">
        <f>INDEX(Projects[AS Tote Locations],110)</f>
        <v/>
      </c>
      <c r="G111" s="66">
        <f>INDEX(Projects[PS Shuttles],110)</f>
        <v/>
      </c>
      <c r="H111" s="66">
        <f>INDEX(Projects[PS Pallet Locations],110)</f>
        <v/>
      </c>
      <c r="I111" s="66">
        <f>INDEX(Projects[SRM Cranes],110)</f>
        <v/>
      </c>
      <c r="J111" s="66">
        <f>INDEX(Projects[SRM Pallet Locations],110)</f>
        <v/>
      </c>
      <c r="K111" s="66">
        <f>INDEX(Projects[Case Conv (m)],110)</f>
        <v/>
      </c>
      <c r="L111" s="66">
        <f>INDEX(Projects[Pallet Conv (m)],110)</f>
        <v/>
      </c>
      <c r="M111" s="66">
        <f>INDEX(Projects[Mech Eng (wks)],110)</f>
        <v/>
      </c>
      <c r="N111" s="66">
        <f>INDEX(Projects[Controls Eng (wks)],110)</f>
        <v/>
      </c>
      <c r="O111" s="66">
        <f>INDEX(Projects[Systems Eng (wks)],110)</f>
        <v/>
      </c>
      <c r="P111" s="66">
        <f>INDEX(Projects[Software Eng (wks)],110)</f>
        <v/>
      </c>
      <c r="Q111" s="66">
        <f>INDEX(Projects[M&amp;E Installation (wks)],110)</f>
        <v/>
      </c>
      <c r="R111" s="66">
        <f>INDEX(Projects[Commissioning (wks)],110)</f>
        <v/>
      </c>
      <c r="S111" s="66">
        <f>INDEX(Projects[Total Timeline (wks)],110)</f>
        <v/>
      </c>
      <c r="T111" s="66">
        <f>INDEX(Projects[Currency],110)&amp;""</f>
        <v/>
      </c>
      <c r="U111" s="67">
        <f>INDEX(Projects[Value (M)],110)</f>
        <v/>
      </c>
      <c r="V111" s="66">
        <f>IF('Smart Search'!B13=1,IFERROR(1/'Smart Search'!H13,0),0)</f>
        <v/>
      </c>
      <c r="W111" s="66">
        <f>IF('Smart Search'!B13=1,IFERROR(1/'Smart Search'!H13,0),0)</f>
        <v/>
      </c>
      <c r="X111" s="66">
        <f>IF('Smart Search'!C13=1,IFERROR(1/'Smart Search'!H13,0),0)</f>
        <v/>
      </c>
      <c r="Y111" s="66">
        <f>IF('Smart Search'!C13=1,IFERROR(1/'Smart Search'!H13,0),0)</f>
        <v/>
      </c>
      <c r="Z111" s="66">
        <f>IF('Smart Search'!D13=1,IFERROR(1/'Smart Search'!H13,0),0)</f>
        <v/>
      </c>
      <c r="AA111" s="66">
        <f>IF('Smart Search'!D13=1,IFERROR(1/'Smart Search'!H13,0),0)</f>
        <v/>
      </c>
      <c r="AB111" s="66">
        <f>IF('Smart Search'!E13=1,IFERROR(1/'Smart Search'!H13,0),0)</f>
        <v/>
      </c>
      <c r="AC111" s="66">
        <f>IF('Smart Search'!E13=1,IFERROR(1/'Smart Search'!H13,0),0)</f>
        <v/>
      </c>
      <c r="AD111" s="66">
        <f>IF('Smart Search'!F13=1,IFERROR(1/'Smart Search'!H13,0),0)</f>
        <v/>
      </c>
      <c r="AE111" s="66">
        <f>IF('Smart Search'!F13=1,IFERROR(1/'Smart Search'!H13,0),0)</f>
        <v/>
      </c>
      <c r="AF111" s="66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66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66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66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66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66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66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66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66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66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66">
        <f>AF111*V111</f>
        <v/>
      </c>
      <c r="AQ111" s="66">
        <f>AG111*W111</f>
        <v/>
      </c>
      <c r="AR111" s="66">
        <f>AH111*X111</f>
        <v/>
      </c>
      <c r="AS111" s="66">
        <f>AI111*Y111</f>
        <v/>
      </c>
      <c r="AT111" s="66">
        <f>AJ111*Z111</f>
        <v/>
      </c>
      <c r="AU111" s="66">
        <f>AK111*AA111</f>
        <v/>
      </c>
      <c r="AV111" s="66">
        <f>AL111*AB111</f>
        <v/>
      </c>
      <c r="AW111" s="66">
        <f>AM111*AC111</f>
        <v/>
      </c>
      <c r="AX111" s="66">
        <f>AN111*AD111</f>
        <v/>
      </c>
      <c r="AY111" s="66">
        <f>AO111*AE111</f>
        <v/>
      </c>
      <c r="AZ111" s="66">
        <f>INDEX(Projects[Automation Equipment],110)&amp;""</f>
        <v/>
      </c>
      <c r="BA111" s="66">
        <f>IF(OR(A111="",'Smart Search'!H13=0),"",MAX(0,BE111*BF111*MAX(0,1-BG111)))</f>
        <v/>
      </c>
      <c r="BB111" s="66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66">
        <f>IF('Smart Search'!G13=1,IFERROR(1/'Smart Search'!H13,0),0)</f>
        <v/>
      </c>
      <c r="BD111" s="66">
        <f>BB111*BC111</f>
        <v/>
      </c>
      <c r="BE111" s="66">
        <f>AP111+AQ111+AR111+AS111+AT111+AU111+AV111+AW111+AX111+AY111+BD111</f>
        <v/>
      </c>
      <c r="BF111" s="5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5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5">
        <f>IF(AND(A111&lt;&gt;"",OR('Smart Search'!$L$5="",'Smart Search'!$L$5="All",TRIM(BZ111)=TRIM('Smart Search'!$L$5)),OR(TRIM('Smart Search'!$L$6)="",TRIM('Smart Search'!$L$6)="All",ISNUMBER(SEARCH(SUBSTITUTE(SUBSTITUTE(SUBSTITUTE(TRIM('Smart Search'!$L$6),"~","~~"),"*","~*"),"?","~?"),CA111))),OR('Smart Search'!$L$7="",AND(CB111&lt;&gt;0,CB111='Smart Search'!$L$7)),OR('Smart Search'!$L$8="",'Smart Search'!$L$8="All",TRIM(CC111)=TRIM('Smart Search'!$L$8))),IF(BA111="","",BA111+ROW()*0.0000000001),"")</f>
        <v/>
      </c>
      <c r="BI111" s="5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5">
        <f>IF(A111="","",N(INDEX(Projects[Mech Inst],110)))</f>
        <v/>
      </c>
      <c r="BK111" s="5">
        <f>IF(A111="","",N(INDEX(Projects[Elec Inst],110)))</f>
        <v/>
      </c>
      <c r="BL111" s="5">
        <f>IF(A111="","",N(INDEX(Projects[Project Management],110)))</f>
        <v/>
      </c>
      <c r="BM111" s="5">
        <f>IF(A111="","",N(INDEX(Projects[Systems Eng],110)))</f>
        <v/>
      </c>
      <c r="BN111" s="5">
        <f>IF(A111="","",N(INDEX(Projects[Mechanical Eng],110)))</f>
        <v/>
      </c>
      <c r="BO111" s="5">
        <f>IF(A111="","",N(INDEX(Projects[Structural Engineering],110)))</f>
        <v/>
      </c>
      <c r="BP111" s="5">
        <f>IF(A111="","",N(INDEX(Projects[Site Sup],110)))</f>
        <v/>
      </c>
      <c r="BQ111" s="5">
        <f>IF(A111="","",N(INDEX(Projects[Controls Commissioning],110)))</f>
        <v/>
      </c>
      <c r="BR111" s="5">
        <f>IF(A111="","",N(INDEX(Projects[Systems Commissioning],110)))</f>
        <v/>
      </c>
      <c r="BS111" s="5">
        <f>IF(A111="","",N(INDEX(Projects[Service Commissioning],110)))</f>
        <v/>
      </c>
      <c r="BT111" s="5">
        <f>IF(A111="","",N(INDEX(Projects[Controls Eng],110)))</f>
        <v/>
      </c>
      <c r="BU111" s="5">
        <f>IF(A111="","",N(INDEX(Projects[Controls Purchase],110)))</f>
        <v/>
      </c>
      <c r="BV111" s="5">
        <f>IF(A111="","",N(INDEX(Projects[Software Eng],110)))</f>
        <v/>
      </c>
      <c r="BW111" s="5">
        <f>IF(A111="","",N(INDEX(Projects[Misc],110)))</f>
        <v/>
      </c>
      <c r="BX111" s="5">
        <f>IF(A111="","",SUM(BJ111:BW111))</f>
        <v/>
      </c>
      <c r="BY111" s="5">
        <f>IF(A111="","",IFERROR(IF(ISNUMBER(U111),U111,VALUE(SUBSTITUTE(SUBSTITUTE(SUBSTITUTE(UPPER(TRIM(U111)),"M",""),",","")," ",""))),0))</f>
        <v/>
      </c>
      <c r="BZ111" s="5">
        <f>INDEX(Projects[Solution Type],110)&amp;""</f>
        <v/>
      </c>
      <c r="CA111" s="5">
        <f>INDEX(Projects[Client / Region],110)&amp;""</f>
        <v/>
      </c>
      <c r="CB111" s="5">
        <f>INDEX(Projects[Year],110)</f>
        <v/>
      </c>
      <c r="CC111" s="5">
        <f>INDEX(Projects[Won?],110)&amp;""</f>
        <v/>
      </c>
      <c r="CD111" s="5">
        <f>INDEX(Projects[Value (USD M)],110)</f>
        <v/>
      </c>
    </row>
    <row r="112" ht="15" customHeight="1" s="74">
      <c r="A112" s="66">
        <f>INDEX(Projects[Project ID *],111)&amp;""</f>
        <v/>
      </c>
      <c r="B112" s="66">
        <f>INDEX(Projects[Project Name *],111)&amp;""</f>
        <v/>
      </c>
      <c r="C112" s="66">
        <f>INDEX(Projects[MS Shuttles],111)</f>
        <v/>
      </c>
      <c r="D112" s="66">
        <f>INDEX(Projects[MS Tote Locations],111)</f>
        <v/>
      </c>
      <c r="E112" s="66">
        <f>INDEX(Projects[AS Robots],111)</f>
        <v/>
      </c>
      <c r="F112" s="66">
        <f>INDEX(Projects[AS Tote Locations],111)</f>
        <v/>
      </c>
      <c r="G112" s="66">
        <f>INDEX(Projects[PS Shuttles],111)</f>
        <v/>
      </c>
      <c r="H112" s="66">
        <f>INDEX(Projects[PS Pallet Locations],111)</f>
        <v/>
      </c>
      <c r="I112" s="66">
        <f>INDEX(Projects[SRM Cranes],111)</f>
        <v/>
      </c>
      <c r="J112" s="66">
        <f>INDEX(Projects[SRM Pallet Locations],111)</f>
        <v/>
      </c>
      <c r="K112" s="66">
        <f>INDEX(Projects[Case Conv (m)],111)</f>
        <v/>
      </c>
      <c r="L112" s="66">
        <f>INDEX(Projects[Pallet Conv (m)],111)</f>
        <v/>
      </c>
      <c r="M112" s="66">
        <f>INDEX(Projects[Mech Eng (wks)],111)</f>
        <v/>
      </c>
      <c r="N112" s="66">
        <f>INDEX(Projects[Controls Eng (wks)],111)</f>
        <v/>
      </c>
      <c r="O112" s="66">
        <f>INDEX(Projects[Systems Eng (wks)],111)</f>
        <v/>
      </c>
      <c r="P112" s="66">
        <f>INDEX(Projects[Software Eng (wks)],111)</f>
        <v/>
      </c>
      <c r="Q112" s="66">
        <f>INDEX(Projects[M&amp;E Installation (wks)],111)</f>
        <v/>
      </c>
      <c r="R112" s="66">
        <f>INDEX(Projects[Commissioning (wks)],111)</f>
        <v/>
      </c>
      <c r="S112" s="66">
        <f>INDEX(Projects[Total Timeline (wks)],111)</f>
        <v/>
      </c>
      <c r="T112" s="66">
        <f>INDEX(Projects[Currency],111)&amp;""</f>
        <v/>
      </c>
      <c r="U112" s="67">
        <f>INDEX(Projects[Value (M)],111)</f>
        <v/>
      </c>
      <c r="V112" s="66">
        <f>IF('Smart Search'!B13=1,IFERROR(1/'Smart Search'!H13,0),0)</f>
        <v/>
      </c>
      <c r="W112" s="66">
        <f>IF('Smart Search'!B13=1,IFERROR(1/'Smart Search'!H13,0),0)</f>
        <v/>
      </c>
      <c r="X112" s="66">
        <f>IF('Smart Search'!C13=1,IFERROR(1/'Smart Search'!H13,0),0)</f>
        <v/>
      </c>
      <c r="Y112" s="66">
        <f>IF('Smart Search'!C13=1,IFERROR(1/'Smart Search'!H13,0),0)</f>
        <v/>
      </c>
      <c r="Z112" s="66">
        <f>IF('Smart Search'!D13=1,IFERROR(1/'Smart Search'!H13,0),0)</f>
        <v/>
      </c>
      <c r="AA112" s="66">
        <f>IF('Smart Search'!D13=1,IFERROR(1/'Smart Search'!H13,0),0)</f>
        <v/>
      </c>
      <c r="AB112" s="66">
        <f>IF('Smart Search'!E13=1,IFERROR(1/'Smart Search'!H13,0),0)</f>
        <v/>
      </c>
      <c r="AC112" s="66">
        <f>IF('Smart Search'!E13=1,IFERROR(1/'Smart Search'!H13,0),0)</f>
        <v/>
      </c>
      <c r="AD112" s="66">
        <f>IF('Smart Search'!F13=1,IFERROR(1/'Smart Search'!H13,0),0)</f>
        <v/>
      </c>
      <c r="AE112" s="66">
        <f>IF('Smart Search'!F13=1,IFERROR(1/'Smart Search'!H13,0),0)</f>
        <v/>
      </c>
      <c r="AF112" s="66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66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66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66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66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66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66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66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66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66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66">
        <f>AF112*V112</f>
        <v/>
      </c>
      <c r="AQ112" s="66">
        <f>AG112*W112</f>
        <v/>
      </c>
      <c r="AR112" s="66">
        <f>AH112*X112</f>
        <v/>
      </c>
      <c r="AS112" s="66">
        <f>AI112*Y112</f>
        <v/>
      </c>
      <c r="AT112" s="66">
        <f>AJ112*Z112</f>
        <v/>
      </c>
      <c r="AU112" s="66">
        <f>AK112*AA112</f>
        <v/>
      </c>
      <c r="AV112" s="66">
        <f>AL112*AB112</f>
        <v/>
      </c>
      <c r="AW112" s="66">
        <f>AM112*AC112</f>
        <v/>
      </c>
      <c r="AX112" s="66">
        <f>AN112*AD112</f>
        <v/>
      </c>
      <c r="AY112" s="66">
        <f>AO112*AE112</f>
        <v/>
      </c>
      <c r="AZ112" s="66">
        <f>INDEX(Projects[Automation Equipment],111)&amp;""</f>
        <v/>
      </c>
      <c r="BA112" s="66">
        <f>IF(OR(A112="",'Smart Search'!H13=0),"",MAX(0,BE112*BF112*MAX(0,1-BG112)))</f>
        <v/>
      </c>
      <c r="BB112" s="66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66">
        <f>IF('Smart Search'!G13=1,IFERROR(1/'Smart Search'!H13,0),0)</f>
        <v/>
      </c>
      <c r="BD112" s="66">
        <f>BB112*BC112</f>
        <v/>
      </c>
      <c r="BE112" s="66">
        <f>AP112+AQ112+AR112+AS112+AT112+AU112+AV112+AW112+AX112+AY112+BD112</f>
        <v/>
      </c>
      <c r="BF112" s="5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5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5">
        <f>IF(AND(A112&lt;&gt;"",OR('Smart Search'!$L$5="",'Smart Search'!$L$5="All",TRIM(BZ112)=TRIM('Smart Search'!$L$5)),OR(TRIM('Smart Search'!$L$6)="",TRIM('Smart Search'!$L$6)="All",ISNUMBER(SEARCH(SUBSTITUTE(SUBSTITUTE(SUBSTITUTE(TRIM('Smart Search'!$L$6),"~","~~"),"*","~*"),"?","~?"),CA112))),OR('Smart Search'!$L$7="",AND(CB112&lt;&gt;0,CB112='Smart Search'!$L$7)),OR('Smart Search'!$L$8="",'Smart Search'!$L$8="All",TRIM(CC112)=TRIM('Smart Search'!$L$8))),IF(BA112="","",BA112+ROW()*0.0000000001),"")</f>
        <v/>
      </c>
      <c r="BI112" s="5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5">
        <f>IF(A112="","",N(INDEX(Projects[Mech Inst],111)))</f>
        <v/>
      </c>
      <c r="BK112" s="5">
        <f>IF(A112="","",N(INDEX(Projects[Elec Inst],111)))</f>
        <v/>
      </c>
      <c r="BL112" s="5">
        <f>IF(A112="","",N(INDEX(Projects[Project Management],111)))</f>
        <v/>
      </c>
      <c r="BM112" s="5">
        <f>IF(A112="","",N(INDEX(Projects[Systems Eng],111)))</f>
        <v/>
      </c>
      <c r="BN112" s="5">
        <f>IF(A112="","",N(INDEX(Projects[Mechanical Eng],111)))</f>
        <v/>
      </c>
      <c r="BO112" s="5">
        <f>IF(A112="","",N(INDEX(Projects[Structural Engineering],111)))</f>
        <v/>
      </c>
      <c r="BP112" s="5">
        <f>IF(A112="","",N(INDEX(Projects[Site Sup],111)))</f>
        <v/>
      </c>
      <c r="BQ112" s="5">
        <f>IF(A112="","",N(INDEX(Projects[Controls Commissioning],111)))</f>
        <v/>
      </c>
      <c r="BR112" s="5">
        <f>IF(A112="","",N(INDEX(Projects[Systems Commissioning],111)))</f>
        <v/>
      </c>
      <c r="BS112" s="5">
        <f>IF(A112="","",N(INDEX(Projects[Service Commissioning],111)))</f>
        <v/>
      </c>
      <c r="BT112" s="5">
        <f>IF(A112="","",N(INDEX(Projects[Controls Eng],111)))</f>
        <v/>
      </c>
      <c r="BU112" s="5">
        <f>IF(A112="","",N(INDEX(Projects[Controls Purchase],111)))</f>
        <v/>
      </c>
      <c r="BV112" s="5">
        <f>IF(A112="","",N(INDEX(Projects[Software Eng],111)))</f>
        <v/>
      </c>
      <c r="BW112" s="5">
        <f>IF(A112="","",N(INDEX(Projects[Misc],111)))</f>
        <v/>
      </c>
      <c r="BX112" s="5">
        <f>IF(A112="","",SUM(BJ112:BW112))</f>
        <v/>
      </c>
      <c r="BY112" s="5">
        <f>IF(A112="","",IFERROR(IF(ISNUMBER(U112),U112,VALUE(SUBSTITUTE(SUBSTITUTE(SUBSTITUTE(UPPER(TRIM(U112)),"M",""),",","")," ",""))),0))</f>
        <v/>
      </c>
      <c r="BZ112" s="5">
        <f>INDEX(Projects[Solution Type],111)&amp;""</f>
        <v/>
      </c>
      <c r="CA112" s="5">
        <f>INDEX(Projects[Client / Region],111)&amp;""</f>
        <v/>
      </c>
      <c r="CB112" s="5">
        <f>INDEX(Projects[Year],111)</f>
        <v/>
      </c>
      <c r="CC112" s="5">
        <f>INDEX(Projects[Won?],111)&amp;""</f>
        <v/>
      </c>
      <c r="CD112" s="5">
        <f>INDEX(Projects[Value (USD M)],111)</f>
        <v/>
      </c>
    </row>
    <row r="113" ht="15" customHeight="1" s="74">
      <c r="A113" s="66">
        <f>INDEX(Projects[Project ID *],112)&amp;""</f>
        <v/>
      </c>
      <c r="B113" s="66">
        <f>INDEX(Projects[Project Name *],112)&amp;""</f>
        <v/>
      </c>
      <c r="C113" s="66">
        <f>INDEX(Projects[MS Shuttles],112)</f>
        <v/>
      </c>
      <c r="D113" s="66">
        <f>INDEX(Projects[MS Tote Locations],112)</f>
        <v/>
      </c>
      <c r="E113" s="66">
        <f>INDEX(Projects[AS Robots],112)</f>
        <v/>
      </c>
      <c r="F113" s="66">
        <f>INDEX(Projects[AS Tote Locations],112)</f>
        <v/>
      </c>
      <c r="G113" s="66">
        <f>INDEX(Projects[PS Shuttles],112)</f>
        <v/>
      </c>
      <c r="H113" s="66">
        <f>INDEX(Projects[PS Pallet Locations],112)</f>
        <v/>
      </c>
      <c r="I113" s="66">
        <f>INDEX(Projects[SRM Cranes],112)</f>
        <v/>
      </c>
      <c r="J113" s="66">
        <f>INDEX(Projects[SRM Pallet Locations],112)</f>
        <v/>
      </c>
      <c r="K113" s="66">
        <f>INDEX(Projects[Case Conv (m)],112)</f>
        <v/>
      </c>
      <c r="L113" s="66">
        <f>INDEX(Projects[Pallet Conv (m)],112)</f>
        <v/>
      </c>
      <c r="M113" s="66">
        <f>INDEX(Projects[Mech Eng (wks)],112)</f>
        <v/>
      </c>
      <c r="N113" s="66">
        <f>INDEX(Projects[Controls Eng (wks)],112)</f>
        <v/>
      </c>
      <c r="O113" s="66">
        <f>INDEX(Projects[Systems Eng (wks)],112)</f>
        <v/>
      </c>
      <c r="P113" s="66">
        <f>INDEX(Projects[Software Eng (wks)],112)</f>
        <v/>
      </c>
      <c r="Q113" s="66">
        <f>INDEX(Projects[M&amp;E Installation (wks)],112)</f>
        <v/>
      </c>
      <c r="R113" s="66">
        <f>INDEX(Projects[Commissioning (wks)],112)</f>
        <v/>
      </c>
      <c r="S113" s="66">
        <f>INDEX(Projects[Total Timeline (wks)],112)</f>
        <v/>
      </c>
      <c r="T113" s="66">
        <f>INDEX(Projects[Currency],112)&amp;""</f>
        <v/>
      </c>
      <c r="U113" s="67">
        <f>INDEX(Projects[Value (M)],112)</f>
        <v/>
      </c>
      <c r="V113" s="66">
        <f>IF('Smart Search'!B13=1,IFERROR(1/'Smart Search'!H13,0),0)</f>
        <v/>
      </c>
      <c r="W113" s="66">
        <f>IF('Smart Search'!B13=1,IFERROR(1/'Smart Search'!H13,0),0)</f>
        <v/>
      </c>
      <c r="X113" s="66">
        <f>IF('Smart Search'!C13=1,IFERROR(1/'Smart Search'!H13,0),0)</f>
        <v/>
      </c>
      <c r="Y113" s="66">
        <f>IF('Smart Search'!C13=1,IFERROR(1/'Smart Search'!H13,0),0)</f>
        <v/>
      </c>
      <c r="Z113" s="66">
        <f>IF('Smart Search'!D13=1,IFERROR(1/'Smart Search'!H13,0),0)</f>
        <v/>
      </c>
      <c r="AA113" s="66">
        <f>IF('Smart Search'!D13=1,IFERROR(1/'Smart Search'!H13,0),0)</f>
        <v/>
      </c>
      <c r="AB113" s="66">
        <f>IF('Smart Search'!E13=1,IFERROR(1/'Smart Search'!H13,0),0)</f>
        <v/>
      </c>
      <c r="AC113" s="66">
        <f>IF('Smart Search'!E13=1,IFERROR(1/'Smart Search'!H13,0),0)</f>
        <v/>
      </c>
      <c r="AD113" s="66">
        <f>IF('Smart Search'!F13=1,IFERROR(1/'Smart Search'!H13,0),0)</f>
        <v/>
      </c>
      <c r="AE113" s="66">
        <f>IF('Smart Search'!F13=1,IFERROR(1/'Smart Search'!H13,0),0)</f>
        <v/>
      </c>
      <c r="AF113" s="66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66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66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66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66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66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66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66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66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66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66">
        <f>AF113*V113</f>
        <v/>
      </c>
      <c r="AQ113" s="66">
        <f>AG113*W113</f>
        <v/>
      </c>
      <c r="AR113" s="66">
        <f>AH113*X113</f>
        <v/>
      </c>
      <c r="AS113" s="66">
        <f>AI113*Y113</f>
        <v/>
      </c>
      <c r="AT113" s="66">
        <f>AJ113*Z113</f>
        <v/>
      </c>
      <c r="AU113" s="66">
        <f>AK113*AA113</f>
        <v/>
      </c>
      <c r="AV113" s="66">
        <f>AL113*AB113</f>
        <v/>
      </c>
      <c r="AW113" s="66">
        <f>AM113*AC113</f>
        <v/>
      </c>
      <c r="AX113" s="66">
        <f>AN113*AD113</f>
        <v/>
      </c>
      <c r="AY113" s="66">
        <f>AO113*AE113</f>
        <v/>
      </c>
      <c r="AZ113" s="66">
        <f>INDEX(Projects[Automation Equipment],112)&amp;""</f>
        <v/>
      </c>
      <c r="BA113" s="66">
        <f>IF(OR(A113="",'Smart Search'!H13=0),"",MAX(0,BE113*BF113*MAX(0,1-BG113)))</f>
        <v/>
      </c>
      <c r="BB113" s="66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66">
        <f>IF('Smart Search'!G13=1,IFERROR(1/'Smart Search'!H13,0),0)</f>
        <v/>
      </c>
      <c r="BD113" s="66">
        <f>BB113*BC113</f>
        <v/>
      </c>
      <c r="BE113" s="66">
        <f>AP113+AQ113+AR113+AS113+AT113+AU113+AV113+AW113+AX113+AY113+BD113</f>
        <v/>
      </c>
      <c r="BF113" s="5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5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5">
        <f>IF(AND(A113&lt;&gt;"",OR('Smart Search'!$L$5="",'Smart Search'!$L$5="All",TRIM(BZ113)=TRIM('Smart Search'!$L$5)),OR(TRIM('Smart Search'!$L$6)="",TRIM('Smart Search'!$L$6)="All",ISNUMBER(SEARCH(SUBSTITUTE(SUBSTITUTE(SUBSTITUTE(TRIM('Smart Search'!$L$6),"~","~~"),"*","~*"),"?","~?"),CA113))),OR('Smart Search'!$L$7="",AND(CB113&lt;&gt;0,CB113='Smart Search'!$L$7)),OR('Smart Search'!$L$8="",'Smart Search'!$L$8="All",TRIM(CC113)=TRIM('Smart Search'!$L$8))),IF(BA113="","",BA113+ROW()*0.0000000001),"")</f>
        <v/>
      </c>
      <c r="BI113" s="5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5">
        <f>IF(A113="","",N(INDEX(Projects[Mech Inst],112)))</f>
        <v/>
      </c>
      <c r="BK113" s="5">
        <f>IF(A113="","",N(INDEX(Projects[Elec Inst],112)))</f>
        <v/>
      </c>
      <c r="BL113" s="5">
        <f>IF(A113="","",N(INDEX(Projects[Project Management],112)))</f>
        <v/>
      </c>
      <c r="BM113" s="5">
        <f>IF(A113="","",N(INDEX(Projects[Systems Eng],112)))</f>
        <v/>
      </c>
      <c r="BN113" s="5">
        <f>IF(A113="","",N(INDEX(Projects[Mechanical Eng],112)))</f>
        <v/>
      </c>
      <c r="BO113" s="5">
        <f>IF(A113="","",N(INDEX(Projects[Structural Engineering],112)))</f>
        <v/>
      </c>
      <c r="BP113" s="5">
        <f>IF(A113="","",N(INDEX(Projects[Site Sup],112)))</f>
        <v/>
      </c>
      <c r="BQ113" s="5">
        <f>IF(A113="","",N(INDEX(Projects[Controls Commissioning],112)))</f>
        <v/>
      </c>
      <c r="BR113" s="5">
        <f>IF(A113="","",N(INDEX(Projects[Systems Commissioning],112)))</f>
        <v/>
      </c>
      <c r="BS113" s="5">
        <f>IF(A113="","",N(INDEX(Projects[Service Commissioning],112)))</f>
        <v/>
      </c>
      <c r="BT113" s="5">
        <f>IF(A113="","",N(INDEX(Projects[Controls Eng],112)))</f>
        <v/>
      </c>
      <c r="BU113" s="5">
        <f>IF(A113="","",N(INDEX(Projects[Controls Purchase],112)))</f>
        <v/>
      </c>
      <c r="BV113" s="5">
        <f>IF(A113="","",N(INDEX(Projects[Software Eng],112)))</f>
        <v/>
      </c>
      <c r="BW113" s="5">
        <f>IF(A113="","",N(INDEX(Projects[Misc],112)))</f>
        <v/>
      </c>
      <c r="BX113" s="5">
        <f>IF(A113="","",SUM(BJ113:BW113))</f>
        <v/>
      </c>
      <c r="BY113" s="5">
        <f>IF(A113="","",IFERROR(IF(ISNUMBER(U113),U113,VALUE(SUBSTITUTE(SUBSTITUTE(SUBSTITUTE(UPPER(TRIM(U113)),"M",""),",","")," ",""))),0))</f>
        <v/>
      </c>
      <c r="BZ113" s="5">
        <f>INDEX(Projects[Solution Type],112)&amp;""</f>
        <v/>
      </c>
      <c r="CA113" s="5">
        <f>INDEX(Projects[Client / Region],112)&amp;""</f>
        <v/>
      </c>
      <c r="CB113" s="5">
        <f>INDEX(Projects[Year],112)</f>
        <v/>
      </c>
      <c r="CC113" s="5">
        <f>INDEX(Projects[Won?],112)&amp;""</f>
        <v/>
      </c>
      <c r="CD113" s="5">
        <f>INDEX(Projects[Value (USD M)],112)</f>
        <v/>
      </c>
    </row>
    <row r="114" ht="15" customHeight="1" s="74">
      <c r="A114" s="66">
        <f>INDEX(Projects[Project ID *],113)&amp;""</f>
        <v/>
      </c>
      <c r="B114" s="66">
        <f>INDEX(Projects[Project Name *],113)&amp;""</f>
        <v/>
      </c>
      <c r="C114" s="66">
        <f>INDEX(Projects[MS Shuttles],113)</f>
        <v/>
      </c>
      <c r="D114" s="66">
        <f>INDEX(Projects[MS Tote Locations],113)</f>
        <v/>
      </c>
      <c r="E114" s="66">
        <f>INDEX(Projects[AS Robots],113)</f>
        <v/>
      </c>
      <c r="F114" s="66">
        <f>INDEX(Projects[AS Tote Locations],113)</f>
        <v/>
      </c>
      <c r="G114" s="66">
        <f>INDEX(Projects[PS Shuttles],113)</f>
        <v/>
      </c>
      <c r="H114" s="66">
        <f>INDEX(Projects[PS Pallet Locations],113)</f>
        <v/>
      </c>
      <c r="I114" s="66">
        <f>INDEX(Projects[SRM Cranes],113)</f>
        <v/>
      </c>
      <c r="J114" s="66">
        <f>INDEX(Projects[SRM Pallet Locations],113)</f>
        <v/>
      </c>
      <c r="K114" s="66">
        <f>INDEX(Projects[Case Conv (m)],113)</f>
        <v/>
      </c>
      <c r="L114" s="66">
        <f>INDEX(Projects[Pallet Conv (m)],113)</f>
        <v/>
      </c>
      <c r="M114" s="66">
        <f>INDEX(Projects[Mech Eng (wks)],113)</f>
        <v/>
      </c>
      <c r="N114" s="66">
        <f>INDEX(Projects[Controls Eng (wks)],113)</f>
        <v/>
      </c>
      <c r="O114" s="66">
        <f>INDEX(Projects[Systems Eng (wks)],113)</f>
        <v/>
      </c>
      <c r="P114" s="66">
        <f>INDEX(Projects[Software Eng (wks)],113)</f>
        <v/>
      </c>
      <c r="Q114" s="66">
        <f>INDEX(Projects[M&amp;E Installation (wks)],113)</f>
        <v/>
      </c>
      <c r="R114" s="66">
        <f>INDEX(Projects[Commissioning (wks)],113)</f>
        <v/>
      </c>
      <c r="S114" s="66">
        <f>INDEX(Projects[Total Timeline (wks)],113)</f>
        <v/>
      </c>
      <c r="T114" s="66">
        <f>INDEX(Projects[Currency],113)&amp;""</f>
        <v/>
      </c>
      <c r="U114" s="67">
        <f>INDEX(Projects[Value (M)],113)</f>
        <v/>
      </c>
      <c r="V114" s="66">
        <f>IF('Smart Search'!B13=1,IFERROR(1/'Smart Search'!H13,0),0)</f>
        <v/>
      </c>
      <c r="W114" s="66">
        <f>IF('Smart Search'!B13=1,IFERROR(1/'Smart Search'!H13,0),0)</f>
        <v/>
      </c>
      <c r="X114" s="66">
        <f>IF('Smart Search'!C13=1,IFERROR(1/'Smart Search'!H13,0),0)</f>
        <v/>
      </c>
      <c r="Y114" s="66">
        <f>IF('Smart Search'!C13=1,IFERROR(1/'Smart Search'!H13,0),0)</f>
        <v/>
      </c>
      <c r="Z114" s="66">
        <f>IF('Smart Search'!D13=1,IFERROR(1/'Smart Search'!H13,0),0)</f>
        <v/>
      </c>
      <c r="AA114" s="66">
        <f>IF('Smart Search'!D13=1,IFERROR(1/'Smart Search'!H13,0),0)</f>
        <v/>
      </c>
      <c r="AB114" s="66">
        <f>IF('Smart Search'!E13=1,IFERROR(1/'Smart Search'!H13,0),0)</f>
        <v/>
      </c>
      <c r="AC114" s="66">
        <f>IF('Smart Search'!E13=1,IFERROR(1/'Smart Search'!H13,0),0)</f>
        <v/>
      </c>
      <c r="AD114" s="66">
        <f>IF('Smart Search'!F13=1,IFERROR(1/'Smart Search'!H13,0),0)</f>
        <v/>
      </c>
      <c r="AE114" s="66">
        <f>IF('Smart Search'!F13=1,IFERROR(1/'Smart Search'!H13,0),0)</f>
        <v/>
      </c>
      <c r="AF114" s="66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66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66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66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66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66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66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66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66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66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66">
        <f>AF114*V114</f>
        <v/>
      </c>
      <c r="AQ114" s="66">
        <f>AG114*W114</f>
        <v/>
      </c>
      <c r="AR114" s="66">
        <f>AH114*X114</f>
        <v/>
      </c>
      <c r="AS114" s="66">
        <f>AI114*Y114</f>
        <v/>
      </c>
      <c r="AT114" s="66">
        <f>AJ114*Z114</f>
        <v/>
      </c>
      <c r="AU114" s="66">
        <f>AK114*AA114</f>
        <v/>
      </c>
      <c r="AV114" s="66">
        <f>AL114*AB114</f>
        <v/>
      </c>
      <c r="AW114" s="66">
        <f>AM114*AC114</f>
        <v/>
      </c>
      <c r="AX114" s="66">
        <f>AN114*AD114</f>
        <v/>
      </c>
      <c r="AY114" s="66">
        <f>AO114*AE114</f>
        <v/>
      </c>
      <c r="AZ114" s="66">
        <f>INDEX(Projects[Automation Equipment],113)&amp;""</f>
        <v/>
      </c>
      <c r="BA114" s="66">
        <f>IF(OR(A114="",'Smart Search'!H13=0),"",MAX(0,BE114*BF114*MAX(0,1-BG114)))</f>
        <v/>
      </c>
      <c r="BB114" s="66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66">
        <f>IF('Smart Search'!G13=1,IFERROR(1/'Smart Search'!H13,0),0)</f>
        <v/>
      </c>
      <c r="BD114" s="66">
        <f>BB114*BC114</f>
        <v/>
      </c>
      <c r="BE114" s="66">
        <f>AP114+AQ114+AR114+AS114+AT114+AU114+AV114+AW114+AX114+AY114+BD114</f>
        <v/>
      </c>
      <c r="BF114" s="5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5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5">
        <f>IF(AND(A114&lt;&gt;"",OR('Smart Search'!$L$5="",'Smart Search'!$L$5="All",TRIM(BZ114)=TRIM('Smart Search'!$L$5)),OR(TRIM('Smart Search'!$L$6)="",TRIM('Smart Search'!$L$6)="All",ISNUMBER(SEARCH(SUBSTITUTE(SUBSTITUTE(SUBSTITUTE(TRIM('Smart Search'!$L$6),"~","~~"),"*","~*"),"?","~?"),CA114))),OR('Smart Search'!$L$7="",AND(CB114&lt;&gt;0,CB114='Smart Search'!$L$7)),OR('Smart Search'!$L$8="",'Smart Search'!$L$8="All",TRIM(CC114)=TRIM('Smart Search'!$L$8))),IF(BA114="","",BA114+ROW()*0.0000000001),"")</f>
        <v/>
      </c>
      <c r="BI114" s="5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5">
        <f>IF(A114="","",N(INDEX(Projects[Mech Inst],113)))</f>
        <v/>
      </c>
      <c r="BK114" s="5">
        <f>IF(A114="","",N(INDEX(Projects[Elec Inst],113)))</f>
        <v/>
      </c>
      <c r="BL114" s="5">
        <f>IF(A114="","",N(INDEX(Projects[Project Management],113)))</f>
        <v/>
      </c>
      <c r="BM114" s="5">
        <f>IF(A114="","",N(INDEX(Projects[Systems Eng],113)))</f>
        <v/>
      </c>
      <c r="BN114" s="5">
        <f>IF(A114="","",N(INDEX(Projects[Mechanical Eng],113)))</f>
        <v/>
      </c>
      <c r="BO114" s="5">
        <f>IF(A114="","",N(INDEX(Projects[Structural Engineering],113)))</f>
        <v/>
      </c>
      <c r="BP114" s="5">
        <f>IF(A114="","",N(INDEX(Projects[Site Sup],113)))</f>
        <v/>
      </c>
      <c r="BQ114" s="5">
        <f>IF(A114="","",N(INDEX(Projects[Controls Commissioning],113)))</f>
        <v/>
      </c>
      <c r="BR114" s="5">
        <f>IF(A114="","",N(INDEX(Projects[Systems Commissioning],113)))</f>
        <v/>
      </c>
      <c r="BS114" s="5">
        <f>IF(A114="","",N(INDEX(Projects[Service Commissioning],113)))</f>
        <v/>
      </c>
      <c r="BT114" s="5">
        <f>IF(A114="","",N(INDEX(Projects[Controls Eng],113)))</f>
        <v/>
      </c>
      <c r="BU114" s="5">
        <f>IF(A114="","",N(INDEX(Projects[Controls Purchase],113)))</f>
        <v/>
      </c>
      <c r="BV114" s="5">
        <f>IF(A114="","",N(INDEX(Projects[Software Eng],113)))</f>
        <v/>
      </c>
      <c r="BW114" s="5">
        <f>IF(A114="","",N(INDEX(Projects[Misc],113)))</f>
        <v/>
      </c>
      <c r="BX114" s="5">
        <f>IF(A114="","",SUM(BJ114:BW114))</f>
        <v/>
      </c>
      <c r="BY114" s="5">
        <f>IF(A114="","",IFERROR(IF(ISNUMBER(U114),U114,VALUE(SUBSTITUTE(SUBSTITUTE(SUBSTITUTE(UPPER(TRIM(U114)),"M",""),",","")," ",""))),0))</f>
        <v/>
      </c>
      <c r="BZ114" s="5">
        <f>INDEX(Projects[Solution Type],113)&amp;""</f>
        <v/>
      </c>
      <c r="CA114" s="5">
        <f>INDEX(Projects[Client / Region],113)&amp;""</f>
        <v/>
      </c>
      <c r="CB114" s="5">
        <f>INDEX(Projects[Year],113)</f>
        <v/>
      </c>
      <c r="CC114" s="5">
        <f>INDEX(Projects[Won?],113)&amp;""</f>
        <v/>
      </c>
      <c r="CD114" s="5">
        <f>INDEX(Projects[Value (USD M)],113)</f>
        <v/>
      </c>
    </row>
    <row r="115" ht="15" customHeight="1" s="74">
      <c r="A115" s="66">
        <f>INDEX(Projects[Project ID *],114)&amp;""</f>
        <v/>
      </c>
      <c r="B115" s="66">
        <f>INDEX(Projects[Project Name *],114)&amp;""</f>
        <v/>
      </c>
      <c r="C115" s="66">
        <f>INDEX(Projects[MS Shuttles],114)</f>
        <v/>
      </c>
      <c r="D115" s="66">
        <f>INDEX(Projects[MS Tote Locations],114)</f>
        <v/>
      </c>
      <c r="E115" s="66">
        <f>INDEX(Projects[AS Robots],114)</f>
        <v/>
      </c>
      <c r="F115" s="66">
        <f>INDEX(Projects[AS Tote Locations],114)</f>
        <v/>
      </c>
      <c r="G115" s="66">
        <f>INDEX(Projects[PS Shuttles],114)</f>
        <v/>
      </c>
      <c r="H115" s="66">
        <f>INDEX(Projects[PS Pallet Locations],114)</f>
        <v/>
      </c>
      <c r="I115" s="66">
        <f>INDEX(Projects[SRM Cranes],114)</f>
        <v/>
      </c>
      <c r="J115" s="66">
        <f>INDEX(Projects[SRM Pallet Locations],114)</f>
        <v/>
      </c>
      <c r="K115" s="66">
        <f>INDEX(Projects[Case Conv (m)],114)</f>
        <v/>
      </c>
      <c r="L115" s="66">
        <f>INDEX(Projects[Pallet Conv (m)],114)</f>
        <v/>
      </c>
      <c r="M115" s="66">
        <f>INDEX(Projects[Mech Eng (wks)],114)</f>
        <v/>
      </c>
      <c r="N115" s="66">
        <f>INDEX(Projects[Controls Eng (wks)],114)</f>
        <v/>
      </c>
      <c r="O115" s="66">
        <f>INDEX(Projects[Systems Eng (wks)],114)</f>
        <v/>
      </c>
      <c r="P115" s="66">
        <f>INDEX(Projects[Software Eng (wks)],114)</f>
        <v/>
      </c>
      <c r="Q115" s="66">
        <f>INDEX(Projects[M&amp;E Installation (wks)],114)</f>
        <v/>
      </c>
      <c r="R115" s="66">
        <f>INDEX(Projects[Commissioning (wks)],114)</f>
        <v/>
      </c>
      <c r="S115" s="66">
        <f>INDEX(Projects[Total Timeline (wks)],114)</f>
        <v/>
      </c>
      <c r="T115" s="66">
        <f>INDEX(Projects[Currency],114)&amp;""</f>
        <v/>
      </c>
      <c r="U115" s="67">
        <f>INDEX(Projects[Value (M)],114)</f>
        <v/>
      </c>
      <c r="V115" s="66">
        <f>IF('Smart Search'!B13=1,IFERROR(1/'Smart Search'!H13,0),0)</f>
        <v/>
      </c>
      <c r="W115" s="66">
        <f>IF('Smart Search'!B13=1,IFERROR(1/'Smart Search'!H13,0),0)</f>
        <v/>
      </c>
      <c r="X115" s="66">
        <f>IF('Smart Search'!C13=1,IFERROR(1/'Smart Search'!H13,0),0)</f>
        <v/>
      </c>
      <c r="Y115" s="66">
        <f>IF('Smart Search'!C13=1,IFERROR(1/'Smart Search'!H13,0),0)</f>
        <v/>
      </c>
      <c r="Z115" s="66">
        <f>IF('Smart Search'!D13=1,IFERROR(1/'Smart Search'!H13,0),0)</f>
        <v/>
      </c>
      <c r="AA115" s="66">
        <f>IF('Smart Search'!D13=1,IFERROR(1/'Smart Search'!H13,0),0)</f>
        <v/>
      </c>
      <c r="AB115" s="66">
        <f>IF('Smart Search'!E13=1,IFERROR(1/'Smart Search'!H13,0),0)</f>
        <v/>
      </c>
      <c r="AC115" s="66">
        <f>IF('Smart Search'!E13=1,IFERROR(1/'Smart Search'!H13,0),0)</f>
        <v/>
      </c>
      <c r="AD115" s="66">
        <f>IF('Smart Search'!F13=1,IFERROR(1/'Smart Search'!H13,0),0)</f>
        <v/>
      </c>
      <c r="AE115" s="66">
        <f>IF('Smart Search'!F13=1,IFERROR(1/'Smart Search'!H13,0),0)</f>
        <v/>
      </c>
      <c r="AF115" s="66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66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66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66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66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66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66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66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66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66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66">
        <f>AF115*V115</f>
        <v/>
      </c>
      <c r="AQ115" s="66">
        <f>AG115*W115</f>
        <v/>
      </c>
      <c r="AR115" s="66">
        <f>AH115*X115</f>
        <v/>
      </c>
      <c r="AS115" s="66">
        <f>AI115*Y115</f>
        <v/>
      </c>
      <c r="AT115" s="66">
        <f>AJ115*Z115</f>
        <v/>
      </c>
      <c r="AU115" s="66">
        <f>AK115*AA115</f>
        <v/>
      </c>
      <c r="AV115" s="66">
        <f>AL115*AB115</f>
        <v/>
      </c>
      <c r="AW115" s="66">
        <f>AM115*AC115</f>
        <v/>
      </c>
      <c r="AX115" s="66">
        <f>AN115*AD115</f>
        <v/>
      </c>
      <c r="AY115" s="66">
        <f>AO115*AE115</f>
        <v/>
      </c>
      <c r="AZ115" s="66">
        <f>INDEX(Projects[Automation Equipment],114)&amp;""</f>
        <v/>
      </c>
      <c r="BA115" s="66">
        <f>IF(OR(A115="",'Smart Search'!H13=0),"",MAX(0,BE115*BF115*MAX(0,1-BG115)))</f>
        <v/>
      </c>
      <c r="BB115" s="66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66">
        <f>IF('Smart Search'!G13=1,IFERROR(1/'Smart Search'!H13,0),0)</f>
        <v/>
      </c>
      <c r="BD115" s="66">
        <f>BB115*BC115</f>
        <v/>
      </c>
      <c r="BE115" s="66">
        <f>AP115+AQ115+AR115+AS115+AT115+AU115+AV115+AW115+AX115+AY115+BD115</f>
        <v/>
      </c>
      <c r="BF115" s="5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5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5">
        <f>IF(AND(A115&lt;&gt;"",OR('Smart Search'!$L$5="",'Smart Search'!$L$5="All",TRIM(BZ115)=TRIM('Smart Search'!$L$5)),OR(TRIM('Smart Search'!$L$6)="",TRIM('Smart Search'!$L$6)="All",ISNUMBER(SEARCH(SUBSTITUTE(SUBSTITUTE(SUBSTITUTE(TRIM('Smart Search'!$L$6),"~","~~"),"*","~*"),"?","~?"),CA115))),OR('Smart Search'!$L$7="",AND(CB115&lt;&gt;0,CB115='Smart Search'!$L$7)),OR('Smart Search'!$L$8="",'Smart Search'!$L$8="All",TRIM(CC115)=TRIM('Smart Search'!$L$8))),IF(BA115="","",BA115+ROW()*0.0000000001),"")</f>
        <v/>
      </c>
      <c r="BI115" s="5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5">
        <f>IF(A115="","",N(INDEX(Projects[Mech Inst],114)))</f>
        <v/>
      </c>
      <c r="BK115" s="5">
        <f>IF(A115="","",N(INDEX(Projects[Elec Inst],114)))</f>
        <v/>
      </c>
      <c r="BL115" s="5">
        <f>IF(A115="","",N(INDEX(Projects[Project Management],114)))</f>
        <v/>
      </c>
      <c r="BM115" s="5">
        <f>IF(A115="","",N(INDEX(Projects[Systems Eng],114)))</f>
        <v/>
      </c>
      <c r="BN115" s="5">
        <f>IF(A115="","",N(INDEX(Projects[Mechanical Eng],114)))</f>
        <v/>
      </c>
      <c r="BO115" s="5">
        <f>IF(A115="","",N(INDEX(Projects[Structural Engineering],114)))</f>
        <v/>
      </c>
      <c r="BP115" s="5">
        <f>IF(A115="","",N(INDEX(Projects[Site Sup],114)))</f>
        <v/>
      </c>
      <c r="BQ115" s="5">
        <f>IF(A115="","",N(INDEX(Projects[Controls Commissioning],114)))</f>
        <v/>
      </c>
      <c r="BR115" s="5">
        <f>IF(A115="","",N(INDEX(Projects[Systems Commissioning],114)))</f>
        <v/>
      </c>
      <c r="BS115" s="5">
        <f>IF(A115="","",N(INDEX(Projects[Service Commissioning],114)))</f>
        <v/>
      </c>
      <c r="BT115" s="5">
        <f>IF(A115="","",N(INDEX(Projects[Controls Eng],114)))</f>
        <v/>
      </c>
      <c r="BU115" s="5">
        <f>IF(A115="","",N(INDEX(Projects[Controls Purchase],114)))</f>
        <v/>
      </c>
      <c r="BV115" s="5">
        <f>IF(A115="","",N(INDEX(Projects[Software Eng],114)))</f>
        <v/>
      </c>
      <c r="BW115" s="5">
        <f>IF(A115="","",N(INDEX(Projects[Misc],114)))</f>
        <v/>
      </c>
      <c r="BX115" s="5">
        <f>IF(A115="","",SUM(BJ115:BW115))</f>
        <v/>
      </c>
      <c r="BY115" s="5">
        <f>IF(A115="","",IFERROR(IF(ISNUMBER(U115),U115,VALUE(SUBSTITUTE(SUBSTITUTE(SUBSTITUTE(UPPER(TRIM(U115)),"M",""),",","")," ",""))),0))</f>
        <v/>
      </c>
      <c r="BZ115" s="5">
        <f>INDEX(Projects[Solution Type],114)&amp;""</f>
        <v/>
      </c>
      <c r="CA115" s="5">
        <f>INDEX(Projects[Client / Region],114)&amp;""</f>
        <v/>
      </c>
      <c r="CB115" s="5">
        <f>INDEX(Projects[Year],114)</f>
        <v/>
      </c>
      <c r="CC115" s="5">
        <f>INDEX(Projects[Won?],114)&amp;""</f>
        <v/>
      </c>
      <c r="CD115" s="5">
        <f>INDEX(Projects[Value (USD M)],114)</f>
        <v/>
      </c>
    </row>
    <row r="116" ht="15" customHeight="1" s="74">
      <c r="A116" s="66">
        <f>INDEX(Projects[Project ID *],115)&amp;""</f>
        <v/>
      </c>
      <c r="B116" s="66">
        <f>INDEX(Projects[Project Name *],115)&amp;""</f>
        <v/>
      </c>
      <c r="C116" s="66">
        <f>INDEX(Projects[MS Shuttles],115)</f>
        <v/>
      </c>
      <c r="D116" s="66">
        <f>INDEX(Projects[MS Tote Locations],115)</f>
        <v/>
      </c>
      <c r="E116" s="66">
        <f>INDEX(Projects[AS Robots],115)</f>
        <v/>
      </c>
      <c r="F116" s="66">
        <f>INDEX(Projects[AS Tote Locations],115)</f>
        <v/>
      </c>
      <c r="G116" s="66">
        <f>INDEX(Projects[PS Shuttles],115)</f>
        <v/>
      </c>
      <c r="H116" s="66">
        <f>INDEX(Projects[PS Pallet Locations],115)</f>
        <v/>
      </c>
      <c r="I116" s="66">
        <f>INDEX(Projects[SRM Cranes],115)</f>
        <v/>
      </c>
      <c r="J116" s="66">
        <f>INDEX(Projects[SRM Pallet Locations],115)</f>
        <v/>
      </c>
      <c r="K116" s="66">
        <f>INDEX(Projects[Case Conv (m)],115)</f>
        <v/>
      </c>
      <c r="L116" s="66">
        <f>INDEX(Projects[Pallet Conv (m)],115)</f>
        <v/>
      </c>
      <c r="M116" s="66">
        <f>INDEX(Projects[Mech Eng (wks)],115)</f>
        <v/>
      </c>
      <c r="N116" s="66">
        <f>INDEX(Projects[Controls Eng (wks)],115)</f>
        <v/>
      </c>
      <c r="O116" s="66">
        <f>INDEX(Projects[Systems Eng (wks)],115)</f>
        <v/>
      </c>
      <c r="P116" s="66">
        <f>INDEX(Projects[Software Eng (wks)],115)</f>
        <v/>
      </c>
      <c r="Q116" s="66">
        <f>INDEX(Projects[M&amp;E Installation (wks)],115)</f>
        <v/>
      </c>
      <c r="R116" s="66">
        <f>INDEX(Projects[Commissioning (wks)],115)</f>
        <v/>
      </c>
      <c r="S116" s="66">
        <f>INDEX(Projects[Total Timeline (wks)],115)</f>
        <v/>
      </c>
      <c r="T116" s="66">
        <f>INDEX(Projects[Currency],115)&amp;""</f>
        <v/>
      </c>
      <c r="U116" s="67">
        <f>INDEX(Projects[Value (M)],115)</f>
        <v/>
      </c>
      <c r="V116" s="66">
        <f>IF('Smart Search'!B13=1,IFERROR(1/'Smart Search'!H13,0),0)</f>
        <v/>
      </c>
      <c r="W116" s="66">
        <f>IF('Smart Search'!B13=1,IFERROR(1/'Smart Search'!H13,0),0)</f>
        <v/>
      </c>
      <c r="X116" s="66">
        <f>IF('Smart Search'!C13=1,IFERROR(1/'Smart Search'!H13,0),0)</f>
        <v/>
      </c>
      <c r="Y116" s="66">
        <f>IF('Smart Search'!C13=1,IFERROR(1/'Smart Search'!H13,0),0)</f>
        <v/>
      </c>
      <c r="Z116" s="66">
        <f>IF('Smart Search'!D13=1,IFERROR(1/'Smart Search'!H13,0),0)</f>
        <v/>
      </c>
      <c r="AA116" s="66">
        <f>IF('Smart Search'!D13=1,IFERROR(1/'Smart Search'!H13,0),0)</f>
        <v/>
      </c>
      <c r="AB116" s="66">
        <f>IF('Smart Search'!E13=1,IFERROR(1/'Smart Search'!H13,0),0)</f>
        <v/>
      </c>
      <c r="AC116" s="66">
        <f>IF('Smart Search'!E13=1,IFERROR(1/'Smart Search'!H13,0),0)</f>
        <v/>
      </c>
      <c r="AD116" s="66">
        <f>IF('Smart Search'!F13=1,IFERROR(1/'Smart Search'!H13,0),0)</f>
        <v/>
      </c>
      <c r="AE116" s="66">
        <f>IF('Smart Search'!F13=1,IFERROR(1/'Smart Search'!H13,0),0)</f>
        <v/>
      </c>
      <c r="AF116" s="66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66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66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66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66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66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66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66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66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66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66">
        <f>AF116*V116</f>
        <v/>
      </c>
      <c r="AQ116" s="66">
        <f>AG116*W116</f>
        <v/>
      </c>
      <c r="AR116" s="66">
        <f>AH116*X116</f>
        <v/>
      </c>
      <c r="AS116" s="66">
        <f>AI116*Y116</f>
        <v/>
      </c>
      <c r="AT116" s="66">
        <f>AJ116*Z116</f>
        <v/>
      </c>
      <c r="AU116" s="66">
        <f>AK116*AA116</f>
        <v/>
      </c>
      <c r="AV116" s="66">
        <f>AL116*AB116</f>
        <v/>
      </c>
      <c r="AW116" s="66">
        <f>AM116*AC116</f>
        <v/>
      </c>
      <c r="AX116" s="66">
        <f>AN116*AD116</f>
        <v/>
      </c>
      <c r="AY116" s="66">
        <f>AO116*AE116</f>
        <v/>
      </c>
      <c r="AZ116" s="66">
        <f>INDEX(Projects[Automation Equipment],115)&amp;""</f>
        <v/>
      </c>
      <c r="BA116" s="66">
        <f>IF(OR(A116="",'Smart Search'!H13=0),"",MAX(0,BE116*BF116*MAX(0,1-BG116)))</f>
        <v/>
      </c>
      <c r="BB116" s="66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66">
        <f>IF('Smart Search'!G13=1,IFERROR(1/'Smart Search'!H13,0),0)</f>
        <v/>
      </c>
      <c r="BD116" s="66">
        <f>BB116*BC116</f>
        <v/>
      </c>
      <c r="BE116" s="66">
        <f>AP116+AQ116+AR116+AS116+AT116+AU116+AV116+AW116+AX116+AY116+BD116</f>
        <v/>
      </c>
      <c r="BF116" s="5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5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5">
        <f>IF(AND(A116&lt;&gt;"",OR('Smart Search'!$L$5="",'Smart Search'!$L$5="All",TRIM(BZ116)=TRIM('Smart Search'!$L$5)),OR(TRIM('Smart Search'!$L$6)="",TRIM('Smart Search'!$L$6)="All",ISNUMBER(SEARCH(SUBSTITUTE(SUBSTITUTE(SUBSTITUTE(TRIM('Smart Search'!$L$6),"~","~~"),"*","~*"),"?","~?"),CA116))),OR('Smart Search'!$L$7="",AND(CB116&lt;&gt;0,CB116='Smart Search'!$L$7)),OR('Smart Search'!$L$8="",'Smart Search'!$L$8="All",TRIM(CC116)=TRIM('Smart Search'!$L$8))),IF(BA116="","",BA116+ROW()*0.0000000001),"")</f>
        <v/>
      </c>
      <c r="BI116" s="5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5">
        <f>IF(A116="","",N(INDEX(Projects[Mech Inst],115)))</f>
        <v/>
      </c>
      <c r="BK116" s="5">
        <f>IF(A116="","",N(INDEX(Projects[Elec Inst],115)))</f>
        <v/>
      </c>
      <c r="BL116" s="5">
        <f>IF(A116="","",N(INDEX(Projects[Project Management],115)))</f>
        <v/>
      </c>
      <c r="BM116" s="5">
        <f>IF(A116="","",N(INDEX(Projects[Systems Eng],115)))</f>
        <v/>
      </c>
      <c r="BN116" s="5">
        <f>IF(A116="","",N(INDEX(Projects[Mechanical Eng],115)))</f>
        <v/>
      </c>
      <c r="BO116" s="5">
        <f>IF(A116="","",N(INDEX(Projects[Structural Engineering],115)))</f>
        <v/>
      </c>
      <c r="BP116" s="5">
        <f>IF(A116="","",N(INDEX(Projects[Site Sup],115)))</f>
        <v/>
      </c>
      <c r="BQ116" s="5">
        <f>IF(A116="","",N(INDEX(Projects[Controls Commissioning],115)))</f>
        <v/>
      </c>
      <c r="BR116" s="5">
        <f>IF(A116="","",N(INDEX(Projects[Systems Commissioning],115)))</f>
        <v/>
      </c>
      <c r="BS116" s="5">
        <f>IF(A116="","",N(INDEX(Projects[Service Commissioning],115)))</f>
        <v/>
      </c>
      <c r="BT116" s="5">
        <f>IF(A116="","",N(INDEX(Projects[Controls Eng],115)))</f>
        <v/>
      </c>
      <c r="BU116" s="5">
        <f>IF(A116="","",N(INDEX(Projects[Controls Purchase],115)))</f>
        <v/>
      </c>
      <c r="BV116" s="5">
        <f>IF(A116="","",N(INDEX(Projects[Software Eng],115)))</f>
        <v/>
      </c>
      <c r="BW116" s="5">
        <f>IF(A116="","",N(INDEX(Projects[Misc],115)))</f>
        <v/>
      </c>
      <c r="BX116" s="5">
        <f>IF(A116="","",SUM(BJ116:BW116))</f>
        <v/>
      </c>
      <c r="BY116" s="5">
        <f>IF(A116="","",IFERROR(IF(ISNUMBER(U116),U116,VALUE(SUBSTITUTE(SUBSTITUTE(SUBSTITUTE(UPPER(TRIM(U116)),"M",""),",","")," ",""))),0))</f>
        <v/>
      </c>
      <c r="BZ116" s="5">
        <f>INDEX(Projects[Solution Type],115)&amp;""</f>
        <v/>
      </c>
      <c r="CA116" s="5">
        <f>INDEX(Projects[Client / Region],115)&amp;""</f>
        <v/>
      </c>
      <c r="CB116" s="5">
        <f>INDEX(Projects[Year],115)</f>
        <v/>
      </c>
      <c r="CC116" s="5">
        <f>INDEX(Projects[Won?],115)&amp;""</f>
        <v/>
      </c>
      <c r="CD116" s="5">
        <f>INDEX(Projects[Value (USD M)],115)</f>
        <v/>
      </c>
    </row>
    <row r="117" ht="15" customHeight="1" s="74">
      <c r="A117" s="66">
        <f>INDEX(Projects[Project ID *],116)&amp;""</f>
        <v/>
      </c>
      <c r="B117" s="66">
        <f>INDEX(Projects[Project Name *],116)&amp;""</f>
        <v/>
      </c>
      <c r="C117" s="66">
        <f>INDEX(Projects[MS Shuttles],116)</f>
        <v/>
      </c>
      <c r="D117" s="66">
        <f>INDEX(Projects[MS Tote Locations],116)</f>
        <v/>
      </c>
      <c r="E117" s="66">
        <f>INDEX(Projects[AS Robots],116)</f>
        <v/>
      </c>
      <c r="F117" s="66">
        <f>INDEX(Projects[AS Tote Locations],116)</f>
        <v/>
      </c>
      <c r="G117" s="66">
        <f>INDEX(Projects[PS Shuttles],116)</f>
        <v/>
      </c>
      <c r="H117" s="66">
        <f>INDEX(Projects[PS Pallet Locations],116)</f>
        <v/>
      </c>
      <c r="I117" s="66">
        <f>INDEX(Projects[SRM Cranes],116)</f>
        <v/>
      </c>
      <c r="J117" s="66">
        <f>INDEX(Projects[SRM Pallet Locations],116)</f>
        <v/>
      </c>
      <c r="K117" s="66">
        <f>INDEX(Projects[Case Conv (m)],116)</f>
        <v/>
      </c>
      <c r="L117" s="66">
        <f>INDEX(Projects[Pallet Conv (m)],116)</f>
        <v/>
      </c>
      <c r="M117" s="66">
        <f>INDEX(Projects[Mech Eng (wks)],116)</f>
        <v/>
      </c>
      <c r="N117" s="66">
        <f>INDEX(Projects[Controls Eng (wks)],116)</f>
        <v/>
      </c>
      <c r="O117" s="66">
        <f>INDEX(Projects[Systems Eng (wks)],116)</f>
        <v/>
      </c>
      <c r="P117" s="66">
        <f>INDEX(Projects[Software Eng (wks)],116)</f>
        <v/>
      </c>
      <c r="Q117" s="66">
        <f>INDEX(Projects[M&amp;E Installation (wks)],116)</f>
        <v/>
      </c>
      <c r="R117" s="66">
        <f>INDEX(Projects[Commissioning (wks)],116)</f>
        <v/>
      </c>
      <c r="S117" s="66">
        <f>INDEX(Projects[Total Timeline (wks)],116)</f>
        <v/>
      </c>
      <c r="T117" s="66">
        <f>INDEX(Projects[Currency],116)&amp;""</f>
        <v/>
      </c>
      <c r="U117" s="67">
        <f>INDEX(Projects[Value (M)],116)</f>
        <v/>
      </c>
      <c r="V117" s="66">
        <f>IF('Smart Search'!B13=1,IFERROR(1/'Smart Search'!H13,0),0)</f>
        <v/>
      </c>
      <c r="W117" s="66">
        <f>IF('Smart Search'!B13=1,IFERROR(1/'Smart Search'!H13,0),0)</f>
        <v/>
      </c>
      <c r="X117" s="66">
        <f>IF('Smart Search'!C13=1,IFERROR(1/'Smart Search'!H13,0),0)</f>
        <v/>
      </c>
      <c r="Y117" s="66">
        <f>IF('Smart Search'!C13=1,IFERROR(1/'Smart Search'!H13,0),0)</f>
        <v/>
      </c>
      <c r="Z117" s="66">
        <f>IF('Smart Search'!D13=1,IFERROR(1/'Smart Search'!H13,0),0)</f>
        <v/>
      </c>
      <c r="AA117" s="66">
        <f>IF('Smart Search'!D13=1,IFERROR(1/'Smart Search'!H13,0),0)</f>
        <v/>
      </c>
      <c r="AB117" s="66">
        <f>IF('Smart Search'!E13=1,IFERROR(1/'Smart Search'!H13,0),0)</f>
        <v/>
      </c>
      <c r="AC117" s="66">
        <f>IF('Smart Search'!E13=1,IFERROR(1/'Smart Search'!H13,0),0)</f>
        <v/>
      </c>
      <c r="AD117" s="66">
        <f>IF('Smart Search'!F13=1,IFERROR(1/'Smart Search'!H13,0),0)</f>
        <v/>
      </c>
      <c r="AE117" s="66">
        <f>IF('Smart Search'!F13=1,IFERROR(1/'Smart Search'!H13,0),0)</f>
        <v/>
      </c>
      <c r="AF117" s="66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66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66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66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66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66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66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66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66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66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66">
        <f>AF117*V117</f>
        <v/>
      </c>
      <c r="AQ117" s="66">
        <f>AG117*W117</f>
        <v/>
      </c>
      <c r="AR117" s="66">
        <f>AH117*X117</f>
        <v/>
      </c>
      <c r="AS117" s="66">
        <f>AI117*Y117</f>
        <v/>
      </c>
      <c r="AT117" s="66">
        <f>AJ117*Z117</f>
        <v/>
      </c>
      <c r="AU117" s="66">
        <f>AK117*AA117</f>
        <v/>
      </c>
      <c r="AV117" s="66">
        <f>AL117*AB117</f>
        <v/>
      </c>
      <c r="AW117" s="66">
        <f>AM117*AC117</f>
        <v/>
      </c>
      <c r="AX117" s="66">
        <f>AN117*AD117</f>
        <v/>
      </c>
      <c r="AY117" s="66">
        <f>AO117*AE117</f>
        <v/>
      </c>
      <c r="AZ117" s="66">
        <f>INDEX(Projects[Automation Equipment],116)&amp;""</f>
        <v/>
      </c>
      <c r="BA117" s="66">
        <f>IF(OR(A117="",'Smart Search'!H13=0),"",MAX(0,BE117*BF117*MAX(0,1-BG117)))</f>
        <v/>
      </c>
      <c r="BB117" s="66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66">
        <f>IF('Smart Search'!G13=1,IFERROR(1/'Smart Search'!H13,0),0)</f>
        <v/>
      </c>
      <c r="BD117" s="66">
        <f>BB117*BC117</f>
        <v/>
      </c>
      <c r="BE117" s="66">
        <f>AP117+AQ117+AR117+AS117+AT117+AU117+AV117+AW117+AX117+AY117+BD117</f>
        <v/>
      </c>
      <c r="BF117" s="5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5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5">
        <f>IF(AND(A117&lt;&gt;"",OR('Smart Search'!$L$5="",'Smart Search'!$L$5="All",TRIM(BZ117)=TRIM('Smart Search'!$L$5)),OR(TRIM('Smart Search'!$L$6)="",TRIM('Smart Search'!$L$6)="All",ISNUMBER(SEARCH(SUBSTITUTE(SUBSTITUTE(SUBSTITUTE(TRIM('Smart Search'!$L$6),"~","~~"),"*","~*"),"?","~?"),CA117))),OR('Smart Search'!$L$7="",AND(CB117&lt;&gt;0,CB117='Smart Search'!$L$7)),OR('Smart Search'!$L$8="",'Smart Search'!$L$8="All",TRIM(CC117)=TRIM('Smart Search'!$L$8))),IF(BA117="","",BA117+ROW()*0.0000000001),"")</f>
        <v/>
      </c>
      <c r="BI117" s="5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5">
        <f>IF(A117="","",N(INDEX(Projects[Mech Inst],116)))</f>
        <v/>
      </c>
      <c r="BK117" s="5">
        <f>IF(A117="","",N(INDEX(Projects[Elec Inst],116)))</f>
        <v/>
      </c>
      <c r="BL117" s="5">
        <f>IF(A117="","",N(INDEX(Projects[Project Management],116)))</f>
        <v/>
      </c>
      <c r="BM117" s="5">
        <f>IF(A117="","",N(INDEX(Projects[Systems Eng],116)))</f>
        <v/>
      </c>
      <c r="BN117" s="5">
        <f>IF(A117="","",N(INDEX(Projects[Mechanical Eng],116)))</f>
        <v/>
      </c>
      <c r="BO117" s="5">
        <f>IF(A117="","",N(INDEX(Projects[Structural Engineering],116)))</f>
        <v/>
      </c>
      <c r="BP117" s="5">
        <f>IF(A117="","",N(INDEX(Projects[Site Sup],116)))</f>
        <v/>
      </c>
      <c r="BQ117" s="5">
        <f>IF(A117="","",N(INDEX(Projects[Controls Commissioning],116)))</f>
        <v/>
      </c>
      <c r="BR117" s="5">
        <f>IF(A117="","",N(INDEX(Projects[Systems Commissioning],116)))</f>
        <v/>
      </c>
      <c r="BS117" s="5">
        <f>IF(A117="","",N(INDEX(Projects[Service Commissioning],116)))</f>
        <v/>
      </c>
      <c r="BT117" s="5">
        <f>IF(A117="","",N(INDEX(Projects[Controls Eng],116)))</f>
        <v/>
      </c>
      <c r="BU117" s="5">
        <f>IF(A117="","",N(INDEX(Projects[Controls Purchase],116)))</f>
        <v/>
      </c>
      <c r="BV117" s="5">
        <f>IF(A117="","",N(INDEX(Projects[Software Eng],116)))</f>
        <v/>
      </c>
      <c r="BW117" s="5">
        <f>IF(A117="","",N(INDEX(Projects[Misc],116)))</f>
        <v/>
      </c>
      <c r="BX117" s="5">
        <f>IF(A117="","",SUM(BJ117:BW117))</f>
        <v/>
      </c>
      <c r="BY117" s="5">
        <f>IF(A117="","",IFERROR(IF(ISNUMBER(U117),U117,VALUE(SUBSTITUTE(SUBSTITUTE(SUBSTITUTE(UPPER(TRIM(U117)),"M",""),",","")," ",""))),0))</f>
        <v/>
      </c>
      <c r="BZ117" s="5">
        <f>INDEX(Projects[Solution Type],116)&amp;""</f>
        <v/>
      </c>
      <c r="CA117" s="5">
        <f>INDEX(Projects[Client / Region],116)&amp;""</f>
        <v/>
      </c>
      <c r="CB117" s="5">
        <f>INDEX(Projects[Year],116)</f>
        <v/>
      </c>
      <c r="CC117" s="5">
        <f>INDEX(Projects[Won?],116)&amp;""</f>
        <v/>
      </c>
      <c r="CD117" s="5">
        <f>INDEX(Projects[Value (USD M)],116)</f>
        <v/>
      </c>
    </row>
    <row r="118" ht="15" customHeight="1" s="74">
      <c r="A118" s="66">
        <f>INDEX(Projects[Project ID *],117)&amp;""</f>
        <v/>
      </c>
      <c r="B118" s="66">
        <f>INDEX(Projects[Project Name *],117)&amp;""</f>
        <v/>
      </c>
      <c r="C118" s="66">
        <f>INDEX(Projects[MS Shuttles],117)</f>
        <v/>
      </c>
      <c r="D118" s="66">
        <f>INDEX(Projects[MS Tote Locations],117)</f>
        <v/>
      </c>
      <c r="E118" s="66">
        <f>INDEX(Projects[AS Robots],117)</f>
        <v/>
      </c>
      <c r="F118" s="66">
        <f>INDEX(Projects[AS Tote Locations],117)</f>
        <v/>
      </c>
      <c r="G118" s="66">
        <f>INDEX(Projects[PS Shuttles],117)</f>
        <v/>
      </c>
      <c r="H118" s="66">
        <f>INDEX(Projects[PS Pallet Locations],117)</f>
        <v/>
      </c>
      <c r="I118" s="66">
        <f>INDEX(Projects[SRM Cranes],117)</f>
        <v/>
      </c>
      <c r="J118" s="66">
        <f>INDEX(Projects[SRM Pallet Locations],117)</f>
        <v/>
      </c>
      <c r="K118" s="66">
        <f>INDEX(Projects[Case Conv (m)],117)</f>
        <v/>
      </c>
      <c r="L118" s="66">
        <f>INDEX(Projects[Pallet Conv (m)],117)</f>
        <v/>
      </c>
      <c r="M118" s="66">
        <f>INDEX(Projects[Mech Eng (wks)],117)</f>
        <v/>
      </c>
      <c r="N118" s="66">
        <f>INDEX(Projects[Controls Eng (wks)],117)</f>
        <v/>
      </c>
      <c r="O118" s="66">
        <f>INDEX(Projects[Systems Eng (wks)],117)</f>
        <v/>
      </c>
      <c r="P118" s="66">
        <f>INDEX(Projects[Software Eng (wks)],117)</f>
        <v/>
      </c>
      <c r="Q118" s="66">
        <f>INDEX(Projects[M&amp;E Installation (wks)],117)</f>
        <v/>
      </c>
      <c r="R118" s="66">
        <f>INDEX(Projects[Commissioning (wks)],117)</f>
        <v/>
      </c>
      <c r="S118" s="66">
        <f>INDEX(Projects[Total Timeline (wks)],117)</f>
        <v/>
      </c>
      <c r="T118" s="66">
        <f>INDEX(Projects[Currency],117)&amp;""</f>
        <v/>
      </c>
      <c r="U118" s="67">
        <f>INDEX(Projects[Value (M)],117)</f>
        <v/>
      </c>
      <c r="V118" s="66">
        <f>IF('Smart Search'!B13=1,IFERROR(1/'Smart Search'!H13,0),0)</f>
        <v/>
      </c>
      <c r="W118" s="66">
        <f>IF('Smart Search'!B13=1,IFERROR(1/'Smart Search'!H13,0),0)</f>
        <v/>
      </c>
      <c r="X118" s="66">
        <f>IF('Smart Search'!C13=1,IFERROR(1/'Smart Search'!H13,0),0)</f>
        <v/>
      </c>
      <c r="Y118" s="66">
        <f>IF('Smart Search'!C13=1,IFERROR(1/'Smart Search'!H13,0),0)</f>
        <v/>
      </c>
      <c r="Z118" s="66">
        <f>IF('Smart Search'!D13=1,IFERROR(1/'Smart Search'!H13,0),0)</f>
        <v/>
      </c>
      <c r="AA118" s="66">
        <f>IF('Smart Search'!D13=1,IFERROR(1/'Smart Search'!H13,0),0)</f>
        <v/>
      </c>
      <c r="AB118" s="66">
        <f>IF('Smart Search'!E13=1,IFERROR(1/'Smart Search'!H13,0),0)</f>
        <v/>
      </c>
      <c r="AC118" s="66">
        <f>IF('Smart Search'!E13=1,IFERROR(1/'Smart Search'!H13,0),0)</f>
        <v/>
      </c>
      <c r="AD118" s="66">
        <f>IF('Smart Search'!F13=1,IFERROR(1/'Smart Search'!H13,0),0)</f>
        <v/>
      </c>
      <c r="AE118" s="66">
        <f>IF('Smart Search'!F13=1,IFERROR(1/'Smart Search'!H13,0),0)</f>
        <v/>
      </c>
      <c r="AF118" s="66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66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66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66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66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66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66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66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66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66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66">
        <f>AF118*V118</f>
        <v/>
      </c>
      <c r="AQ118" s="66">
        <f>AG118*W118</f>
        <v/>
      </c>
      <c r="AR118" s="66">
        <f>AH118*X118</f>
        <v/>
      </c>
      <c r="AS118" s="66">
        <f>AI118*Y118</f>
        <v/>
      </c>
      <c r="AT118" s="66">
        <f>AJ118*Z118</f>
        <v/>
      </c>
      <c r="AU118" s="66">
        <f>AK118*AA118</f>
        <v/>
      </c>
      <c r="AV118" s="66">
        <f>AL118*AB118</f>
        <v/>
      </c>
      <c r="AW118" s="66">
        <f>AM118*AC118</f>
        <v/>
      </c>
      <c r="AX118" s="66">
        <f>AN118*AD118</f>
        <v/>
      </c>
      <c r="AY118" s="66">
        <f>AO118*AE118</f>
        <v/>
      </c>
      <c r="AZ118" s="66">
        <f>INDEX(Projects[Automation Equipment],117)&amp;""</f>
        <v/>
      </c>
      <c r="BA118" s="66">
        <f>IF(OR(A118="",'Smart Search'!H13=0),"",MAX(0,BE118*BF118*MAX(0,1-BG118)))</f>
        <v/>
      </c>
      <c r="BB118" s="66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66">
        <f>IF('Smart Search'!G13=1,IFERROR(1/'Smart Search'!H13,0),0)</f>
        <v/>
      </c>
      <c r="BD118" s="66">
        <f>BB118*BC118</f>
        <v/>
      </c>
      <c r="BE118" s="66">
        <f>AP118+AQ118+AR118+AS118+AT118+AU118+AV118+AW118+AX118+AY118+BD118</f>
        <v/>
      </c>
      <c r="BF118" s="5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5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5">
        <f>IF(AND(A118&lt;&gt;"",OR('Smart Search'!$L$5="",'Smart Search'!$L$5="All",TRIM(BZ118)=TRIM('Smart Search'!$L$5)),OR(TRIM('Smart Search'!$L$6)="",TRIM('Smart Search'!$L$6)="All",ISNUMBER(SEARCH(SUBSTITUTE(SUBSTITUTE(SUBSTITUTE(TRIM('Smart Search'!$L$6),"~","~~"),"*","~*"),"?","~?"),CA118))),OR('Smart Search'!$L$7="",AND(CB118&lt;&gt;0,CB118='Smart Search'!$L$7)),OR('Smart Search'!$L$8="",'Smart Search'!$L$8="All",TRIM(CC118)=TRIM('Smart Search'!$L$8))),IF(BA118="","",BA118+ROW()*0.0000000001),"")</f>
        <v/>
      </c>
      <c r="BI118" s="5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5">
        <f>IF(A118="","",N(INDEX(Projects[Mech Inst],117)))</f>
        <v/>
      </c>
      <c r="BK118" s="5">
        <f>IF(A118="","",N(INDEX(Projects[Elec Inst],117)))</f>
        <v/>
      </c>
      <c r="BL118" s="5">
        <f>IF(A118="","",N(INDEX(Projects[Project Management],117)))</f>
        <v/>
      </c>
      <c r="BM118" s="5">
        <f>IF(A118="","",N(INDEX(Projects[Systems Eng],117)))</f>
        <v/>
      </c>
      <c r="BN118" s="5">
        <f>IF(A118="","",N(INDEX(Projects[Mechanical Eng],117)))</f>
        <v/>
      </c>
      <c r="BO118" s="5">
        <f>IF(A118="","",N(INDEX(Projects[Structural Engineering],117)))</f>
        <v/>
      </c>
      <c r="BP118" s="5">
        <f>IF(A118="","",N(INDEX(Projects[Site Sup],117)))</f>
        <v/>
      </c>
      <c r="BQ118" s="5">
        <f>IF(A118="","",N(INDEX(Projects[Controls Commissioning],117)))</f>
        <v/>
      </c>
      <c r="BR118" s="5">
        <f>IF(A118="","",N(INDEX(Projects[Systems Commissioning],117)))</f>
        <v/>
      </c>
      <c r="BS118" s="5">
        <f>IF(A118="","",N(INDEX(Projects[Service Commissioning],117)))</f>
        <v/>
      </c>
      <c r="BT118" s="5">
        <f>IF(A118="","",N(INDEX(Projects[Controls Eng],117)))</f>
        <v/>
      </c>
      <c r="BU118" s="5">
        <f>IF(A118="","",N(INDEX(Projects[Controls Purchase],117)))</f>
        <v/>
      </c>
      <c r="BV118" s="5">
        <f>IF(A118="","",N(INDEX(Projects[Software Eng],117)))</f>
        <v/>
      </c>
      <c r="BW118" s="5">
        <f>IF(A118="","",N(INDEX(Projects[Misc],117)))</f>
        <v/>
      </c>
      <c r="BX118" s="5">
        <f>IF(A118="","",SUM(BJ118:BW118))</f>
        <v/>
      </c>
      <c r="BY118" s="5">
        <f>IF(A118="","",IFERROR(IF(ISNUMBER(U118),U118,VALUE(SUBSTITUTE(SUBSTITUTE(SUBSTITUTE(UPPER(TRIM(U118)),"M",""),",","")," ",""))),0))</f>
        <v/>
      </c>
      <c r="BZ118" s="5">
        <f>INDEX(Projects[Solution Type],117)&amp;""</f>
        <v/>
      </c>
      <c r="CA118" s="5">
        <f>INDEX(Projects[Client / Region],117)&amp;""</f>
        <v/>
      </c>
      <c r="CB118" s="5">
        <f>INDEX(Projects[Year],117)</f>
        <v/>
      </c>
      <c r="CC118" s="5">
        <f>INDEX(Projects[Won?],117)&amp;""</f>
        <v/>
      </c>
      <c r="CD118" s="5">
        <f>INDEX(Projects[Value (USD M)],117)</f>
        <v/>
      </c>
    </row>
    <row r="119" ht="15" customHeight="1" s="74">
      <c r="A119" s="66">
        <f>INDEX(Projects[Project ID *],118)&amp;""</f>
        <v/>
      </c>
      <c r="B119" s="66">
        <f>INDEX(Projects[Project Name *],118)&amp;""</f>
        <v/>
      </c>
      <c r="C119" s="66">
        <f>INDEX(Projects[MS Shuttles],118)</f>
        <v/>
      </c>
      <c r="D119" s="66">
        <f>INDEX(Projects[MS Tote Locations],118)</f>
        <v/>
      </c>
      <c r="E119" s="66">
        <f>INDEX(Projects[AS Robots],118)</f>
        <v/>
      </c>
      <c r="F119" s="66">
        <f>INDEX(Projects[AS Tote Locations],118)</f>
        <v/>
      </c>
      <c r="G119" s="66">
        <f>INDEX(Projects[PS Shuttles],118)</f>
        <v/>
      </c>
      <c r="H119" s="66">
        <f>INDEX(Projects[PS Pallet Locations],118)</f>
        <v/>
      </c>
      <c r="I119" s="66">
        <f>INDEX(Projects[SRM Cranes],118)</f>
        <v/>
      </c>
      <c r="J119" s="66">
        <f>INDEX(Projects[SRM Pallet Locations],118)</f>
        <v/>
      </c>
      <c r="K119" s="66">
        <f>INDEX(Projects[Case Conv (m)],118)</f>
        <v/>
      </c>
      <c r="L119" s="66">
        <f>INDEX(Projects[Pallet Conv (m)],118)</f>
        <v/>
      </c>
      <c r="M119" s="66">
        <f>INDEX(Projects[Mech Eng (wks)],118)</f>
        <v/>
      </c>
      <c r="N119" s="66">
        <f>INDEX(Projects[Controls Eng (wks)],118)</f>
        <v/>
      </c>
      <c r="O119" s="66">
        <f>INDEX(Projects[Systems Eng (wks)],118)</f>
        <v/>
      </c>
      <c r="P119" s="66">
        <f>INDEX(Projects[Software Eng (wks)],118)</f>
        <v/>
      </c>
      <c r="Q119" s="66">
        <f>INDEX(Projects[M&amp;E Installation (wks)],118)</f>
        <v/>
      </c>
      <c r="R119" s="66">
        <f>INDEX(Projects[Commissioning (wks)],118)</f>
        <v/>
      </c>
      <c r="S119" s="66">
        <f>INDEX(Projects[Total Timeline (wks)],118)</f>
        <v/>
      </c>
      <c r="T119" s="66">
        <f>INDEX(Projects[Currency],118)&amp;""</f>
        <v/>
      </c>
      <c r="U119" s="67">
        <f>INDEX(Projects[Value (M)],118)</f>
        <v/>
      </c>
      <c r="V119" s="66">
        <f>IF('Smart Search'!B13=1,IFERROR(1/'Smart Search'!H13,0),0)</f>
        <v/>
      </c>
      <c r="W119" s="66">
        <f>IF('Smart Search'!B13=1,IFERROR(1/'Smart Search'!H13,0),0)</f>
        <v/>
      </c>
      <c r="X119" s="66">
        <f>IF('Smart Search'!C13=1,IFERROR(1/'Smart Search'!H13,0),0)</f>
        <v/>
      </c>
      <c r="Y119" s="66">
        <f>IF('Smart Search'!C13=1,IFERROR(1/'Smart Search'!H13,0),0)</f>
        <v/>
      </c>
      <c r="Z119" s="66">
        <f>IF('Smart Search'!D13=1,IFERROR(1/'Smart Search'!H13,0),0)</f>
        <v/>
      </c>
      <c r="AA119" s="66">
        <f>IF('Smart Search'!D13=1,IFERROR(1/'Smart Search'!H13,0),0)</f>
        <v/>
      </c>
      <c r="AB119" s="66">
        <f>IF('Smart Search'!E13=1,IFERROR(1/'Smart Search'!H13,0),0)</f>
        <v/>
      </c>
      <c r="AC119" s="66">
        <f>IF('Smart Search'!E13=1,IFERROR(1/'Smart Search'!H13,0),0)</f>
        <v/>
      </c>
      <c r="AD119" s="66">
        <f>IF('Smart Search'!F13=1,IFERROR(1/'Smart Search'!H13,0),0)</f>
        <v/>
      </c>
      <c r="AE119" s="66">
        <f>IF('Smart Search'!F13=1,IFERROR(1/'Smart Search'!H13,0),0)</f>
        <v/>
      </c>
      <c r="AF119" s="66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66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66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66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66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66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66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66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66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66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66">
        <f>AF119*V119</f>
        <v/>
      </c>
      <c r="AQ119" s="66">
        <f>AG119*W119</f>
        <v/>
      </c>
      <c r="AR119" s="66">
        <f>AH119*X119</f>
        <v/>
      </c>
      <c r="AS119" s="66">
        <f>AI119*Y119</f>
        <v/>
      </c>
      <c r="AT119" s="66">
        <f>AJ119*Z119</f>
        <v/>
      </c>
      <c r="AU119" s="66">
        <f>AK119*AA119</f>
        <v/>
      </c>
      <c r="AV119" s="66">
        <f>AL119*AB119</f>
        <v/>
      </c>
      <c r="AW119" s="66">
        <f>AM119*AC119</f>
        <v/>
      </c>
      <c r="AX119" s="66">
        <f>AN119*AD119</f>
        <v/>
      </c>
      <c r="AY119" s="66">
        <f>AO119*AE119</f>
        <v/>
      </c>
      <c r="AZ119" s="66">
        <f>INDEX(Projects[Automation Equipment],118)&amp;""</f>
        <v/>
      </c>
      <c r="BA119" s="66">
        <f>IF(OR(A119="",'Smart Search'!H13=0),"",MAX(0,BE119*BF119*MAX(0,1-BG119)))</f>
        <v/>
      </c>
      <c r="BB119" s="66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66">
        <f>IF('Smart Search'!G13=1,IFERROR(1/'Smart Search'!H13,0),0)</f>
        <v/>
      </c>
      <c r="BD119" s="66">
        <f>BB119*BC119</f>
        <v/>
      </c>
      <c r="BE119" s="66">
        <f>AP119+AQ119+AR119+AS119+AT119+AU119+AV119+AW119+AX119+AY119+BD119</f>
        <v/>
      </c>
      <c r="BF119" s="5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5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5">
        <f>IF(AND(A119&lt;&gt;"",OR('Smart Search'!$L$5="",'Smart Search'!$L$5="All",TRIM(BZ119)=TRIM('Smart Search'!$L$5)),OR(TRIM('Smart Search'!$L$6)="",TRIM('Smart Search'!$L$6)="All",ISNUMBER(SEARCH(SUBSTITUTE(SUBSTITUTE(SUBSTITUTE(TRIM('Smart Search'!$L$6),"~","~~"),"*","~*"),"?","~?"),CA119))),OR('Smart Search'!$L$7="",AND(CB119&lt;&gt;0,CB119='Smart Search'!$L$7)),OR('Smart Search'!$L$8="",'Smart Search'!$L$8="All",TRIM(CC119)=TRIM('Smart Search'!$L$8))),IF(BA119="","",BA119+ROW()*0.0000000001),"")</f>
        <v/>
      </c>
      <c r="BI119" s="5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5">
        <f>IF(A119="","",N(INDEX(Projects[Mech Inst],118)))</f>
        <v/>
      </c>
      <c r="BK119" s="5">
        <f>IF(A119="","",N(INDEX(Projects[Elec Inst],118)))</f>
        <v/>
      </c>
      <c r="BL119" s="5">
        <f>IF(A119="","",N(INDEX(Projects[Project Management],118)))</f>
        <v/>
      </c>
      <c r="BM119" s="5">
        <f>IF(A119="","",N(INDEX(Projects[Systems Eng],118)))</f>
        <v/>
      </c>
      <c r="BN119" s="5">
        <f>IF(A119="","",N(INDEX(Projects[Mechanical Eng],118)))</f>
        <v/>
      </c>
      <c r="BO119" s="5">
        <f>IF(A119="","",N(INDEX(Projects[Structural Engineering],118)))</f>
        <v/>
      </c>
      <c r="BP119" s="5">
        <f>IF(A119="","",N(INDEX(Projects[Site Sup],118)))</f>
        <v/>
      </c>
      <c r="BQ119" s="5">
        <f>IF(A119="","",N(INDEX(Projects[Controls Commissioning],118)))</f>
        <v/>
      </c>
      <c r="BR119" s="5">
        <f>IF(A119="","",N(INDEX(Projects[Systems Commissioning],118)))</f>
        <v/>
      </c>
      <c r="BS119" s="5">
        <f>IF(A119="","",N(INDEX(Projects[Service Commissioning],118)))</f>
        <v/>
      </c>
      <c r="BT119" s="5">
        <f>IF(A119="","",N(INDEX(Projects[Controls Eng],118)))</f>
        <v/>
      </c>
      <c r="BU119" s="5">
        <f>IF(A119="","",N(INDEX(Projects[Controls Purchase],118)))</f>
        <v/>
      </c>
      <c r="BV119" s="5">
        <f>IF(A119="","",N(INDEX(Projects[Software Eng],118)))</f>
        <v/>
      </c>
      <c r="BW119" s="5">
        <f>IF(A119="","",N(INDEX(Projects[Misc],118)))</f>
        <v/>
      </c>
      <c r="BX119" s="5">
        <f>IF(A119="","",SUM(BJ119:BW119))</f>
        <v/>
      </c>
      <c r="BY119" s="5">
        <f>IF(A119="","",IFERROR(IF(ISNUMBER(U119),U119,VALUE(SUBSTITUTE(SUBSTITUTE(SUBSTITUTE(UPPER(TRIM(U119)),"M",""),",","")," ",""))),0))</f>
        <v/>
      </c>
      <c r="BZ119" s="5">
        <f>INDEX(Projects[Solution Type],118)&amp;""</f>
        <v/>
      </c>
      <c r="CA119" s="5">
        <f>INDEX(Projects[Client / Region],118)&amp;""</f>
        <v/>
      </c>
      <c r="CB119" s="5">
        <f>INDEX(Projects[Year],118)</f>
        <v/>
      </c>
      <c r="CC119" s="5">
        <f>INDEX(Projects[Won?],118)&amp;""</f>
        <v/>
      </c>
      <c r="CD119" s="5">
        <f>INDEX(Projects[Value (USD M)],118)</f>
        <v/>
      </c>
    </row>
    <row r="120" ht="15" customHeight="1" s="74">
      <c r="A120" s="66">
        <f>INDEX(Projects[Project ID *],119)&amp;""</f>
        <v/>
      </c>
      <c r="B120" s="66">
        <f>INDEX(Projects[Project Name *],119)&amp;""</f>
        <v/>
      </c>
      <c r="C120" s="66">
        <f>INDEX(Projects[MS Shuttles],119)</f>
        <v/>
      </c>
      <c r="D120" s="66">
        <f>INDEX(Projects[MS Tote Locations],119)</f>
        <v/>
      </c>
      <c r="E120" s="66">
        <f>INDEX(Projects[AS Robots],119)</f>
        <v/>
      </c>
      <c r="F120" s="66">
        <f>INDEX(Projects[AS Tote Locations],119)</f>
        <v/>
      </c>
      <c r="G120" s="66">
        <f>INDEX(Projects[PS Shuttles],119)</f>
        <v/>
      </c>
      <c r="H120" s="66">
        <f>INDEX(Projects[PS Pallet Locations],119)</f>
        <v/>
      </c>
      <c r="I120" s="66">
        <f>INDEX(Projects[SRM Cranes],119)</f>
        <v/>
      </c>
      <c r="J120" s="66">
        <f>INDEX(Projects[SRM Pallet Locations],119)</f>
        <v/>
      </c>
      <c r="K120" s="66">
        <f>INDEX(Projects[Case Conv (m)],119)</f>
        <v/>
      </c>
      <c r="L120" s="66">
        <f>INDEX(Projects[Pallet Conv (m)],119)</f>
        <v/>
      </c>
      <c r="M120" s="66">
        <f>INDEX(Projects[Mech Eng (wks)],119)</f>
        <v/>
      </c>
      <c r="N120" s="66">
        <f>INDEX(Projects[Controls Eng (wks)],119)</f>
        <v/>
      </c>
      <c r="O120" s="66">
        <f>INDEX(Projects[Systems Eng (wks)],119)</f>
        <v/>
      </c>
      <c r="P120" s="66">
        <f>INDEX(Projects[Software Eng (wks)],119)</f>
        <v/>
      </c>
      <c r="Q120" s="66">
        <f>INDEX(Projects[M&amp;E Installation (wks)],119)</f>
        <v/>
      </c>
      <c r="R120" s="66">
        <f>INDEX(Projects[Commissioning (wks)],119)</f>
        <v/>
      </c>
      <c r="S120" s="66">
        <f>INDEX(Projects[Total Timeline (wks)],119)</f>
        <v/>
      </c>
      <c r="T120" s="66">
        <f>INDEX(Projects[Currency],119)&amp;""</f>
        <v/>
      </c>
      <c r="U120" s="67">
        <f>INDEX(Projects[Value (M)],119)</f>
        <v/>
      </c>
      <c r="V120" s="66">
        <f>IF('Smart Search'!B13=1,IFERROR(1/'Smart Search'!H13,0),0)</f>
        <v/>
      </c>
      <c r="W120" s="66">
        <f>IF('Smart Search'!B13=1,IFERROR(1/'Smart Search'!H13,0),0)</f>
        <v/>
      </c>
      <c r="X120" s="66">
        <f>IF('Smart Search'!C13=1,IFERROR(1/'Smart Search'!H13,0),0)</f>
        <v/>
      </c>
      <c r="Y120" s="66">
        <f>IF('Smart Search'!C13=1,IFERROR(1/'Smart Search'!H13,0),0)</f>
        <v/>
      </c>
      <c r="Z120" s="66">
        <f>IF('Smart Search'!D13=1,IFERROR(1/'Smart Search'!H13,0),0)</f>
        <v/>
      </c>
      <c r="AA120" s="66">
        <f>IF('Smart Search'!D13=1,IFERROR(1/'Smart Search'!H13,0),0)</f>
        <v/>
      </c>
      <c r="AB120" s="66">
        <f>IF('Smart Search'!E13=1,IFERROR(1/'Smart Search'!H13,0),0)</f>
        <v/>
      </c>
      <c r="AC120" s="66">
        <f>IF('Smart Search'!E13=1,IFERROR(1/'Smart Search'!H13,0),0)</f>
        <v/>
      </c>
      <c r="AD120" s="66">
        <f>IF('Smart Search'!F13=1,IFERROR(1/'Smart Search'!H13,0),0)</f>
        <v/>
      </c>
      <c r="AE120" s="66">
        <f>IF('Smart Search'!F13=1,IFERROR(1/'Smart Search'!H13,0),0)</f>
        <v/>
      </c>
      <c r="AF120" s="66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66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66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66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66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66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66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66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66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66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66">
        <f>AF120*V120</f>
        <v/>
      </c>
      <c r="AQ120" s="66">
        <f>AG120*W120</f>
        <v/>
      </c>
      <c r="AR120" s="66">
        <f>AH120*X120</f>
        <v/>
      </c>
      <c r="AS120" s="66">
        <f>AI120*Y120</f>
        <v/>
      </c>
      <c r="AT120" s="66">
        <f>AJ120*Z120</f>
        <v/>
      </c>
      <c r="AU120" s="66">
        <f>AK120*AA120</f>
        <v/>
      </c>
      <c r="AV120" s="66">
        <f>AL120*AB120</f>
        <v/>
      </c>
      <c r="AW120" s="66">
        <f>AM120*AC120</f>
        <v/>
      </c>
      <c r="AX120" s="66">
        <f>AN120*AD120</f>
        <v/>
      </c>
      <c r="AY120" s="66">
        <f>AO120*AE120</f>
        <v/>
      </c>
      <c r="AZ120" s="66">
        <f>INDEX(Projects[Automation Equipment],119)&amp;""</f>
        <v/>
      </c>
      <c r="BA120" s="66">
        <f>IF(OR(A120="",'Smart Search'!H13=0),"",MAX(0,BE120*BF120*MAX(0,1-BG120)))</f>
        <v/>
      </c>
      <c r="BB120" s="66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66">
        <f>IF('Smart Search'!G13=1,IFERROR(1/'Smart Search'!H13,0),0)</f>
        <v/>
      </c>
      <c r="BD120" s="66">
        <f>BB120*BC120</f>
        <v/>
      </c>
      <c r="BE120" s="66">
        <f>AP120+AQ120+AR120+AS120+AT120+AU120+AV120+AW120+AX120+AY120+BD120</f>
        <v/>
      </c>
      <c r="BF120" s="5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5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5">
        <f>IF(AND(A120&lt;&gt;"",OR('Smart Search'!$L$5="",'Smart Search'!$L$5="All",TRIM(BZ120)=TRIM('Smart Search'!$L$5)),OR(TRIM('Smart Search'!$L$6)="",TRIM('Smart Search'!$L$6)="All",ISNUMBER(SEARCH(SUBSTITUTE(SUBSTITUTE(SUBSTITUTE(TRIM('Smart Search'!$L$6),"~","~~"),"*","~*"),"?","~?"),CA120))),OR('Smart Search'!$L$7="",AND(CB120&lt;&gt;0,CB120='Smart Search'!$L$7)),OR('Smart Search'!$L$8="",'Smart Search'!$L$8="All",TRIM(CC120)=TRIM('Smart Search'!$L$8))),IF(BA120="","",BA120+ROW()*0.0000000001),"")</f>
        <v/>
      </c>
      <c r="BI120" s="5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5">
        <f>IF(A120="","",N(INDEX(Projects[Mech Inst],119)))</f>
        <v/>
      </c>
      <c r="BK120" s="5">
        <f>IF(A120="","",N(INDEX(Projects[Elec Inst],119)))</f>
        <v/>
      </c>
      <c r="BL120" s="5">
        <f>IF(A120="","",N(INDEX(Projects[Project Management],119)))</f>
        <v/>
      </c>
      <c r="BM120" s="5">
        <f>IF(A120="","",N(INDEX(Projects[Systems Eng],119)))</f>
        <v/>
      </c>
      <c r="BN120" s="5">
        <f>IF(A120="","",N(INDEX(Projects[Mechanical Eng],119)))</f>
        <v/>
      </c>
      <c r="BO120" s="5">
        <f>IF(A120="","",N(INDEX(Projects[Structural Engineering],119)))</f>
        <v/>
      </c>
      <c r="BP120" s="5">
        <f>IF(A120="","",N(INDEX(Projects[Site Sup],119)))</f>
        <v/>
      </c>
      <c r="BQ120" s="5">
        <f>IF(A120="","",N(INDEX(Projects[Controls Commissioning],119)))</f>
        <v/>
      </c>
      <c r="BR120" s="5">
        <f>IF(A120="","",N(INDEX(Projects[Systems Commissioning],119)))</f>
        <v/>
      </c>
      <c r="BS120" s="5">
        <f>IF(A120="","",N(INDEX(Projects[Service Commissioning],119)))</f>
        <v/>
      </c>
      <c r="BT120" s="5">
        <f>IF(A120="","",N(INDEX(Projects[Controls Eng],119)))</f>
        <v/>
      </c>
      <c r="BU120" s="5">
        <f>IF(A120="","",N(INDEX(Projects[Controls Purchase],119)))</f>
        <v/>
      </c>
      <c r="BV120" s="5">
        <f>IF(A120="","",N(INDEX(Projects[Software Eng],119)))</f>
        <v/>
      </c>
      <c r="BW120" s="5">
        <f>IF(A120="","",N(INDEX(Projects[Misc],119)))</f>
        <v/>
      </c>
      <c r="BX120" s="5">
        <f>IF(A120="","",SUM(BJ120:BW120))</f>
        <v/>
      </c>
      <c r="BY120" s="5">
        <f>IF(A120="","",IFERROR(IF(ISNUMBER(U120),U120,VALUE(SUBSTITUTE(SUBSTITUTE(SUBSTITUTE(UPPER(TRIM(U120)),"M",""),",","")," ",""))),0))</f>
        <v/>
      </c>
      <c r="BZ120" s="5">
        <f>INDEX(Projects[Solution Type],119)&amp;""</f>
        <v/>
      </c>
      <c r="CA120" s="5">
        <f>INDEX(Projects[Client / Region],119)&amp;""</f>
        <v/>
      </c>
      <c r="CB120" s="5">
        <f>INDEX(Projects[Year],119)</f>
        <v/>
      </c>
      <c r="CC120" s="5">
        <f>INDEX(Projects[Won?],119)&amp;""</f>
        <v/>
      </c>
      <c r="CD120" s="5">
        <f>INDEX(Projects[Value (USD M)],119)</f>
        <v/>
      </c>
    </row>
    <row r="121" ht="15" customHeight="1" s="74">
      <c r="A121" s="66">
        <f>INDEX(Projects[Project ID *],120)&amp;""</f>
        <v/>
      </c>
      <c r="B121" s="66">
        <f>INDEX(Projects[Project Name *],120)&amp;""</f>
        <v/>
      </c>
      <c r="C121" s="66">
        <f>INDEX(Projects[MS Shuttles],120)</f>
        <v/>
      </c>
      <c r="D121" s="66">
        <f>INDEX(Projects[MS Tote Locations],120)</f>
        <v/>
      </c>
      <c r="E121" s="66">
        <f>INDEX(Projects[AS Robots],120)</f>
        <v/>
      </c>
      <c r="F121" s="66">
        <f>INDEX(Projects[AS Tote Locations],120)</f>
        <v/>
      </c>
      <c r="G121" s="66">
        <f>INDEX(Projects[PS Shuttles],120)</f>
        <v/>
      </c>
      <c r="H121" s="66">
        <f>INDEX(Projects[PS Pallet Locations],120)</f>
        <v/>
      </c>
      <c r="I121" s="66">
        <f>INDEX(Projects[SRM Cranes],120)</f>
        <v/>
      </c>
      <c r="J121" s="66">
        <f>INDEX(Projects[SRM Pallet Locations],120)</f>
        <v/>
      </c>
      <c r="K121" s="66">
        <f>INDEX(Projects[Case Conv (m)],120)</f>
        <v/>
      </c>
      <c r="L121" s="66">
        <f>INDEX(Projects[Pallet Conv (m)],120)</f>
        <v/>
      </c>
      <c r="M121" s="66">
        <f>INDEX(Projects[Mech Eng (wks)],120)</f>
        <v/>
      </c>
      <c r="N121" s="66">
        <f>INDEX(Projects[Controls Eng (wks)],120)</f>
        <v/>
      </c>
      <c r="O121" s="66">
        <f>INDEX(Projects[Systems Eng (wks)],120)</f>
        <v/>
      </c>
      <c r="P121" s="66">
        <f>INDEX(Projects[Software Eng (wks)],120)</f>
        <v/>
      </c>
      <c r="Q121" s="66">
        <f>INDEX(Projects[M&amp;E Installation (wks)],120)</f>
        <v/>
      </c>
      <c r="R121" s="66">
        <f>INDEX(Projects[Commissioning (wks)],120)</f>
        <v/>
      </c>
      <c r="S121" s="66">
        <f>INDEX(Projects[Total Timeline (wks)],120)</f>
        <v/>
      </c>
      <c r="T121" s="66">
        <f>INDEX(Projects[Currency],120)&amp;""</f>
        <v/>
      </c>
      <c r="U121" s="67">
        <f>INDEX(Projects[Value (M)],120)</f>
        <v/>
      </c>
      <c r="V121" s="66">
        <f>IF('Smart Search'!B13=1,IFERROR(1/'Smart Search'!H13,0),0)</f>
        <v/>
      </c>
      <c r="W121" s="66">
        <f>IF('Smart Search'!B13=1,IFERROR(1/'Smart Search'!H13,0),0)</f>
        <v/>
      </c>
      <c r="X121" s="66">
        <f>IF('Smart Search'!C13=1,IFERROR(1/'Smart Search'!H13,0),0)</f>
        <v/>
      </c>
      <c r="Y121" s="66">
        <f>IF('Smart Search'!C13=1,IFERROR(1/'Smart Search'!H13,0),0)</f>
        <v/>
      </c>
      <c r="Z121" s="66">
        <f>IF('Smart Search'!D13=1,IFERROR(1/'Smart Search'!H13,0),0)</f>
        <v/>
      </c>
      <c r="AA121" s="66">
        <f>IF('Smart Search'!D13=1,IFERROR(1/'Smart Search'!H13,0),0)</f>
        <v/>
      </c>
      <c r="AB121" s="66">
        <f>IF('Smart Search'!E13=1,IFERROR(1/'Smart Search'!H13,0),0)</f>
        <v/>
      </c>
      <c r="AC121" s="66">
        <f>IF('Smart Search'!E13=1,IFERROR(1/'Smart Search'!H13,0),0)</f>
        <v/>
      </c>
      <c r="AD121" s="66">
        <f>IF('Smart Search'!F13=1,IFERROR(1/'Smart Search'!H13,0),0)</f>
        <v/>
      </c>
      <c r="AE121" s="66">
        <f>IF('Smart Search'!F13=1,IFERROR(1/'Smart Search'!H13,0),0)</f>
        <v/>
      </c>
      <c r="AF121" s="66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66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66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66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66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66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66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66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66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66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66">
        <f>AF121*V121</f>
        <v/>
      </c>
      <c r="AQ121" s="66">
        <f>AG121*W121</f>
        <v/>
      </c>
      <c r="AR121" s="66">
        <f>AH121*X121</f>
        <v/>
      </c>
      <c r="AS121" s="66">
        <f>AI121*Y121</f>
        <v/>
      </c>
      <c r="AT121" s="66">
        <f>AJ121*Z121</f>
        <v/>
      </c>
      <c r="AU121" s="66">
        <f>AK121*AA121</f>
        <v/>
      </c>
      <c r="AV121" s="66">
        <f>AL121*AB121</f>
        <v/>
      </c>
      <c r="AW121" s="66">
        <f>AM121*AC121</f>
        <v/>
      </c>
      <c r="AX121" s="66">
        <f>AN121*AD121</f>
        <v/>
      </c>
      <c r="AY121" s="66">
        <f>AO121*AE121</f>
        <v/>
      </c>
      <c r="AZ121" s="66">
        <f>INDEX(Projects[Automation Equipment],120)&amp;""</f>
        <v/>
      </c>
      <c r="BA121" s="66">
        <f>IF(OR(A121="",'Smart Search'!H13=0),"",MAX(0,BE121*BF121*MAX(0,1-BG121)))</f>
        <v/>
      </c>
      <c r="BB121" s="66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66">
        <f>IF('Smart Search'!G13=1,IFERROR(1/'Smart Search'!H13,0),0)</f>
        <v/>
      </c>
      <c r="BD121" s="66">
        <f>BB121*BC121</f>
        <v/>
      </c>
      <c r="BE121" s="66">
        <f>AP121+AQ121+AR121+AS121+AT121+AU121+AV121+AW121+AX121+AY121+BD121</f>
        <v/>
      </c>
      <c r="BF121" s="5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5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5">
        <f>IF(AND(A121&lt;&gt;"",OR('Smart Search'!$L$5="",'Smart Search'!$L$5="All",TRIM(BZ121)=TRIM('Smart Search'!$L$5)),OR(TRIM('Smart Search'!$L$6)="",TRIM('Smart Search'!$L$6)="All",ISNUMBER(SEARCH(SUBSTITUTE(SUBSTITUTE(SUBSTITUTE(TRIM('Smart Search'!$L$6),"~","~~"),"*","~*"),"?","~?"),CA121))),OR('Smart Search'!$L$7="",AND(CB121&lt;&gt;0,CB121='Smart Search'!$L$7)),OR('Smart Search'!$L$8="",'Smart Search'!$L$8="All",TRIM(CC121)=TRIM('Smart Search'!$L$8))),IF(BA121="","",BA121+ROW()*0.0000000001),"")</f>
        <v/>
      </c>
      <c r="BI121" s="5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5">
        <f>IF(A121="","",N(INDEX(Projects[Mech Inst],120)))</f>
        <v/>
      </c>
      <c r="BK121" s="5">
        <f>IF(A121="","",N(INDEX(Projects[Elec Inst],120)))</f>
        <v/>
      </c>
      <c r="BL121" s="5">
        <f>IF(A121="","",N(INDEX(Projects[Project Management],120)))</f>
        <v/>
      </c>
      <c r="BM121" s="5">
        <f>IF(A121="","",N(INDEX(Projects[Systems Eng],120)))</f>
        <v/>
      </c>
      <c r="BN121" s="5">
        <f>IF(A121="","",N(INDEX(Projects[Mechanical Eng],120)))</f>
        <v/>
      </c>
      <c r="BO121" s="5">
        <f>IF(A121="","",N(INDEX(Projects[Structural Engineering],120)))</f>
        <v/>
      </c>
      <c r="BP121" s="5">
        <f>IF(A121="","",N(INDEX(Projects[Site Sup],120)))</f>
        <v/>
      </c>
      <c r="BQ121" s="5">
        <f>IF(A121="","",N(INDEX(Projects[Controls Commissioning],120)))</f>
        <v/>
      </c>
      <c r="BR121" s="5">
        <f>IF(A121="","",N(INDEX(Projects[Systems Commissioning],120)))</f>
        <v/>
      </c>
      <c r="BS121" s="5">
        <f>IF(A121="","",N(INDEX(Projects[Service Commissioning],120)))</f>
        <v/>
      </c>
      <c r="BT121" s="5">
        <f>IF(A121="","",N(INDEX(Projects[Controls Eng],120)))</f>
        <v/>
      </c>
      <c r="BU121" s="5">
        <f>IF(A121="","",N(INDEX(Projects[Controls Purchase],120)))</f>
        <v/>
      </c>
      <c r="BV121" s="5">
        <f>IF(A121="","",N(INDEX(Projects[Software Eng],120)))</f>
        <v/>
      </c>
      <c r="BW121" s="5">
        <f>IF(A121="","",N(INDEX(Projects[Misc],120)))</f>
        <v/>
      </c>
      <c r="BX121" s="5">
        <f>IF(A121="","",SUM(BJ121:BW121))</f>
        <v/>
      </c>
      <c r="BY121" s="5">
        <f>IF(A121="","",IFERROR(IF(ISNUMBER(U121),U121,VALUE(SUBSTITUTE(SUBSTITUTE(SUBSTITUTE(UPPER(TRIM(U121)),"M",""),",","")," ",""))),0))</f>
        <v/>
      </c>
      <c r="BZ121" s="5">
        <f>INDEX(Projects[Solution Type],120)&amp;""</f>
        <v/>
      </c>
      <c r="CA121" s="5">
        <f>INDEX(Projects[Client / Region],120)&amp;""</f>
        <v/>
      </c>
      <c r="CB121" s="5">
        <f>INDEX(Projects[Year],120)</f>
        <v/>
      </c>
      <c r="CC121" s="5">
        <f>INDEX(Projects[Won?],120)&amp;""</f>
        <v/>
      </c>
      <c r="CD121" s="5">
        <f>INDEX(Projects[Value (USD M)],120)</f>
        <v/>
      </c>
    </row>
    <row r="122" ht="15" customHeight="1" s="74">
      <c r="A122" s="66">
        <f>INDEX(Projects[Project ID *],121)&amp;""</f>
        <v/>
      </c>
      <c r="B122" s="66">
        <f>INDEX(Projects[Project Name *],121)&amp;""</f>
        <v/>
      </c>
      <c r="C122" s="66">
        <f>INDEX(Projects[MS Shuttles],121)</f>
        <v/>
      </c>
      <c r="D122" s="66">
        <f>INDEX(Projects[MS Tote Locations],121)</f>
        <v/>
      </c>
      <c r="E122" s="66">
        <f>INDEX(Projects[AS Robots],121)</f>
        <v/>
      </c>
      <c r="F122" s="66">
        <f>INDEX(Projects[AS Tote Locations],121)</f>
        <v/>
      </c>
      <c r="G122" s="66">
        <f>INDEX(Projects[PS Shuttles],121)</f>
        <v/>
      </c>
      <c r="H122" s="66">
        <f>INDEX(Projects[PS Pallet Locations],121)</f>
        <v/>
      </c>
      <c r="I122" s="66">
        <f>INDEX(Projects[SRM Cranes],121)</f>
        <v/>
      </c>
      <c r="J122" s="66">
        <f>INDEX(Projects[SRM Pallet Locations],121)</f>
        <v/>
      </c>
      <c r="K122" s="66">
        <f>INDEX(Projects[Case Conv (m)],121)</f>
        <v/>
      </c>
      <c r="L122" s="66">
        <f>INDEX(Projects[Pallet Conv (m)],121)</f>
        <v/>
      </c>
      <c r="M122" s="66">
        <f>INDEX(Projects[Mech Eng (wks)],121)</f>
        <v/>
      </c>
      <c r="N122" s="66">
        <f>INDEX(Projects[Controls Eng (wks)],121)</f>
        <v/>
      </c>
      <c r="O122" s="66">
        <f>INDEX(Projects[Systems Eng (wks)],121)</f>
        <v/>
      </c>
      <c r="P122" s="66">
        <f>INDEX(Projects[Software Eng (wks)],121)</f>
        <v/>
      </c>
      <c r="Q122" s="66">
        <f>INDEX(Projects[M&amp;E Installation (wks)],121)</f>
        <v/>
      </c>
      <c r="R122" s="66">
        <f>INDEX(Projects[Commissioning (wks)],121)</f>
        <v/>
      </c>
      <c r="S122" s="66">
        <f>INDEX(Projects[Total Timeline (wks)],121)</f>
        <v/>
      </c>
      <c r="T122" s="66">
        <f>INDEX(Projects[Currency],121)&amp;""</f>
        <v/>
      </c>
      <c r="U122" s="67">
        <f>INDEX(Projects[Value (M)],121)</f>
        <v/>
      </c>
      <c r="V122" s="66">
        <f>IF('Smart Search'!B13=1,IFERROR(1/'Smart Search'!H13,0),0)</f>
        <v/>
      </c>
      <c r="W122" s="66">
        <f>IF('Smart Search'!B13=1,IFERROR(1/'Smart Search'!H13,0),0)</f>
        <v/>
      </c>
      <c r="X122" s="66">
        <f>IF('Smart Search'!C13=1,IFERROR(1/'Smart Search'!H13,0),0)</f>
        <v/>
      </c>
      <c r="Y122" s="66">
        <f>IF('Smart Search'!C13=1,IFERROR(1/'Smart Search'!H13,0),0)</f>
        <v/>
      </c>
      <c r="Z122" s="66">
        <f>IF('Smart Search'!D13=1,IFERROR(1/'Smart Search'!H13,0),0)</f>
        <v/>
      </c>
      <c r="AA122" s="66">
        <f>IF('Smart Search'!D13=1,IFERROR(1/'Smart Search'!H13,0),0)</f>
        <v/>
      </c>
      <c r="AB122" s="66">
        <f>IF('Smart Search'!E13=1,IFERROR(1/'Smart Search'!H13,0),0)</f>
        <v/>
      </c>
      <c r="AC122" s="66">
        <f>IF('Smart Search'!E13=1,IFERROR(1/'Smart Search'!H13,0),0)</f>
        <v/>
      </c>
      <c r="AD122" s="66">
        <f>IF('Smart Search'!F13=1,IFERROR(1/'Smart Search'!H13,0),0)</f>
        <v/>
      </c>
      <c r="AE122" s="66">
        <f>IF('Smart Search'!F13=1,IFERROR(1/'Smart Search'!H13,0),0)</f>
        <v/>
      </c>
      <c r="AF122" s="66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66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66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66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66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66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66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66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66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66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66">
        <f>AF122*V122</f>
        <v/>
      </c>
      <c r="AQ122" s="66">
        <f>AG122*W122</f>
        <v/>
      </c>
      <c r="AR122" s="66">
        <f>AH122*X122</f>
        <v/>
      </c>
      <c r="AS122" s="66">
        <f>AI122*Y122</f>
        <v/>
      </c>
      <c r="AT122" s="66">
        <f>AJ122*Z122</f>
        <v/>
      </c>
      <c r="AU122" s="66">
        <f>AK122*AA122</f>
        <v/>
      </c>
      <c r="AV122" s="66">
        <f>AL122*AB122</f>
        <v/>
      </c>
      <c r="AW122" s="66">
        <f>AM122*AC122</f>
        <v/>
      </c>
      <c r="AX122" s="66">
        <f>AN122*AD122</f>
        <v/>
      </c>
      <c r="AY122" s="66">
        <f>AO122*AE122</f>
        <v/>
      </c>
      <c r="AZ122" s="66">
        <f>INDEX(Projects[Automation Equipment],121)&amp;""</f>
        <v/>
      </c>
      <c r="BA122" s="66">
        <f>IF(OR(A122="",'Smart Search'!H13=0),"",MAX(0,BE122*BF122*MAX(0,1-BG122)))</f>
        <v/>
      </c>
      <c r="BB122" s="66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66">
        <f>IF('Smart Search'!G13=1,IFERROR(1/'Smart Search'!H13,0),0)</f>
        <v/>
      </c>
      <c r="BD122" s="66">
        <f>BB122*BC122</f>
        <v/>
      </c>
      <c r="BE122" s="66">
        <f>AP122+AQ122+AR122+AS122+AT122+AU122+AV122+AW122+AX122+AY122+BD122</f>
        <v/>
      </c>
      <c r="BF122" s="5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5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5">
        <f>IF(AND(A122&lt;&gt;"",OR('Smart Search'!$L$5="",'Smart Search'!$L$5="All",TRIM(BZ122)=TRIM('Smart Search'!$L$5)),OR(TRIM('Smart Search'!$L$6)="",TRIM('Smart Search'!$L$6)="All",ISNUMBER(SEARCH(SUBSTITUTE(SUBSTITUTE(SUBSTITUTE(TRIM('Smart Search'!$L$6),"~","~~"),"*","~*"),"?","~?"),CA122))),OR('Smart Search'!$L$7="",AND(CB122&lt;&gt;0,CB122='Smart Search'!$L$7)),OR('Smart Search'!$L$8="",'Smart Search'!$L$8="All",TRIM(CC122)=TRIM('Smart Search'!$L$8))),IF(BA122="","",BA122+ROW()*0.0000000001),"")</f>
        <v/>
      </c>
      <c r="BI122" s="5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5">
        <f>IF(A122="","",N(INDEX(Projects[Mech Inst],121)))</f>
        <v/>
      </c>
      <c r="BK122" s="5">
        <f>IF(A122="","",N(INDEX(Projects[Elec Inst],121)))</f>
        <v/>
      </c>
      <c r="BL122" s="5">
        <f>IF(A122="","",N(INDEX(Projects[Project Management],121)))</f>
        <v/>
      </c>
      <c r="BM122" s="5">
        <f>IF(A122="","",N(INDEX(Projects[Systems Eng],121)))</f>
        <v/>
      </c>
      <c r="BN122" s="5">
        <f>IF(A122="","",N(INDEX(Projects[Mechanical Eng],121)))</f>
        <v/>
      </c>
      <c r="BO122" s="5">
        <f>IF(A122="","",N(INDEX(Projects[Structural Engineering],121)))</f>
        <v/>
      </c>
      <c r="BP122" s="5">
        <f>IF(A122="","",N(INDEX(Projects[Site Sup],121)))</f>
        <v/>
      </c>
      <c r="BQ122" s="5">
        <f>IF(A122="","",N(INDEX(Projects[Controls Commissioning],121)))</f>
        <v/>
      </c>
      <c r="BR122" s="5">
        <f>IF(A122="","",N(INDEX(Projects[Systems Commissioning],121)))</f>
        <v/>
      </c>
      <c r="BS122" s="5">
        <f>IF(A122="","",N(INDEX(Projects[Service Commissioning],121)))</f>
        <v/>
      </c>
      <c r="BT122" s="5">
        <f>IF(A122="","",N(INDEX(Projects[Controls Eng],121)))</f>
        <v/>
      </c>
      <c r="BU122" s="5">
        <f>IF(A122="","",N(INDEX(Projects[Controls Purchase],121)))</f>
        <v/>
      </c>
      <c r="BV122" s="5">
        <f>IF(A122="","",N(INDEX(Projects[Software Eng],121)))</f>
        <v/>
      </c>
      <c r="BW122" s="5">
        <f>IF(A122="","",N(INDEX(Projects[Misc],121)))</f>
        <v/>
      </c>
      <c r="BX122" s="5">
        <f>IF(A122="","",SUM(BJ122:BW122))</f>
        <v/>
      </c>
      <c r="BY122" s="5">
        <f>IF(A122="","",IFERROR(IF(ISNUMBER(U122),U122,VALUE(SUBSTITUTE(SUBSTITUTE(SUBSTITUTE(UPPER(TRIM(U122)),"M",""),",","")," ",""))),0))</f>
        <v/>
      </c>
      <c r="BZ122" s="5">
        <f>INDEX(Projects[Solution Type],121)&amp;""</f>
        <v/>
      </c>
      <c r="CA122" s="5">
        <f>INDEX(Projects[Client / Region],121)&amp;""</f>
        <v/>
      </c>
      <c r="CB122" s="5">
        <f>INDEX(Projects[Year],121)</f>
        <v/>
      </c>
      <c r="CC122" s="5">
        <f>INDEX(Projects[Won?],121)&amp;""</f>
        <v/>
      </c>
      <c r="CD122" s="5">
        <f>INDEX(Projects[Value (USD M)],121)</f>
        <v/>
      </c>
    </row>
    <row r="123" ht="15" customHeight="1" s="74">
      <c r="A123" s="66">
        <f>INDEX(Projects[Project ID *],122)&amp;""</f>
        <v/>
      </c>
      <c r="B123" s="66">
        <f>INDEX(Projects[Project Name *],122)&amp;""</f>
        <v/>
      </c>
      <c r="C123" s="66">
        <f>INDEX(Projects[MS Shuttles],122)</f>
        <v/>
      </c>
      <c r="D123" s="66">
        <f>INDEX(Projects[MS Tote Locations],122)</f>
        <v/>
      </c>
      <c r="E123" s="66">
        <f>INDEX(Projects[AS Robots],122)</f>
        <v/>
      </c>
      <c r="F123" s="66">
        <f>INDEX(Projects[AS Tote Locations],122)</f>
        <v/>
      </c>
      <c r="G123" s="66">
        <f>INDEX(Projects[PS Shuttles],122)</f>
        <v/>
      </c>
      <c r="H123" s="66">
        <f>INDEX(Projects[PS Pallet Locations],122)</f>
        <v/>
      </c>
      <c r="I123" s="66">
        <f>INDEX(Projects[SRM Cranes],122)</f>
        <v/>
      </c>
      <c r="J123" s="66">
        <f>INDEX(Projects[SRM Pallet Locations],122)</f>
        <v/>
      </c>
      <c r="K123" s="66">
        <f>INDEX(Projects[Case Conv (m)],122)</f>
        <v/>
      </c>
      <c r="L123" s="66">
        <f>INDEX(Projects[Pallet Conv (m)],122)</f>
        <v/>
      </c>
      <c r="M123" s="66">
        <f>INDEX(Projects[Mech Eng (wks)],122)</f>
        <v/>
      </c>
      <c r="N123" s="66">
        <f>INDEX(Projects[Controls Eng (wks)],122)</f>
        <v/>
      </c>
      <c r="O123" s="66">
        <f>INDEX(Projects[Systems Eng (wks)],122)</f>
        <v/>
      </c>
      <c r="P123" s="66">
        <f>INDEX(Projects[Software Eng (wks)],122)</f>
        <v/>
      </c>
      <c r="Q123" s="66">
        <f>INDEX(Projects[M&amp;E Installation (wks)],122)</f>
        <v/>
      </c>
      <c r="R123" s="66">
        <f>INDEX(Projects[Commissioning (wks)],122)</f>
        <v/>
      </c>
      <c r="S123" s="66">
        <f>INDEX(Projects[Total Timeline (wks)],122)</f>
        <v/>
      </c>
      <c r="T123" s="66">
        <f>INDEX(Projects[Currency],122)&amp;""</f>
        <v/>
      </c>
      <c r="U123" s="67">
        <f>INDEX(Projects[Value (M)],122)</f>
        <v/>
      </c>
      <c r="V123" s="66">
        <f>IF('Smart Search'!B13=1,IFERROR(1/'Smart Search'!H13,0),0)</f>
        <v/>
      </c>
      <c r="W123" s="66">
        <f>IF('Smart Search'!B13=1,IFERROR(1/'Smart Search'!H13,0),0)</f>
        <v/>
      </c>
      <c r="X123" s="66">
        <f>IF('Smart Search'!C13=1,IFERROR(1/'Smart Search'!H13,0),0)</f>
        <v/>
      </c>
      <c r="Y123" s="66">
        <f>IF('Smart Search'!C13=1,IFERROR(1/'Smart Search'!H13,0),0)</f>
        <v/>
      </c>
      <c r="Z123" s="66">
        <f>IF('Smart Search'!D13=1,IFERROR(1/'Smart Search'!H13,0),0)</f>
        <v/>
      </c>
      <c r="AA123" s="66">
        <f>IF('Smart Search'!D13=1,IFERROR(1/'Smart Search'!H13,0),0)</f>
        <v/>
      </c>
      <c r="AB123" s="66">
        <f>IF('Smart Search'!E13=1,IFERROR(1/'Smart Search'!H13,0),0)</f>
        <v/>
      </c>
      <c r="AC123" s="66">
        <f>IF('Smart Search'!E13=1,IFERROR(1/'Smart Search'!H13,0),0)</f>
        <v/>
      </c>
      <c r="AD123" s="66">
        <f>IF('Smart Search'!F13=1,IFERROR(1/'Smart Search'!H13,0),0)</f>
        <v/>
      </c>
      <c r="AE123" s="66">
        <f>IF('Smart Search'!F13=1,IFERROR(1/'Smart Search'!H13,0),0)</f>
        <v/>
      </c>
      <c r="AF123" s="66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66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66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66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66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66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66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66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66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66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66">
        <f>AF123*V123</f>
        <v/>
      </c>
      <c r="AQ123" s="66">
        <f>AG123*W123</f>
        <v/>
      </c>
      <c r="AR123" s="66">
        <f>AH123*X123</f>
        <v/>
      </c>
      <c r="AS123" s="66">
        <f>AI123*Y123</f>
        <v/>
      </c>
      <c r="AT123" s="66">
        <f>AJ123*Z123</f>
        <v/>
      </c>
      <c r="AU123" s="66">
        <f>AK123*AA123</f>
        <v/>
      </c>
      <c r="AV123" s="66">
        <f>AL123*AB123</f>
        <v/>
      </c>
      <c r="AW123" s="66">
        <f>AM123*AC123</f>
        <v/>
      </c>
      <c r="AX123" s="66">
        <f>AN123*AD123</f>
        <v/>
      </c>
      <c r="AY123" s="66">
        <f>AO123*AE123</f>
        <v/>
      </c>
      <c r="AZ123" s="66">
        <f>INDEX(Projects[Automation Equipment],122)&amp;""</f>
        <v/>
      </c>
      <c r="BA123" s="66">
        <f>IF(OR(A123="",'Smart Search'!H13=0),"",MAX(0,BE123*BF123*MAX(0,1-BG123)))</f>
        <v/>
      </c>
      <c r="BB123" s="66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66">
        <f>IF('Smart Search'!G13=1,IFERROR(1/'Smart Search'!H13,0),0)</f>
        <v/>
      </c>
      <c r="BD123" s="66">
        <f>BB123*BC123</f>
        <v/>
      </c>
      <c r="BE123" s="66">
        <f>AP123+AQ123+AR123+AS123+AT123+AU123+AV123+AW123+AX123+AY123+BD123</f>
        <v/>
      </c>
      <c r="BF123" s="5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5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5">
        <f>IF(AND(A123&lt;&gt;"",OR('Smart Search'!$L$5="",'Smart Search'!$L$5="All",TRIM(BZ123)=TRIM('Smart Search'!$L$5)),OR(TRIM('Smart Search'!$L$6)="",TRIM('Smart Search'!$L$6)="All",ISNUMBER(SEARCH(SUBSTITUTE(SUBSTITUTE(SUBSTITUTE(TRIM('Smart Search'!$L$6),"~","~~"),"*","~*"),"?","~?"),CA123))),OR('Smart Search'!$L$7="",AND(CB123&lt;&gt;0,CB123='Smart Search'!$L$7)),OR('Smart Search'!$L$8="",'Smart Search'!$L$8="All",TRIM(CC123)=TRIM('Smart Search'!$L$8))),IF(BA123="","",BA123+ROW()*0.0000000001),"")</f>
        <v/>
      </c>
      <c r="BI123" s="5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5">
        <f>IF(A123="","",N(INDEX(Projects[Mech Inst],122)))</f>
        <v/>
      </c>
      <c r="BK123" s="5">
        <f>IF(A123="","",N(INDEX(Projects[Elec Inst],122)))</f>
        <v/>
      </c>
      <c r="BL123" s="5">
        <f>IF(A123="","",N(INDEX(Projects[Project Management],122)))</f>
        <v/>
      </c>
      <c r="BM123" s="5">
        <f>IF(A123="","",N(INDEX(Projects[Systems Eng],122)))</f>
        <v/>
      </c>
      <c r="BN123" s="5">
        <f>IF(A123="","",N(INDEX(Projects[Mechanical Eng],122)))</f>
        <v/>
      </c>
      <c r="BO123" s="5">
        <f>IF(A123="","",N(INDEX(Projects[Structural Engineering],122)))</f>
        <v/>
      </c>
      <c r="BP123" s="5">
        <f>IF(A123="","",N(INDEX(Projects[Site Sup],122)))</f>
        <v/>
      </c>
      <c r="BQ123" s="5">
        <f>IF(A123="","",N(INDEX(Projects[Controls Commissioning],122)))</f>
        <v/>
      </c>
      <c r="BR123" s="5">
        <f>IF(A123="","",N(INDEX(Projects[Systems Commissioning],122)))</f>
        <v/>
      </c>
      <c r="BS123" s="5">
        <f>IF(A123="","",N(INDEX(Projects[Service Commissioning],122)))</f>
        <v/>
      </c>
      <c r="BT123" s="5">
        <f>IF(A123="","",N(INDEX(Projects[Controls Eng],122)))</f>
        <v/>
      </c>
      <c r="BU123" s="5">
        <f>IF(A123="","",N(INDEX(Projects[Controls Purchase],122)))</f>
        <v/>
      </c>
      <c r="BV123" s="5">
        <f>IF(A123="","",N(INDEX(Projects[Software Eng],122)))</f>
        <v/>
      </c>
      <c r="BW123" s="5">
        <f>IF(A123="","",N(INDEX(Projects[Misc],122)))</f>
        <v/>
      </c>
      <c r="BX123" s="5">
        <f>IF(A123="","",SUM(BJ123:BW123))</f>
        <v/>
      </c>
      <c r="BY123" s="5">
        <f>IF(A123="","",IFERROR(IF(ISNUMBER(U123),U123,VALUE(SUBSTITUTE(SUBSTITUTE(SUBSTITUTE(UPPER(TRIM(U123)),"M",""),",","")," ",""))),0))</f>
        <v/>
      </c>
      <c r="BZ123" s="5">
        <f>INDEX(Projects[Solution Type],122)&amp;""</f>
        <v/>
      </c>
      <c r="CA123" s="5">
        <f>INDEX(Projects[Client / Region],122)&amp;""</f>
        <v/>
      </c>
      <c r="CB123" s="5">
        <f>INDEX(Projects[Year],122)</f>
        <v/>
      </c>
      <c r="CC123" s="5">
        <f>INDEX(Projects[Won?],122)&amp;""</f>
        <v/>
      </c>
      <c r="CD123" s="5">
        <f>INDEX(Projects[Value (USD M)],122)</f>
        <v/>
      </c>
    </row>
    <row r="124" ht="15" customHeight="1" s="74">
      <c r="A124" s="66">
        <f>INDEX(Projects[Project ID *],123)&amp;""</f>
        <v/>
      </c>
      <c r="B124" s="66">
        <f>INDEX(Projects[Project Name *],123)&amp;""</f>
        <v/>
      </c>
      <c r="C124" s="66">
        <f>INDEX(Projects[MS Shuttles],123)</f>
        <v/>
      </c>
      <c r="D124" s="66">
        <f>INDEX(Projects[MS Tote Locations],123)</f>
        <v/>
      </c>
      <c r="E124" s="66">
        <f>INDEX(Projects[AS Robots],123)</f>
        <v/>
      </c>
      <c r="F124" s="66">
        <f>INDEX(Projects[AS Tote Locations],123)</f>
        <v/>
      </c>
      <c r="G124" s="66">
        <f>INDEX(Projects[PS Shuttles],123)</f>
        <v/>
      </c>
      <c r="H124" s="66">
        <f>INDEX(Projects[PS Pallet Locations],123)</f>
        <v/>
      </c>
      <c r="I124" s="66">
        <f>INDEX(Projects[SRM Cranes],123)</f>
        <v/>
      </c>
      <c r="J124" s="66">
        <f>INDEX(Projects[SRM Pallet Locations],123)</f>
        <v/>
      </c>
      <c r="K124" s="66">
        <f>INDEX(Projects[Case Conv (m)],123)</f>
        <v/>
      </c>
      <c r="L124" s="66">
        <f>INDEX(Projects[Pallet Conv (m)],123)</f>
        <v/>
      </c>
      <c r="M124" s="66">
        <f>INDEX(Projects[Mech Eng (wks)],123)</f>
        <v/>
      </c>
      <c r="N124" s="66">
        <f>INDEX(Projects[Controls Eng (wks)],123)</f>
        <v/>
      </c>
      <c r="O124" s="66">
        <f>INDEX(Projects[Systems Eng (wks)],123)</f>
        <v/>
      </c>
      <c r="P124" s="66">
        <f>INDEX(Projects[Software Eng (wks)],123)</f>
        <v/>
      </c>
      <c r="Q124" s="66">
        <f>INDEX(Projects[M&amp;E Installation (wks)],123)</f>
        <v/>
      </c>
      <c r="R124" s="66">
        <f>INDEX(Projects[Commissioning (wks)],123)</f>
        <v/>
      </c>
      <c r="S124" s="66">
        <f>INDEX(Projects[Total Timeline (wks)],123)</f>
        <v/>
      </c>
      <c r="T124" s="66">
        <f>INDEX(Projects[Currency],123)&amp;""</f>
        <v/>
      </c>
      <c r="U124" s="67">
        <f>INDEX(Projects[Value (M)],123)</f>
        <v/>
      </c>
      <c r="V124" s="66">
        <f>IF('Smart Search'!B13=1,IFERROR(1/'Smart Search'!H13,0),0)</f>
        <v/>
      </c>
      <c r="W124" s="66">
        <f>IF('Smart Search'!B13=1,IFERROR(1/'Smart Search'!H13,0),0)</f>
        <v/>
      </c>
      <c r="X124" s="66">
        <f>IF('Smart Search'!C13=1,IFERROR(1/'Smart Search'!H13,0),0)</f>
        <v/>
      </c>
      <c r="Y124" s="66">
        <f>IF('Smart Search'!C13=1,IFERROR(1/'Smart Search'!H13,0),0)</f>
        <v/>
      </c>
      <c r="Z124" s="66">
        <f>IF('Smart Search'!D13=1,IFERROR(1/'Smart Search'!H13,0),0)</f>
        <v/>
      </c>
      <c r="AA124" s="66">
        <f>IF('Smart Search'!D13=1,IFERROR(1/'Smart Search'!H13,0),0)</f>
        <v/>
      </c>
      <c r="AB124" s="66">
        <f>IF('Smart Search'!E13=1,IFERROR(1/'Smart Search'!H13,0),0)</f>
        <v/>
      </c>
      <c r="AC124" s="66">
        <f>IF('Smart Search'!E13=1,IFERROR(1/'Smart Search'!H13,0),0)</f>
        <v/>
      </c>
      <c r="AD124" s="66">
        <f>IF('Smart Search'!F13=1,IFERROR(1/'Smart Search'!H13,0),0)</f>
        <v/>
      </c>
      <c r="AE124" s="66">
        <f>IF('Smart Search'!F13=1,IFERROR(1/'Smart Search'!H13,0),0)</f>
        <v/>
      </c>
      <c r="AF124" s="66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66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66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66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66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66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66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66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66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66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66">
        <f>AF124*V124</f>
        <v/>
      </c>
      <c r="AQ124" s="66">
        <f>AG124*W124</f>
        <v/>
      </c>
      <c r="AR124" s="66">
        <f>AH124*X124</f>
        <v/>
      </c>
      <c r="AS124" s="66">
        <f>AI124*Y124</f>
        <v/>
      </c>
      <c r="AT124" s="66">
        <f>AJ124*Z124</f>
        <v/>
      </c>
      <c r="AU124" s="66">
        <f>AK124*AA124</f>
        <v/>
      </c>
      <c r="AV124" s="66">
        <f>AL124*AB124</f>
        <v/>
      </c>
      <c r="AW124" s="66">
        <f>AM124*AC124</f>
        <v/>
      </c>
      <c r="AX124" s="66">
        <f>AN124*AD124</f>
        <v/>
      </c>
      <c r="AY124" s="66">
        <f>AO124*AE124</f>
        <v/>
      </c>
      <c r="AZ124" s="66">
        <f>INDEX(Projects[Automation Equipment],123)&amp;""</f>
        <v/>
      </c>
      <c r="BA124" s="66">
        <f>IF(OR(A124="",'Smart Search'!H13=0),"",MAX(0,BE124*BF124*MAX(0,1-BG124)))</f>
        <v/>
      </c>
      <c r="BB124" s="66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66">
        <f>IF('Smart Search'!G13=1,IFERROR(1/'Smart Search'!H13,0),0)</f>
        <v/>
      </c>
      <c r="BD124" s="66">
        <f>BB124*BC124</f>
        <v/>
      </c>
      <c r="BE124" s="66">
        <f>AP124+AQ124+AR124+AS124+AT124+AU124+AV124+AW124+AX124+AY124+BD124</f>
        <v/>
      </c>
      <c r="BF124" s="5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5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5">
        <f>IF(AND(A124&lt;&gt;"",OR('Smart Search'!$L$5="",'Smart Search'!$L$5="All",TRIM(BZ124)=TRIM('Smart Search'!$L$5)),OR(TRIM('Smart Search'!$L$6)="",TRIM('Smart Search'!$L$6)="All",ISNUMBER(SEARCH(SUBSTITUTE(SUBSTITUTE(SUBSTITUTE(TRIM('Smart Search'!$L$6),"~","~~"),"*","~*"),"?","~?"),CA124))),OR('Smart Search'!$L$7="",AND(CB124&lt;&gt;0,CB124='Smart Search'!$L$7)),OR('Smart Search'!$L$8="",'Smart Search'!$L$8="All",TRIM(CC124)=TRIM('Smart Search'!$L$8))),IF(BA124="","",BA124+ROW()*0.0000000001),"")</f>
        <v/>
      </c>
      <c r="BI124" s="5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5">
        <f>IF(A124="","",N(INDEX(Projects[Mech Inst],123)))</f>
        <v/>
      </c>
      <c r="BK124" s="5">
        <f>IF(A124="","",N(INDEX(Projects[Elec Inst],123)))</f>
        <v/>
      </c>
      <c r="BL124" s="5">
        <f>IF(A124="","",N(INDEX(Projects[Project Management],123)))</f>
        <v/>
      </c>
      <c r="BM124" s="5">
        <f>IF(A124="","",N(INDEX(Projects[Systems Eng],123)))</f>
        <v/>
      </c>
      <c r="BN124" s="5">
        <f>IF(A124="","",N(INDEX(Projects[Mechanical Eng],123)))</f>
        <v/>
      </c>
      <c r="BO124" s="5">
        <f>IF(A124="","",N(INDEX(Projects[Structural Engineering],123)))</f>
        <v/>
      </c>
      <c r="BP124" s="5">
        <f>IF(A124="","",N(INDEX(Projects[Site Sup],123)))</f>
        <v/>
      </c>
      <c r="BQ124" s="5">
        <f>IF(A124="","",N(INDEX(Projects[Controls Commissioning],123)))</f>
        <v/>
      </c>
      <c r="BR124" s="5">
        <f>IF(A124="","",N(INDEX(Projects[Systems Commissioning],123)))</f>
        <v/>
      </c>
      <c r="BS124" s="5">
        <f>IF(A124="","",N(INDEX(Projects[Service Commissioning],123)))</f>
        <v/>
      </c>
      <c r="BT124" s="5">
        <f>IF(A124="","",N(INDEX(Projects[Controls Eng],123)))</f>
        <v/>
      </c>
      <c r="BU124" s="5">
        <f>IF(A124="","",N(INDEX(Projects[Controls Purchase],123)))</f>
        <v/>
      </c>
      <c r="BV124" s="5">
        <f>IF(A124="","",N(INDEX(Projects[Software Eng],123)))</f>
        <v/>
      </c>
      <c r="BW124" s="5">
        <f>IF(A124="","",N(INDEX(Projects[Misc],123)))</f>
        <v/>
      </c>
      <c r="BX124" s="5">
        <f>IF(A124="","",SUM(BJ124:BW124))</f>
        <v/>
      </c>
      <c r="BY124" s="5">
        <f>IF(A124="","",IFERROR(IF(ISNUMBER(U124),U124,VALUE(SUBSTITUTE(SUBSTITUTE(SUBSTITUTE(UPPER(TRIM(U124)),"M",""),",","")," ",""))),0))</f>
        <v/>
      </c>
      <c r="BZ124" s="5">
        <f>INDEX(Projects[Solution Type],123)&amp;""</f>
        <v/>
      </c>
      <c r="CA124" s="5">
        <f>INDEX(Projects[Client / Region],123)&amp;""</f>
        <v/>
      </c>
      <c r="CB124" s="5">
        <f>INDEX(Projects[Year],123)</f>
        <v/>
      </c>
      <c r="CC124" s="5">
        <f>INDEX(Projects[Won?],123)&amp;""</f>
        <v/>
      </c>
      <c r="CD124" s="5">
        <f>INDEX(Projects[Value (USD M)],123)</f>
        <v/>
      </c>
    </row>
    <row r="125" ht="15" customHeight="1" s="74">
      <c r="A125" s="66">
        <f>INDEX(Projects[Project ID *],124)&amp;""</f>
        <v/>
      </c>
      <c r="B125" s="66">
        <f>INDEX(Projects[Project Name *],124)&amp;""</f>
        <v/>
      </c>
      <c r="C125" s="66">
        <f>INDEX(Projects[MS Shuttles],124)</f>
        <v/>
      </c>
      <c r="D125" s="66">
        <f>INDEX(Projects[MS Tote Locations],124)</f>
        <v/>
      </c>
      <c r="E125" s="66">
        <f>INDEX(Projects[AS Robots],124)</f>
        <v/>
      </c>
      <c r="F125" s="66">
        <f>INDEX(Projects[AS Tote Locations],124)</f>
        <v/>
      </c>
      <c r="G125" s="66">
        <f>INDEX(Projects[PS Shuttles],124)</f>
        <v/>
      </c>
      <c r="H125" s="66">
        <f>INDEX(Projects[PS Pallet Locations],124)</f>
        <v/>
      </c>
      <c r="I125" s="66">
        <f>INDEX(Projects[SRM Cranes],124)</f>
        <v/>
      </c>
      <c r="J125" s="66">
        <f>INDEX(Projects[SRM Pallet Locations],124)</f>
        <v/>
      </c>
      <c r="K125" s="66">
        <f>INDEX(Projects[Case Conv (m)],124)</f>
        <v/>
      </c>
      <c r="L125" s="66">
        <f>INDEX(Projects[Pallet Conv (m)],124)</f>
        <v/>
      </c>
      <c r="M125" s="66">
        <f>INDEX(Projects[Mech Eng (wks)],124)</f>
        <v/>
      </c>
      <c r="N125" s="66">
        <f>INDEX(Projects[Controls Eng (wks)],124)</f>
        <v/>
      </c>
      <c r="O125" s="66">
        <f>INDEX(Projects[Systems Eng (wks)],124)</f>
        <v/>
      </c>
      <c r="P125" s="66">
        <f>INDEX(Projects[Software Eng (wks)],124)</f>
        <v/>
      </c>
      <c r="Q125" s="66">
        <f>INDEX(Projects[M&amp;E Installation (wks)],124)</f>
        <v/>
      </c>
      <c r="R125" s="66">
        <f>INDEX(Projects[Commissioning (wks)],124)</f>
        <v/>
      </c>
      <c r="S125" s="66">
        <f>INDEX(Projects[Total Timeline (wks)],124)</f>
        <v/>
      </c>
      <c r="T125" s="66">
        <f>INDEX(Projects[Currency],124)&amp;""</f>
        <v/>
      </c>
      <c r="U125" s="67">
        <f>INDEX(Projects[Value (M)],124)</f>
        <v/>
      </c>
      <c r="V125" s="66">
        <f>IF('Smart Search'!B13=1,IFERROR(1/'Smart Search'!H13,0),0)</f>
        <v/>
      </c>
      <c r="W125" s="66">
        <f>IF('Smart Search'!B13=1,IFERROR(1/'Smart Search'!H13,0),0)</f>
        <v/>
      </c>
      <c r="X125" s="66">
        <f>IF('Smart Search'!C13=1,IFERROR(1/'Smart Search'!H13,0),0)</f>
        <v/>
      </c>
      <c r="Y125" s="66">
        <f>IF('Smart Search'!C13=1,IFERROR(1/'Smart Search'!H13,0),0)</f>
        <v/>
      </c>
      <c r="Z125" s="66">
        <f>IF('Smart Search'!D13=1,IFERROR(1/'Smart Search'!H13,0),0)</f>
        <v/>
      </c>
      <c r="AA125" s="66">
        <f>IF('Smart Search'!D13=1,IFERROR(1/'Smart Search'!H13,0),0)</f>
        <v/>
      </c>
      <c r="AB125" s="66">
        <f>IF('Smart Search'!E13=1,IFERROR(1/'Smart Search'!H13,0),0)</f>
        <v/>
      </c>
      <c r="AC125" s="66">
        <f>IF('Smart Search'!E13=1,IFERROR(1/'Smart Search'!H13,0),0)</f>
        <v/>
      </c>
      <c r="AD125" s="66">
        <f>IF('Smart Search'!F13=1,IFERROR(1/'Smart Search'!H13,0),0)</f>
        <v/>
      </c>
      <c r="AE125" s="66">
        <f>IF('Smart Search'!F13=1,IFERROR(1/'Smart Search'!H13,0),0)</f>
        <v/>
      </c>
      <c r="AF125" s="66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66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66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66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66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66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66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66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66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66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66">
        <f>AF125*V125</f>
        <v/>
      </c>
      <c r="AQ125" s="66">
        <f>AG125*W125</f>
        <v/>
      </c>
      <c r="AR125" s="66">
        <f>AH125*X125</f>
        <v/>
      </c>
      <c r="AS125" s="66">
        <f>AI125*Y125</f>
        <v/>
      </c>
      <c r="AT125" s="66">
        <f>AJ125*Z125</f>
        <v/>
      </c>
      <c r="AU125" s="66">
        <f>AK125*AA125</f>
        <v/>
      </c>
      <c r="AV125" s="66">
        <f>AL125*AB125</f>
        <v/>
      </c>
      <c r="AW125" s="66">
        <f>AM125*AC125</f>
        <v/>
      </c>
      <c r="AX125" s="66">
        <f>AN125*AD125</f>
        <v/>
      </c>
      <c r="AY125" s="66">
        <f>AO125*AE125</f>
        <v/>
      </c>
      <c r="AZ125" s="66">
        <f>INDEX(Projects[Automation Equipment],124)&amp;""</f>
        <v/>
      </c>
      <c r="BA125" s="66">
        <f>IF(OR(A125="",'Smart Search'!H13=0),"",MAX(0,BE125*BF125*MAX(0,1-BG125)))</f>
        <v/>
      </c>
      <c r="BB125" s="66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66">
        <f>IF('Smart Search'!G13=1,IFERROR(1/'Smart Search'!H13,0),0)</f>
        <v/>
      </c>
      <c r="BD125" s="66">
        <f>BB125*BC125</f>
        <v/>
      </c>
      <c r="BE125" s="66">
        <f>AP125+AQ125+AR125+AS125+AT125+AU125+AV125+AW125+AX125+AY125+BD125</f>
        <v/>
      </c>
      <c r="BF125" s="5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5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5">
        <f>IF(AND(A125&lt;&gt;"",OR('Smart Search'!$L$5="",'Smart Search'!$L$5="All",TRIM(BZ125)=TRIM('Smart Search'!$L$5)),OR(TRIM('Smart Search'!$L$6)="",TRIM('Smart Search'!$L$6)="All",ISNUMBER(SEARCH(SUBSTITUTE(SUBSTITUTE(SUBSTITUTE(TRIM('Smart Search'!$L$6),"~","~~"),"*","~*"),"?","~?"),CA125))),OR('Smart Search'!$L$7="",AND(CB125&lt;&gt;0,CB125='Smart Search'!$L$7)),OR('Smart Search'!$L$8="",'Smart Search'!$L$8="All",TRIM(CC125)=TRIM('Smart Search'!$L$8))),IF(BA125="","",BA125+ROW()*0.0000000001),"")</f>
        <v/>
      </c>
      <c r="BI125" s="5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5">
        <f>IF(A125="","",N(INDEX(Projects[Mech Inst],124)))</f>
        <v/>
      </c>
      <c r="BK125" s="5">
        <f>IF(A125="","",N(INDEX(Projects[Elec Inst],124)))</f>
        <v/>
      </c>
      <c r="BL125" s="5">
        <f>IF(A125="","",N(INDEX(Projects[Project Management],124)))</f>
        <v/>
      </c>
      <c r="BM125" s="5">
        <f>IF(A125="","",N(INDEX(Projects[Systems Eng],124)))</f>
        <v/>
      </c>
      <c r="BN125" s="5">
        <f>IF(A125="","",N(INDEX(Projects[Mechanical Eng],124)))</f>
        <v/>
      </c>
      <c r="BO125" s="5">
        <f>IF(A125="","",N(INDEX(Projects[Structural Engineering],124)))</f>
        <v/>
      </c>
      <c r="BP125" s="5">
        <f>IF(A125="","",N(INDEX(Projects[Site Sup],124)))</f>
        <v/>
      </c>
      <c r="BQ125" s="5">
        <f>IF(A125="","",N(INDEX(Projects[Controls Commissioning],124)))</f>
        <v/>
      </c>
      <c r="BR125" s="5">
        <f>IF(A125="","",N(INDEX(Projects[Systems Commissioning],124)))</f>
        <v/>
      </c>
      <c r="BS125" s="5">
        <f>IF(A125="","",N(INDEX(Projects[Service Commissioning],124)))</f>
        <v/>
      </c>
      <c r="BT125" s="5">
        <f>IF(A125="","",N(INDEX(Projects[Controls Eng],124)))</f>
        <v/>
      </c>
      <c r="BU125" s="5">
        <f>IF(A125="","",N(INDEX(Projects[Controls Purchase],124)))</f>
        <v/>
      </c>
      <c r="BV125" s="5">
        <f>IF(A125="","",N(INDEX(Projects[Software Eng],124)))</f>
        <v/>
      </c>
      <c r="BW125" s="5">
        <f>IF(A125="","",N(INDEX(Projects[Misc],124)))</f>
        <v/>
      </c>
      <c r="BX125" s="5">
        <f>IF(A125="","",SUM(BJ125:BW125))</f>
        <v/>
      </c>
      <c r="BY125" s="5">
        <f>IF(A125="","",IFERROR(IF(ISNUMBER(U125),U125,VALUE(SUBSTITUTE(SUBSTITUTE(SUBSTITUTE(UPPER(TRIM(U125)),"M",""),",","")," ",""))),0))</f>
        <v/>
      </c>
      <c r="BZ125" s="5">
        <f>INDEX(Projects[Solution Type],124)&amp;""</f>
        <v/>
      </c>
      <c r="CA125" s="5">
        <f>INDEX(Projects[Client / Region],124)&amp;""</f>
        <v/>
      </c>
      <c r="CB125" s="5">
        <f>INDEX(Projects[Year],124)</f>
        <v/>
      </c>
      <c r="CC125" s="5">
        <f>INDEX(Projects[Won?],124)&amp;""</f>
        <v/>
      </c>
      <c r="CD125" s="5">
        <f>INDEX(Projects[Value (USD M)],124)</f>
        <v/>
      </c>
    </row>
    <row r="126" ht="15" customHeight="1" s="74">
      <c r="A126" s="66">
        <f>INDEX(Projects[Project ID *],125)&amp;""</f>
        <v/>
      </c>
      <c r="B126" s="66">
        <f>INDEX(Projects[Project Name *],125)&amp;""</f>
        <v/>
      </c>
      <c r="C126" s="66">
        <f>INDEX(Projects[MS Shuttles],125)</f>
        <v/>
      </c>
      <c r="D126" s="66">
        <f>INDEX(Projects[MS Tote Locations],125)</f>
        <v/>
      </c>
      <c r="E126" s="66">
        <f>INDEX(Projects[AS Robots],125)</f>
        <v/>
      </c>
      <c r="F126" s="66">
        <f>INDEX(Projects[AS Tote Locations],125)</f>
        <v/>
      </c>
      <c r="G126" s="66">
        <f>INDEX(Projects[PS Shuttles],125)</f>
        <v/>
      </c>
      <c r="H126" s="66">
        <f>INDEX(Projects[PS Pallet Locations],125)</f>
        <v/>
      </c>
      <c r="I126" s="66">
        <f>INDEX(Projects[SRM Cranes],125)</f>
        <v/>
      </c>
      <c r="J126" s="66">
        <f>INDEX(Projects[SRM Pallet Locations],125)</f>
        <v/>
      </c>
      <c r="K126" s="66">
        <f>INDEX(Projects[Case Conv (m)],125)</f>
        <v/>
      </c>
      <c r="L126" s="66">
        <f>INDEX(Projects[Pallet Conv (m)],125)</f>
        <v/>
      </c>
      <c r="M126" s="66">
        <f>INDEX(Projects[Mech Eng (wks)],125)</f>
        <v/>
      </c>
      <c r="N126" s="66">
        <f>INDEX(Projects[Controls Eng (wks)],125)</f>
        <v/>
      </c>
      <c r="O126" s="66">
        <f>INDEX(Projects[Systems Eng (wks)],125)</f>
        <v/>
      </c>
      <c r="P126" s="66">
        <f>INDEX(Projects[Software Eng (wks)],125)</f>
        <v/>
      </c>
      <c r="Q126" s="66">
        <f>INDEX(Projects[M&amp;E Installation (wks)],125)</f>
        <v/>
      </c>
      <c r="R126" s="66">
        <f>INDEX(Projects[Commissioning (wks)],125)</f>
        <v/>
      </c>
      <c r="S126" s="66">
        <f>INDEX(Projects[Total Timeline (wks)],125)</f>
        <v/>
      </c>
      <c r="T126" s="66">
        <f>INDEX(Projects[Currency],125)&amp;""</f>
        <v/>
      </c>
      <c r="U126" s="67">
        <f>INDEX(Projects[Value (M)],125)</f>
        <v/>
      </c>
      <c r="V126" s="66">
        <f>IF('Smart Search'!B13=1,IFERROR(1/'Smart Search'!H13,0),0)</f>
        <v/>
      </c>
      <c r="W126" s="66">
        <f>IF('Smart Search'!B13=1,IFERROR(1/'Smart Search'!H13,0),0)</f>
        <v/>
      </c>
      <c r="X126" s="66">
        <f>IF('Smart Search'!C13=1,IFERROR(1/'Smart Search'!H13,0),0)</f>
        <v/>
      </c>
      <c r="Y126" s="66">
        <f>IF('Smart Search'!C13=1,IFERROR(1/'Smart Search'!H13,0),0)</f>
        <v/>
      </c>
      <c r="Z126" s="66">
        <f>IF('Smart Search'!D13=1,IFERROR(1/'Smart Search'!H13,0),0)</f>
        <v/>
      </c>
      <c r="AA126" s="66">
        <f>IF('Smart Search'!D13=1,IFERROR(1/'Smart Search'!H13,0),0)</f>
        <v/>
      </c>
      <c r="AB126" s="66">
        <f>IF('Smart Search'!E13=1,IFERROR(1/'Smart Search'!H13,0),0)</f>
        <v/>
      </c>
      <c r="AC126" s="66">
        <f>IF('Smart Search'!E13=1,IFERROR(1/'Smart Search'!H13,0),0)</f>
        <v/>
      </c>
      <c r="AD126" s="66">
        <f>IF('Smart Search'!F13=1,IFERROR(1/'Smart Search'!H13,0),0)</f>
        <v/>
      </c>
      <c r="AE126" s="66">
        <f>IF('Smart Search'!F13=1,IFERROR(1/'Smart Search'!H13,0),0)</f>
        <v/>
      </c>
      <c r="AF126" s="66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66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66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66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66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66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66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66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66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66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66">
        <f>AF126*V126</f>
        <v/>
      </c>
      <c r="AQ126" s="66">
        <f>AG126*W126</f>
        <v/>
      </c>
      <c r="AR126" s="66">
        <f>AH126*X126</f>
        <v/>
      </c>
      <c r="AS126" s="66">
        <f>AI126*Y126</f>
        <v/>
      </c>
      <c r="AT126" s="66">
        <f>AJ126*Z126</f>
        <v/>
      </c>
      <c r="AU126" s="66">
        <f>AK126*AA126</f>
        <v/>
      </c>
      <c r="AV126" s="66">
        <f>AL126*AB126</f>
        <v/>
      </c>
      <c r="AW126" s="66">
        <f>AM126*AC126</f>
        <v/>
      </c>
      <c r="AX126" s="66">
        <f>AN126*AD126</f>
        <v/>
      </c>
      <c r="AY126" s="66">
        <f>AO126*AE126</f>
        <v/>
      </c>
      <c r="AZ126" s="66">
        <f>INDEX(Projects[Automation Equipment],125)&amp;""</f>
        <v/>
      </c>
      <c r="BA126" s="66">
        <f>IF(OR(A126="",'Smart Search'!H13=0),"",MAX(0,BE126*BF126*MAX(0,1-BG126)))</f>
        <v/>
      </c>
      <c r="BB126" s="66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66">
        <f>IF('Smart Search'!G13=1,IFERROR(1/'Smart Search'!H13,0),0)</f>
        <v/>
      </c>
      <c r="BD126" s="66">
        <f>BB126*BC126</f>
        <v/>
      </c>
      <c r="BE126" s="66">
        <f>AP126+AQ126+AR126+AS126+AT126+AU126+AV126+AW126+AX126+AY126+BD126</f>
        <v/>
      </c>
      <c r="BF126" s="5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5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5">
        <f>IF(AND(A126&lt;&gt;"",OR('Smart Search'!$L$5="",'Smart Search'!$L$5="All",TRIM(BZ126)=TRIM('Smart Search'!$L$5)),OR(TRIM('Smart Search'!$L$6)="",TRIM('Smart Search'!$L$6)="All",ISNUMBER(SEARCH(SUBSTITUTE(SUBSTITUTE(SUBSTITUTE(TRIM('Smart Search'!$L$6),"~","~~"),"*","~*"),"?","~?"),CA126))),OR('Smart Search'!$L$7="",AND(CB126&lt;&gt;0,CB126='Smart Search'!$L$7)),OR('Smart Search'!$L$8="",'Smart Search'!$L$8="All",TRIM(CC126)=TRIM('Smart Search'!$L$8))),IF(BA126="","",BA126+ROW()*0.0000000001),"")</f>
        <v/>
      </c>
      <c r="BI126" s="5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5">
        <f>IF(A126="","",N(INDEX(Projects[Mech Inst],125)))</f>
        <v/>
      </c>
      <c r="BK126" s="5">
        <f>IF(A126="","",N(INDEX(Projects[Elec Inst],125)))</f>
        <v/>
      </c>
      <c r="BL126" s="5">
        <f>IF(A126="","",N(INDEX(Projects[Project Management],125)))</f>
        <v/>
      </c>
      <c r="BM126" s="5">
        <f>IF(A126="","",N(INDEX(Projects[Systems Eng],125)))</f>
        <v/>
      </c>
      <c r="BN126" s="5">
        <f>IF(A126="","",N(INDEX(Projects[Mechanical Eng],125)))</f>
        <v/>
      </c>
      <c r="BO126" s="5">
        <f>IF(A126="","",N(INDEX(Projects[Structural Engineering],125)))</f>
        <v/>
      </c>
      <c r="BP126" s="5">
        <f>IF(A126="","",N(INDEX(Projects[Site Sup],125)))</f>
        <v/>
      </c>
      <c r="BQ126" s="5">
        <f>IF(A126="","",N(INDEX(Projects[Controls Commissioning],125)))</f>
        <v/>
      </c>
      <c r="BR126" s="5">
        <f>IF(A126="","",N(INDEX(Projects[Systems Commissioning],125)))</f>
        <v/>
      </c>
      <c r="BS126" s="5">
        <f>IF(A126="","",N(INDEX(Projects[Service Commissioning],125)))</f>
        <v/>
      </c>
      <c r="BT126" s="5">
        <f>IF(A126="","",N(INDEX(Projects[Controls Eng],125)))</f>
        <v/>
      </c>
      <c r="BU126" s="5">
        <f>IF(A126="","",N(INDEX(Projects[Controls Purchase],125)))</f>
        <v/>
      </c>
      <c r="BV126" s="5">
        <f>IF(A126="","",N(INDEX(Projects[Software Eng],125)))</f>
        <v/>
      </c>
      <c r="BW126" s="5">
        <f>IF(A126="","",N(INDEX(Projects[Misc],125)))</f>
        <v/>
      </c>
      <c r="BX126" s="5">
        <f>IF(A126="","",SUM(BJ126:BW126))</f>
        <v/>
      </c>
      <c r="BY126" s="5">
        <f>IF(A126="","",IFERROR(IF(ISNUMBER(U126),U126,VALUE(SUBSTITUTE(SUBSTITUTE(SUBSTITUTE(UPPER(TRIM(U126)),"M",""),",","")," ",""))),0))</f>
        <v/>
      </c>
      <c r="BZ126" s="5">
        <f>INDEX(Projects[Solution Type],125)&amp;""</f>
        <v/>
      </c>
      <c r="CA126" s="5">
        <f>INDEX(Projects[Client / Region],125)&amp;""</f>
        <v/>
      </c>
      <c r="CB126" s="5">
        <f>INDEX(Projects[Year],125)</f>
        <v/>
      </c>
      <c r="CC126" s="5">
        <f>INDEX(Projects[Won?],125)&amp;""</f>
        <v/>
      </c>
      <c r="CD126" s="5">
        <f>INDEX(Projects[Value (USD M)],125)</f>
        <v/>
      </c>
    </row>
    <row r="127" ht="15" customHeight="1" s="74">
      <c r="A127" s="66">
        <f>INDEX(Projects[Project ID *],126)&amp;""</f>
        <v/>
      </c>
      <c r="B127" s="66">
        <f>INDEX(Projects[Project Name *],126)&amp;""</f>
        <v/>
      </c>
      <c r="C127" s="66">
        <f>INDEX(Projects[MS Shuttles],126)</f>
        <v/>
      </c>
      <c r="D127" s="66">
        <f>INDEX(Projects[MS Tote Locations],126)</f>
        <v/>
      </c>
      <c r="E127" s="66">
        <f>INDEX(Projects[AS Robots],126)</f>
        <v/>
      </c>
      <c r="F127" s="66">
        <f>INDEX(Projects[AS Tote Locations],126)</f>
        <v/>
      </c>
      <c r="G127" s="66">
        <f>INDEX(Projects[PS Shuttles],126)</f>
        <v/>
      </c>
      <c r="H127" s="66">
        <f>INDEX(Projects[PS Pallet Locations],126)</f>
        <v/>
      </c>
      <c r="I127" s="66">
        <f>INDEX(Projects[SRM Cranes],126)</f>
        <v/>
      </c>
      <c r="J127" s="66">
        <f>INDEX(Projects[SRM Pallet Locations],126)</f>
        <v/>
      </c>
      <c r="K127" s="66">
        <f>INDEX(Projects[Case Conv (m)],126)</f>
        <v/>
      </c>
      <c r="L127" s="66">
        <f>INDEX(Projects[Pallet Conv (m)],126)</f>
        <v/>
      </c>
      <c r="M127" s="66">
        <f>INDEX(Projects[Mech Eng (wks)],126)</f>
        <v/>
      </c>
      <c r="N127" s="66">
        <f>INDEX(Projects[Controls Eng (wks)],126)</f>
        <v/>
      </c>
      <c r="O127" s="66">
        <f>INDEX(Projects[Systems Eng (wks)],126)</f>
        <v/>
      </c>
      <c r="P127" s="66">
        <f>INDEX(Projects[Software Eng (wks)],126)</f>
        <v/>
      </c>
      <c r="Q127" s="66">
        <f>INDEX(Projects[M&amp;E Installation (wks)],126)</f>
        <v/>
      </c>
      <c r="R127" s="66">
        <f>INDEX(Projects[Commissioning (wks)],126)</f>
        <v/>
      </c>
      <c r="S127" s="66">
        <f>INDEX(Projects[Total Timeline (wks)],126)</f>
        <v/>
      </c>
      <c r="T127" s="66">
        <f>INDEX(Projects[Currency],126)&amp;""</f>
        <v/>
      </c>
      <c r="U127" s="67">
        <f>INDEX(Projects[Value (M)],126)</f>
        <v/>
      </c>
      <c r="V127" s="66">
        <f>IF('Smart Search'!B13=1,IFERROR(1/'Smart Search'!H13,0),0)</f>
        <v/>
      </c>
      <c r="W127" s="66">
        <f>IF('Smart Search'!B13=1,IFERROR(1/'Smart Search'!H13,0),0)</f>
        <v/>
      </c>
      <c r="X127" s="66">
        <f>IF('Smart Search'!C13=1,IFERROR(1/'Smart Search'!H13,0),0)</f>
        <v/>
      </c>
      <c r="Y127" s="66">
        <f>IF('Smart Search'!C13=1,IFERROR(1/'Smart Search'!H13,0),0)</f>
        <v/>
      </c>
      <c r="Z127" s="66">
        <f>IF('Smart Search'!D13=1,IFERROR(1/'Smart Search'!H13,0),0)</f>
        <v/>
      </c>
      <c r="AA127" s="66">
        <f>IF('Smart Search'!D13=1,IFERROR(1/'Smart Search'!H13,0),0)</f>
        <v/>
      </c>
      <c r="AB127" s="66">
        <f>IF('Smart Search'!E13=1,IFERROR(1/'Smart Search'!H13,0),0)</f>
        <v/>
      </c>
      <c r="AC127" s="66">
        <f>IF('Smart Search'!E13=1,IFERROR(1/'Smart Search'!H13,0),0)</f>
        <v/>
      </c>
      <c r="AD127" s="66">
        <f>IF('Smart Search'!F13=1,IFERROR(1/'Smart Search'!H13,0),0)</f>
        <v/>
      </c>
      <c r="AE127" s="66">
        <f>IF('Smart Search'!F13=1,IFERROR(1/'Smart Search'!H13,0),0)</f>
        <v/>
      </c>
      <c r="AF127" s="66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66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66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66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66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66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66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66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66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66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66">
        <f>AF127*V127</f>
        <v/>
      </c>
      <c r="AQ127" s="66">
        <f>AG127*W127</f>
        <v/>
      </c>
      <c r="AR127" s="66">
        <f>AH127*X127</f>
        <v/>
      </c>
      <c r="AS127" s="66">
        <f>AI127*Y127</f>
        <v/>
      </c>
      <c r="AT127" s="66">
        <f>AJ127*Z127</f>
        <v/>
      </c>
      <c r="AU127" s="66">
        <f>AK127*AA127</f>
        <v/>
      </c>
      <c r="AV127" s="66">
        <f>AL127*AB127</f>
        <v/>
      </c>
      <c r="AW127" s="66">
        <f>AM127*AC127</f>
        <v/>
      </c>
      <c r="AX127" s="66">
        <f>AN127*AD127</f>
        <v/>
      </c>
      <c r="AY127" s="66">
        <f>AO127*AE127</f>
        <v/>
      </c>
      <c r="AZ127" s="66">
        <f>INDEX(Projects[Automation Equipment],126)&amp;""</f>
        <v/>
      </c>
      <c r="BA127" s="66">
        <f>IF(OR(A127="",'Smart Search'!H13=0),"",MAX(0,BE127*BF127*MAX(0,1-BG127)))</f>
        <v/>
      </c>
      <c r="BB127" s="66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66">
        <f>IF('Smart Search'!G13=1,IFERROR(1/'Smart Search'!H13,0),0)</f>
        <v/>
      </c>
      <c r="BD127" s="66">
        <f>BB127*BC127</f>
        <v/>
      </c>
      <c r="BE127" s="66">
        <f>AP127+AQ127+AR127+AS127+AT127+AU127+AV127+AW127+AX127+AY127+BD127</f>
        <v/>
      </c>
      <c r="BF127" s="5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5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5">
        <f>IF(AND(A127&lt;&gt;"",OR('Smart Search'!$L$5="",'Smart Search'!$L$5="All",TRIM(BZ127)=TRIM('Smart Search'!$L$5)),OR(TRIM('Smart Search'!$L$6)="",TRIM('Smart Search'!$L$6)="All",ISNUMBER(SEARCH(SUBSTITUTE(SUBSTITUTE(SUBSTITUTE(TRIM('Smart Search'!$L$6),"~","~~"),"*","~*"),"?","~?"),CA127))),OR('Smart Search'!$L$7="",AND(CB127&lt;&gt;0,CB127='Smart Search'!$L$7)),OR('Smart Search'!$L$8="",'Smart Search'!$L$8="All",TRIM(CC127)=TRIM('Smart Search'!$L$8))),IF(BA127="","",BA127+ROW()*0.0000000001),"")</f>
        <v/>
      </c>
      <c r="BI127" s="5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5">
        <f>IF(A127="","",N(INDEX(Projects[Mech Inst],126)))</f>
        <v/>
      </c>
      <c r="BK127" s="5">
        <f>IF(A127="","",N(INDEX(Projects[Elec Inst],126)))</f>
        <v/>
      </c>
      <c r="BL127" s="5">
        <f>IF(A127="","",N(INDEX(Projects[Project Management],126)))</f>
        <v/>
      </c>
      <c r="BM127" s="5">
        <f>IF(A127="","",N(INDEX(Projects[Systems Eng],126)))</f>
        <v/>
      </c>
      <c r="BN127" s="5">
        <f>IF(A127="","",N(INDEX(Projects[Mechanical Eng],126)))</f>
        <v/>
      </c>
      <c r="BO127" s="5">
        <f>IF(A127="","",N(INDEX(Projects[Structural Engineering],126)))</f>
        <v/>
      </c>
      <c r="BP127" s="5">
        <f>IF(A127="","",N(INDEX(Projects[Site Sup],126)))</f>
        <v/>
      </c>
      <c r="BQ127" s="5">
        <f>IF(A127="","",N(INDEX(Projects[Controls Commissioning],126)))</f>
        <v/>
      </c>
      <c r="BR127" s="5">
        <f>IF(A127="","",N(INDEX(Projects[Systems Commissioning],126)))</f>
        <v/>
      </c>
      <c r="BS127" s="5">
        <f>IF(A127="","",N(INDEX(Projects[Service Commissioning],126)))</f>
        <v/>
      </c>
      <c r="BT127" s="5">
        <f>IF(A127="","",N(INDEX(Projects[Controls Eng],126)))</f>
        <v/>
      </c>
      <c r="BU127" s="5">
        <f>IF(A127="","",N(INDEX(Projects[Controls Purchase],126)))</f>
        <v/>
      </c>
      <c r="BV127" s="5">
        <f>IF(A127="","",N(INDEX(Projects[Software Eng],126)))</f>
        <v/>
      </c>
      <c r="BW127" s="5">
        <f>IF(A127="","",N(INDEX(Projects[Misc],126)))</f>
        <v/>
      </c>
      <c r="BX127" s="5">
        <f>IF(A127="","",SUM(BJ127:BW127))</f>
        <v/>
      </c>
      <c r="BY127" s="5">
        <f>IF(A127="","",IFERROR(IF(ISNUMBER(U127),U127,VALUE(SUBSTITUTE(SUBSTITUTE(SUBSTITUTE(UPPER(TRIM(U127)),"M",""),",","")," ",""))),0))</f>
        <v/>
      </c>
      <c r="BZ127" s="5">
        <f>INDEX(Projects[Solution Type],126)&amp;""</f>
        <v/>
      </c>
      <c r="CA127" s="5">
        <f>INDEX(Projects[Client / Region],126)&amp;""</f>
        <v/>
      </c>
      <c r="CB127" s="5">
        <f>INDEX(Projects[Year],126)</f>
        <v/>
      </c>
      <c r="CC127" s="5">
        <f>INDEX(Projects[Won?],126)&amp;""</f>
        <v/>
      </c>
      <c r="CD127" s="5">
        <f>INDEX(Projects[Value (USD M)],126)</f>
        <v/>
      </c>
    </row>
    <row r="128" ht="15" customHeight="1" s="74">
      <c r="A128" s="66">
        <f>INDEX(Projects[Project ID *],127)&amp;""</f>
        <v/>
      </c>
      <c r="B128" s="66">
        <f>INDEX(Projects[Project Name *],127)&amp;""</f>
        <v/>
      </c>
      <c r="C128" s="66">
        <f>INDEX(Projects[MS Shuttles],127)</f>
        <v/>
      </c>
      <c r="D128" s="66">
        <f>INDEX(Projects[MS Tote Locations],127)</f>
        <v/>
      </c>
      <c r="E128" s="66">
        <f>INDEX(Projects[AS Robots],127)</f>
        <v/>
      </c>
      <c r="F128" s="66">
        <f>INDEX(Projects[AS Tote Locations],127)</f>
        <v/>
      </c>
      <c r="G128" s="66">
        <f>INDEX(Projects[PS Shuttles],127)</f>
        <v/>
      </c>
      <c r="H128" s="66">
        <f>INDEX(Projects[PS Pallet Locations],127)</f>
        <v/>
      </c>
      <c r="I128" s="66">
        <f>INDEX(Projects[SRM Cranes],127)</f>
        <v/>
      </c>
      <c r="J128" s="66">
        <f>INDEX(Projects[SRM Pallet Locations],127)</f>
        <v/>
      </c>
      <c r="K128" s="66">
        <f>INDEX(Projects[Case Conv (m)],127)</f>
        <v/>
      </c>
      <c r="L128" s="66">
        <f>INDEX(Projects[Pallet Conv (m)],127)</f>
        <v/>
      </c>
      <c r="M128" s="66">
        <f>INDEX(Projects[Mech Eng (wks)],127)</f>
        <v/>
      </c>
      <c r="N128" s="66">
        <f>INDEX(Projects[Controls Eng (wks)],127)</f>
        <v/>
      </c>
      <c r="O128" s="66">
        <f>INDEX(Projects[Systems Eng (wks)],127)</f>
        <v/>
      </c>
      <c r="P128" s="66">
        <f>INDEX(Projects[Software Eng (wks)],127)</f>
        <v/>
      </c>
      <c r="Q128" s="66">
        <f>INDEX(Projects[M&amp;E Installation (wks)],127)</f>
        <v/>
      </c>
      <c r="R128" s="66">
        <f>INDEX(Projects[Commissioning (wks)],127)</f>
        <v/>
      </c>
      <c r="S128" s="66">
        <f>INDEX(Projects[Total Timeline (wks)],127)</f>
        <v/>
      </c>
      <c r="T128" s="66">
        <f>INDEX(Projects[Currency],127)&amp;""</f>
        <v/>
      </c>
      <c r="U128" s="67">
        <f>INDEX(Projects[Value (M)],127)</f>
        <v/>
      </c>
      <c r="V128" s="66">
        <f>IF('Smart Search'!B13=1,IFERROR(1/'Smart Search'!H13,0),0)</f>
        <v/>
      </c>
      <c r="W128" s="66">
        <f>IF('Smart Search'!B13=1,IFERROR(1/'Smart Search'!H13,0),0)</f>
        <v/>
      </c>
      <c r="X128" s="66">
        <f>IF('Smart Search'!C13=1,IFERROR(1/'Smart Search'!H13,0),0)</f>
        <v/>
      </c>
      <c r="Y128" s="66">
        <f>IF('Smart Search'!C13=1,IFERROR(1/'Smart Search'!H13,0),0)</f>
        <v/>
      </c>
      <c r="Z128" s="66">
        <f>IF('Smart Search'!D13=1,IFERROR(1/'Smart Search'!H13,0),0)</f>
        <v/>
      </c>
      <c r="AA128" s="66">
        <f>IF('Smart Search'!D13=1,IFERROR(1/'Smart Search'!H13,0),0)</f>
        <v/>
      </c>
      <c r="AB128" s="66">
        <f>IF('Smart Search'!E13=1,IFERROR(1/'Smart Search'!H13,0),0)</f>
        <v/>
      </c>
      <c r="AC128" s="66">
        <f>IF('Smart Search'!E13=1,IFERROR(1/'Smart Search'!H13,0),0)</f>
        <v/>
      </c>
      <c r="AD128" s="66">
        <f>IF('Smart Search'!F13=1,IFERROR(1/'Smart Search'!H13,0),0)</f>
        <v/>
      </c>
      <c r="AE128" s="66">
        <f>IF('Smart Search'!F13=1,IFERROR(1/'Smart Search'!H13,0),0)</f>
        <v/>
      </c>
      <c r="AF128" s="66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66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66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66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66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66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66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66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66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66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66">
        <f>AF128*V128</f>
        <v/>
      </c>
      <c r="AQ128" s="66">
        <f>AG128*W128</f>
        <v/>
      </c>
      <c r="AR128" s="66">
        <f>AH128*X128</f>
        <v/>
      </c>
      <c r="AS128" s="66">
        <f>AI128*Y128</f>
        <v/>
      </c>
      <c r="AT128" s="66">
        <f>AJ128*Z128</f>
        <v/>
      </c>
      <c r="AU128" s="66">
        <f>AK128*AA128</f>
        <v/>
      </c>
      <c r="AV128" s="66">
        <f>AL128*AB128</f>
        <v/>
      </c>
      <c r="AW128" s="66">
        <f>AM128*AC128</f>
        <v/>
      </c>
      <c r="AX128" s="66">
        <f>AN128*AD128</f>
        <v/>
      </c>
      <c r="AY128" s="66">
        <f>AO128*AE128</f>
        <v/>
      </c>
      <c r="AZ128" s="66">
        <f>INDEX(Projects[Automation Equipment],127)&amp;""</f>
        <v/>
      </c>
      <c r="BA128" s="66">
        <f>IF(OR(A128="",'Smart Search'!H13=0),"",MAX(0,BE128*BF128*MAX(0,1-BG128)))</f>
        <v/>
      </c>
      <c r="BB128" s="66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66">
        <f>IF('Smart Search'!G13=1,IFERROR(1/'Smart Search'!H13,0),0)</f>
        <v/>
      </c>
      <c r="BD128" s="66">
        <f>BB128*BC128</f>
        <v/>
      </c>
      <c r="BE128" s="66">
        <f>AP128+AQ128+AR128+AS128+AT128+AU128+AV128+AW128+AX128+AY128+BD128</f>
        <v/>
      </c>
      <c r="BF128" s="5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5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5">
        <f>IF(AND(A128&lt;&gt;"",OR('Smart Search'!$L$5="",'Smart Search'!$L$5="All",TRIM(BZ128)=TRIM('Smart Search'!$L$5)),OR(TRIM('Smart Search'!$L$6)="",TRIM('Smart Search'!$L$6)="All",ISNUMBER(SEARCH(SUBSTITUTE(SUBSTITUTE(SUBSTITUTE(TRIM('Smart Search'!$L$6),"~","~~"),"*","~*"),"?","~?"),CA128))),OR('Smart Search'!$L$7="",AND(CB128&lt;&gt;0,CB128='Smart Search'!$L$7)),OR('Smart Search'!$L$8="",'Smart Search'!$L$8="All",TRIM(CC128)=TRIM('Smart Search'!$L$8))),IF(BA128="","",BA128+ROW()*0.0000000001),"")</f>
        <v/>
      </c>
      <c r="BI128" s="5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5">
        <f>IF(A128="","",N(INDEX(Projects[Mech Inst],127)))</f>
        <v/>
      </c>
      <c r="BK128" s="5">
        <f>IF(A128="","",N(INDEX(Projects[Elec Inst],127)))</f>
        <v/>
      </c>
      <c r="BL128" s="5">
        <f>IF(A128="","",N(INDEX(Projects[Project Management],127)))</f>
        <v/>
      </c>
      <c r="BM128" s="5">
        <f>IF(A128="","",N(INDEX(Projects[Systems Eng],127)))</f>
        <v/>
      </c>
      <c r="BN128" s="5">
        <f>IF(A128="","",N(INDEX(Projects[Mechanical Eng],127)))</f>
        <v/>
      </c>
      <c r="BO128" s="5">
        <f>IF(A128="","",N(INDEX(Projects[Structural Engineering],127)))</f>
        <v/>
      </c>
      <c r="BP128" s="5">
        <f>IF(A128="","",N(INDEX(Projects[Site Sup],127)))</f>
        <v/>
      </c>
      <c r="BQ128" s="5">
        <f>IF(A128="","",N(INDEX(Projects[Controls Commissioning],127)))</f>
        <v/>
      </c>
      <c r="BR128" s="5">
        <f>IF(A128="","",N(INDEX(Projects[Systems Commissioning],127)))</f>
        <v/>
      </c>
      <c r="BS128" s="5">
        <f>IF(A128="","",N(INDEX(Projects[Service Commissioning],127)))</f>
        <v/>
      </c>
      <c r="BT128" s="5">
        <f>IF(A128="","",N(INDEX(Projects[Controls Eng],127)))</f>
        <v/>
      </c>
      <c r="BU128" s="5">
        <f>IF(A128="","",N(INDEX(Projects[Controls Purchase],127)))</f>
        <v/>
      </c>
      <c r="BV128" s="5">
        <f>IF(A128="","",N(INDEX(Projects[Software Eng],127)))</f>
        <v/>
      </c>
      <c r="BW128" s="5">
        <f>IF(A128="","",N(INDEX(Projects[Misc],127)))</f>
        <v/>
      </c>
      <c r="BX128" s="5">
        <f>IF(A128="","",SUM(BJ128:BW128))</f>
        <v/>
      </c>
      <c r="BY128" s="5">
        <f>IF(A128="","",IFERROR(IF(ISNUMBER(U128),U128,VALUE(SUBSTITUTE(SUBSTITUTE(SUBSTITUTE(UPPER(TRIM(U128)),"M",""),",","")," ",""))),0))</f>
        <v/>
      </c>
      <c r="BZ128" s="5">
        <f>INDEX(Projects[Solution Type],127)&amp;""</f>
        <v/>
      </c>
      <c r="CA128" s="5">
        <f>INDEX(Projects[Client / Region],127)&amp;""</f>
        <v/>
      </c>
      <c r="CB128" s="5">
        <f>INDEX(Projects[Year],127)</f>
        <v/>
      </c>
      <c r="CC128" s="5">
        <f>INDEX(Projects[Won?],127)&amp;""</f>
        <v/>
      </c>
      <c r="CD128" s="5">
        <f>INDEX(Projects[Value (USD M)],127)</f>
        <v/>
      </c>
    </row>
    <row r="129" ht="15" customHeight="1" s="74">
      <c r="A129" s="66">
        <f>INDEX(Projects[Project ID *],128)&amp;""</f>
        <v/>
      </c>
      <c r="B129" s="66">
        <f>INDEX(Projects[Project Name *],128)&amp;""</f>
        <v/>
      </c>
      <c r="C129" s="66">
        <f>INDEX(Projects[MS Shuttles],128)</f>
        <v/>
      </c>
      <c r="D129" s="66">
        <f>INDEX(Projects[MS Tote Locations],128)</f>
        <v/>
      </c>
      <c r="E129" s="66">
        <f>INDEX(Projects[AS Robots],128)</f>
        <v/>
      </c>
      <c r="F129" s="66">
        <f>INDEX(Projects[AS Tote Locations],128)</f>
        <v/>
      </c>
      <c r="G129" s="66">
        <f>INDEX(Projects[PS Shuttles],128)</f>
        <v/>
      </c>
      <c r="H129" s="66">
        <f>INDEX(Projects[PS Pallet Locations],128)</f>
        <v/>
      </c>
      <c r="I129" s="66">
        <f>INDEX(Projects[SRM Cranes],128)</f>
        <v/>
      </c>
      <c r="J129" s="66">
        <f>INDEX(Projects[SRM Pallet Locations],128)</f>
        <v/>
      </c>
      <c r="K129" s="66">
        <f>INDEX(Projects[Case Conv (m)],128)</f>
        <v/>
      </c>
      <c r="L129" s="66">
        <f>INDEX(Projects[Pallet Conv (m)],128)</f>
        <v/>
      </c>
      <c r="M129" s="66">
        <f>INDEX(Projects[Mech Eng (wks)],128)</f>
        <v/>
      </c>
      <c r="N129" s="66">
        <f>INDEX(Projects[Controls Eng (wks)],128)</f>
        <v/>
      </c>
      <c r="O129" s="66">
        <f>INDEX(Projects[Systems Eng (wks)],128)</f>
        <v/>
      </c>
      <c r="P129" s="66">
        <f>INDEX(Projects[Software Eng (wks)],128)</f>
        <v/>
      </c>
      <c r="Q129" s="66">
        <f>INDEX(Projects[M&amp;E Installation (wks)],128)</f>
        <v/>
      </c>
      <c r="R129" s="66">
        <f>INDEX(Projects[Commissioning (wks)],128)</f>
        <v/>
      </c>
      <c r="S129" s="66">
        <f>INDEX(Projects[Total Timeline (wks)],128)</f>
        <v/>
      </c>
      <c r="T129" s="66">
        <f>INDEX(Projects[Currency],128)&amp;""</f>
        <v/>
      </c>
      <c r="U129" s="67">
        <f>INDEX(Projects[Value (M)],128)</f>
        <v/>
      </c>
      <c r="V129" s="66">
        <f>IF('Smart Search'!B13=1,IFERROR(1/'Smart Search'!H13,0),0)</f>
        <v/>
      </c>
      <c r="W129" s="66">
        <f>IF('Smart Search'!B13=1,IFERROR(1/'Smart Search'!H13,0),0)</f>
        <v/>
      </c>
      <c r="X129" s="66">
        <f>IF('Smart Search'!C13=1,IFERROR(1/'Smart Search'!H13,0),0)</f>
        <v/>
      </c>
      <c r="Y129" s="66">
        <f>IF('Smart Search'!C13=1,IFERROR(1/'Smart Search'!H13,0),0)</f>
        <v/>
      </c>
      <c r="Z129" s="66">
        <f>IF('Smart Search'!D13=1,IFERROR(1/'Smart Search'!H13,0),0)</f>
        <v/>
      </c>
      <c r="AA129" s="66">
        <f>IF('Smart Search'!D13=1,IFERROR(1/'Smart Search'!H13,0),0)</f>
        <v/>
      </c>
      <c r="AB129" s="66">
        <f>IF('Smart Search'!E13=1,IFERROR(1/'Smart Search'!H13,0),0)</f>
        <v/>
      </c>
      <c r="AC129" s="66">
        <f>IF('Smart Search'!E13=1,IFERROR(1/'Smart Search'!H13,0),0)</f>
        <v/>
      </c>
      <c r="AD129" s="66">
        <f>IF('Smart Search'!F13=1,IFERROR(1/'Smart Search'!H13,0),0)</f>
        <v/>
      </c>
      <c r="AE129" s="66">
        <f>IF('Smart Search'!F13=1,IFERROR(1/'Smart Search'!H13,0),0)</f>
        <v/>
      </c>
      <c r="AF129" s="66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66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66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66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66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66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66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66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66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66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66">
        <f>AF129*V129</f>
        <v/>
      </c>
      <c r="AQ129" s="66">
        <f>AG129*W129</f>
        <v/>
      </c>
      <c r="AR129" s="66">
        <f>AH129*X129</f>
        <v/>
      </c>
      <c r="AS129" s="66">
        <f>AI129*Y129</f>
        <v/>
      </c>
      <c r="AT129" s="66">
        <f>AJ129*Z129</f>
        <v/>
      </c>
      <c r="AU129" s="66">
        <f>AK129*AA129</f>
        <v/>
      </c>
      <c r="AV129" s="66">
        <f>AL129*AB129</f>
        <v/>
      </c>
      <c r="AW129" s="66">
        <f>AM129*AC129</f>
        <v/>
      </c>
      <c r="AX129" s="66">
        <f>AN129*AD129</f>
        <v/>
      </c>
      <c r="AY129" s="66">
        <f>AO129*AE129</f>
        <v/>
      </c>
      <c r="AZ129" s="66">
        <f>INDEX(Projects[Automation Equipment],128)&amp;""</f>
        <v/>
      </c>
      <c r="BA129" s="66">
        <f>IF(OR(A129="",'Smart Search'!H13=0),"",MAX(0,BE129*BF129*MAX(0,1-BG129)))</f>
        <v/>
      </c>
      <c r="BB129" s="66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66">
        <f>IF('Smart Search'!G13=1,IFERROR(1/'Smart Search'!H13,0),0)</f>
        <v/>
      </c>
      <c r="BD129" s="66">
        <f>BB129*BC129</f>
        <v/>
      </c>
      <c r="BE129" s="66">
        <f>AP129+AQ129+AR129+AS129+AT129+AU129+AV129+AW129+AX129+AY129+BD129</f>
        <v/>
      </c>
      <c r="BF129" s="5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5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5">
        <f>IF(AND(A129&lt;&gt;"",OR('Smart Search'!$L$5="",'Smart Search'!$L$5="All",TRIM(BZ129)=TRIM('Smart Search'!$L$5)),OR(TRIM('Smart Search'!$L$6)="",TRIM('Smart Search'!$L$6)="All",ISNUMBER(SEARCH(SUBSTITUTE(SUBSTITUTE(SUBSTITUTE(TRIM('Smart Search'!$L$6),"~","~~"),"*","~*"),"?","~?"),CA129))),OR('Smart Search'!$L$7="",AND(CB129&lt;&gt;0,CB129='Smart Search'!$L$7)),OR('Smart Search'!$L$8="",'Smart Search'!$L$8="All",TRIM(CC129)=TRIM('Smart Search'!$L$8))),IF(BA129="","",BA129+ROW()*0.0000000001),"")</f>
        <v/>
      </c>
      <c r="BI129" s="5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5">
        <f>IF(A129="","",N(INDEX(Projects[Mech Inst],128)))</f>
        <v/>
      </c>
      <c r="BK129" s="5">
        <f>IF(A129="","",N(INDEX(Projects[Elec Inst],128)))</f>
        <v/>
      </c>
      <c r="BL129" s="5">
        <f>IF(A129="","",N(INDEX(Projects[Project Management],128)))</f>
        <v/>
      </c>
      <c r="BM129" s="5">
        <f>IF(A129="","",N(INDEX(Projects[Systems Eng],128)))</f>
        <v/>
      </c>
      <c r="BN129" s="5">
        <f>IF(A129="","",N(INDEX(Projects[Mechanical Eng],128)))</f>
        <v/>
      </c>
      <c r="BO129" s="5">
        <f>IF(A129="","",N(INDEX(Projects[Structural Engineering],128)))</f>
        <v/>
      </c>
      <c r="BP129" s="5">
        <f>IF(A129="","",N(INDEX(Projects[Site Sup],128)))</f>
        <v/>
      </c>
      <c r="BQ129" s="5">
        <f>IF(A129="","",N(INDEX(Projects[Controls Commissioning],128)))</f>
        <v/>
      </c>
      <c r="BR129" s="5">
        <f>IF(A129="","",N(INDEX(Projects[Systems Commissioning],128)))</f>
        <v/>
      </c>
      <c r="BS129" s="5">
        <f>IF(A129="","",N(INDEX(Projects[Service Commissioning],128)))</f>
        <v/>
      </c>
      <c r="BT129" s="5">
        <f>IF(A129="","",N(INDEX(Projects[Controls Eng],128)))</f>
        <v/>
      </c>
      <c r="BU129" s="5">
        <f>IF(A129="","",N(INDEX(Projects[Controls Purchase],128)))</f>
        <v/>
      </c>
      <c r="BV129" s="5">
        <f>IF(A129="","",N(INDEX(Projects[Software Eng],128)))</f>
        <v/>
      </c>
      <c r="BW129" s="5">
        <f>IF(A129="","",N(INDEX(Projects[Misc],128)))</f>
        <v/>
      </c>
      <c r="BX129" s="5">
        <f>IF(A129="","",SUM(BJ129:BW129))</f>
        <v/>
      </c>
      <c r="BY129" s="5">
        <f>IF(A129="","",IFERROR(IF(ISNUMBER(U129),U129,VALUE(SUBSTITUTE(SUBSTITUTE(SUBSTITUTE(UPPER(TRIM(U129)),"M",""),",","")," ",""))),0))</f>
        <v/>
      </c>
      <c r="BZ129" s="5">
        <f>INDEX(Projects[Solution Type],128)&amp;""</f>
        <v/>
      </c>
      <c r="CA129" s="5">
        <f>INDEX(Projects[Client / Region],128)&amp;""</f>
        <v/>
      </c>
      <c r="CB129" s="5">
        <f>INDEX(Projects[Year],128)</f>
        <v/>
      </c>
      <c r="CC129" s="5">
        <f>INDEX(Projects[Won?],128)&amp;""</f>
        <v/>
      </c>
      <c r="CD129" s="5">
        <f>INDEX(Projects[Value (USD M)],128)</f>
        <v/>
      </c>
    </row>
    <row r="130" ht="15" customHeight="1" s="74">
      <c r="A130" s="66">
        <f>INDEX(Projects[Project ID *],129)&amp;""</f>
        <v/>
      </c>
      <c r="B130" s="66">
        <f>INDEX(Projects[Project Name *],129)&amp;""</f>
        <v/>
      </c>
      <c r="C130" s="66">
        <f>INDEX(Projects[MS Shuttles],129)</f>
        <v/>
      </c>
      <c r="D130" s="66">
        <f>INDEX(Projects[MS Tote Locations],129)</f>
        <v/>
      </c>
      <c r="E130" s="66">
        <f>INDEX(Projects[AS Robots],129)</f>
        <v/>
      </c>
      <c r="F130" s="66">
        <f>INDEX(Projects[AS Tote Locations],129)</f>
        <v/>
      </c>
      <c r="G130" s="66">
        <f>INDEX(Projects[PS Shuttles],129)</f>
        <v/>
      </c>
      <c r="H130" s="66">
        <f>INDEX(Projects[PS Pallet Locations],129)</f>
        <v/>
      </c>
      <c r="I130" s="66">
        <f>INDEX(Projects[SRM Cranes],129)</f>
        <v/>
      </c>
      <c r="J130" s="66">
        <f>INDEX(Projects[SRM Pallet Locations],129)</f>
        <v/>
      </c>
      <c r="K130" s="66">
        <f>INDEX(Projects[Case Conv (m)],129)</f>
        <v/>
      </c>
      <c r="L130" s="66">
        <f>INDEX(Projects[Pallet Conv (m)],129)</f>
        <v/>
      </c>
      <c r="M130" s="66">
        <f>INDEX(Projects[Mech Eng (wks)],129)</f>
        <v/>
      </c>
      <c r="N130" s="66">
        <f>INDEX(Projects[Controls Eng (wks)],129)</f>
        <v/>
      </c>
      <c r="O130" s="66">
        <f>INDEX(Projects[Systems Eng (wks)],129)</f>
        <v/>
      </c>
      <c r="P130" s="66">
        <f>INDEX(Projects[Software Eng (wks)],129)</f>
        <v/>
      </c>
      <c r="Q130" s="66">
        <f>INDEX(Projects[M&amp;E Installation (wks)],129)</f>
        <v/>
      </c>
      <c r="R130" s="66">
        <f>INDEX(Projects[Commissioning (wks)],129)</f>
        <v/>
      </c>
      <c r="S130" s="66">
        <f>INDEX(Projects[Total Timeline (wks)],129)</f>
        <v/>
      </c>
      <c r="T130" s="66">
        <f>INDEX(Projects[Currency],129)&amp;""</f>
        <v/>
      </c>
      <c r="U130" s="67">
        <f>INDEX(Projects[Value (M)],129)</f>
        <v/>
      </c>
      <c r="V130" s="66">
        <f>IF('Smart Search'!B13=1,IFERROR(1/'Smart Search'!H13,0),0)</f>
        <v/>
      </c>
      <c r="W130" s="66">
        <f>IF('Smart Search'!B13=1,IFERROR(1/'Smart Search'!H13,0),0)</f>
        <v/>
      </c>
      <c r="X130" s="66">
        <f>IF('Smart Search'!C13=1,IFERROR(1/'Smart Search'!H13,0),0)</f>
        <v/>
      </c>
      <c r="Y130" s="66">
        <f>IF('Smart Search'!C13=1,IFERROR(1/'Smart Search'!H13,0),0)</f>
        <v/>
      </c>
      <c r="Z130" s="66">
        <f>IF('Smart Search'!D13=1,IFERROR(1/'Smart Search'!H13,0),0)</f>
        <v/>
      </c>
      <c r="AA130" s="66">
        <f>IF('Smart Search'!D13=1,IFERROR(1/'Smart Search'!H13,0),0)</f>
        <v/>
      </c>
      <c r="AB130" s="66">
        <f>IF('Smart Search'!E13=1,IFERROR(1/'Smart Search'!H13,0),0)</f>
        <v/>
      </c>
      <c r="AC130" s="66">
        <f>IF('Smart Search'!E13=1,IFERROR(1/'Smart Search'!H13,0),0)</f>
        <v/>
      </c>
      <c r="AD130" s="66">
        <f>IF('Smart Search'!F13=1,IFERROR(1/'Smart Search'!H13,0),0)</f>
        <v/>
      </c>
      <c r="AE130" s="66">
        <f>IF('Smart Search'!F13=1,IFERROR(1/'Smart Search'!H13,0),0)</f>
        <v/>
      </c>
      <c r="AF130" s="66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66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66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66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66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66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66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66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66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66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66">
        <f>AF130*V130</f>
        <v/>
      </c>
      <c r="AQ130" s="66">
        <f>AG130*W130</f>
        <v/>
      </c>
      <c r="AR130" s="66">
        <f>AH130*X130</f>
        <v/>
      </c>
      <c r="AS130" s="66">
        <f>AI130*Y130</f>
        <v/>
      </c>
      <c r="AT130" s="66">
        <f>AJ130*Z130</f>
        <v/>
      </c>
      <c r="AU130" s="66">
        <f>AK130*AA130</f>
        <v/>
      </c>
      <c r="AV130" s="66">
        <f>AL130*AB130</f>
        <v/>
      </c>
      <c r="AW130" s="66">
        <f>AM130*AC130</f>
        <v/>
      </c>
      <c r="AX130" s="66">
        <f>AN130*AD130</f>
        <v/>
      </c>
      <c r="AY130" s="66">
        <f>AO130*AE130</f>
        <v/>
      </c>
      <c r="AZ130" s="66">
        <f>INDEX(Projects[Automation Equipment],129)&amp;""</f>
        <v/>
      </c>
      <c r="BA130" s="66">
        <f>IF(OR(A130="",'Smart Search'!H13=0),"",MAX(0,BE130*BF130*MAX(0,1-BG130)))</f>
        <v/>
      </c>
      <c r="BB130" s="66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66">
        <f>IF('Smart Search'!G13=1,IFERROR(1/'Smart Search'!H13,0),0)</f>
        <v/>
      </c>
      <c r="BD130" s="66">
        <f>BB130*BC130</f>
        <v/>
      </c>
      <c r="BE130" s="66">
        <f>AP130+AQ130+AR130+AS130+AT130+AU130+AV130+AW130+AX130+AY130+BD130</f>
        <v/>
      </c>
      <c r="BF130" s="5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5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5">
        <f>IF(AND(A130&lt;&gt;"",OR('Smart Search'!$L$5="",'Smart Search'!$L$5="All",TRIM(BZ130)=TRIM('Smart Search'!$L$5)),OR(TRIM('Smart Search'!$L$6)="",TRIM('Smart Search'!$L$6)="All",ISNUMBER(SEARCH(SUBSTITUTE(SUBSTITUTE(SUBSTITUTE(TRIM('Smart Search'!$L$6),"~","~~"),"*","~*"),"?","~?"),CA130))),OR('Smart Search'!$L$7="",AND(CB130&lt;&gt;0,CB130='Smart Search'!$L$7)),OR('Smart Search'!$L$8="",'Smart Search'!$L$8="All",TRIM(CC130)=TRIM('Smart Search'!$L$8))),IF(BA130="","",BA130+ROW()*0.0000000001),"")</f>
        <v/>
      </c>
      <c r="BI130" s="5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5">
        <f>IF(A130="","",N(INDEX(Projects[Mech Inst],129)))</f>
        <v/>
      </c>
      <c r="BK130" s="5">
        <f>IF(A130="","",N(INDEX(Projects[Elec Inst],129)))</f>
        <v/>
      </c>
      <c r="BL130" s="5">
        <f>IF(A130="","",N(INDEX(Projects[Project Management],129)))</f>
        <v/>
      </c>
      <c r="BM130" s="5">
        <f>IF(A130="","",N(INDEX(Projects[Systems Eng],129)))</f>
        <v/>
      </c>
      <c r="BN130" s="5">
        <f>IF(A130="","",N(INDEX(Projects[Mechanical Eng],129)))</f>
        <v/>
      </c>
      <c r="BO130" s="5">
        <f>IF(A130="","",N(INDEX(Projects[Structural Engineering],129)))</f>
        <v/>
      </c>
      <c r="BP130" s="5">
        <f>IF(A130="","",N(INDEX(Projects[Site Sup],129)))</f>
        <v/>
      </c>
      <c r="BQ130" s="5">
        <f>IF(A130="","",N(INDEX(Projects[Controls Commissioning],129)))</f>
        <v/>
      </c>
      <c r="BR130" s="5">
        <f>IF(A130="","",N(INDEX(Projects[Systems Commissioning],129)))</f>
        <v/>
      </c>
      <c r="BS130" s="5">
        <f>IF(A130="","",N(INDEX(Projects[Service Commissioning],129)))</f>
        <v/>
      </c>
      <c r="BT130" s="5">
        <f>IF(A130="","",N(INDEX(Projects[Controls Eng],129)))</f>
        <v/>
      </c>
      <c r="BU130" s="5">
        <f>IF(A130="","",N(INDEX(Projects[Controls Purchase],129)))</f>
        <v/>
      </c>
      <c r="BV130" s="5">
        <f>IF(A130="","",N(INDEX(Projects[Software Eng],129)))</f>
        <v/>
      </c>
      <c r="BW130" s="5">
        <f>IF(A130="","",N(INDEX(Projects[Misc],129)))</f>
        <v/>
      </c>
      <c r="BX130" s="5">
        <f>IF(A130="","",SUM(BJ130:BW130))</f>
        <v/>
      </c>
      <c r="BY130" s="5">
        <f>IF(A130="","",IFERROR(IF(ISNUMBER(U130),U130,VALUE(SUBSTITUTE(SUBSTITUTE(SUBSTITUTE(UPPER(TRIM(U130)),"M",""),",","")," ",""))),0))</f>
        <v/>
      </c>
      <c r="BZ130" s="5">
        <f>INDEX(Projects[Solution Type],129)&amp;""</f>
        <v/>
      </c>
      <c r="CA130" s="5">
        <f>INDEX(Projects[Client / Region],129)&amp;""</f>
        <v/>
      </c>
      <c r="CB130" s="5">
        <f>INDEX(Projects[Year],129)</f>
        <v/>
      </c>
      <c r="CC130" s="5">
        <f>INDEX(Projects[Won?],129)&amp;""</f>
        <v/>
      </c>
      <c r="CD130" s="5">
        <f>INDEX(Projects[Value (USD M)],129)</f>
        <v/>
      </c>
    </row>
    <row r="131" ht="15" customHeight="1" s="74">
      <c r="A131" s="66">
        <f>INDEX(Projects[Project ID *],130)&amp;""</f>
        <v/>
      </c>
      <c r="B131" s="66">
        <f>INDEX(Projects[Project Name *],130)&amp;""</f>
        <v/>
      </c>
      <c r="C131" s="66">
        <f>INDEX(Projects[MS Shuttles],130)</f>
        <v/>
      </c>
      <c r="D131" s="66">
        <f>INDEX(Projects[MS Tote Locations],130)</f>
        <v/>
      </c>
      <c r="E131" s="66">
        <f>INDEX(Projects[AS Robots],130)</f>
        <v/>
      </c>
      <c r="F131" s="66">
        <f>INDEX(Projects[AS Tote Locations],130)</f>
        <v/>
      </c>
      <c r="G131" s="66">
        <f>INDEX(Projects[PS Shuttles],130)</f>
        <v/>
      </c>
      <c r="H131" s="66">
        <f>INDEX(Projects[PS Pallet Locations],130)</f>
        <v/>
      </c>
      <c r="I131" s="66">
        <f>INDEX(Projects[SRM Cranes],130)</f>
        <v/>
      </c>
      <c r="J131" s="66">
        <f>INDEX(Projects[SRM Pallet Locations],130)</f>
        <v/>
      </c>
      <c r="K131" s="66">
        <f>INDEX(Projects[Case Conv (m)],130)</f>
        <v/>
      </c>
      <c r="L131" s="66">
        <f>INDEX(Projects[Pallet Conv (m)],130)</f>
        <v/>
      </c>
      <c r="M131" s="66">
        <f>INDEX(Projects[Mech Eng (wks)],130)</f>
        <v/>
      </c>
      <c r="N131" s="66">
        <f>INDEX(Projects[Controls Eng (wks)],130)</f>
        <v/>
      </c>
      <c r="O131" s="66">
        <f>INDEX(Projects[Systems Eng (wks)],130)</f>
        <v/>
      </c>
      <c r="P131" s="66">
        <f>INDEX(Projects[Software Eng (wks)],130)</f>
        <v/>
      </c>
      <c r="Q131" s="66">
        <f>INDEX(Projects[M&amp;E Installation (wks)],130)</f>
        <v/>
      </c>
      <c r="R131" s="66">
        <f>INDEX(Projects[Commissioning (wks)],130)</f>
        <v/>
      </c>
      <c r="S131" s="66">
        <f>INDEX(Projects[Total Timeline (wks)],130)</f>
        <v/>
      </c>
      <c r="T131" s="66">
        <f>INDEX(Projects[Currency],130)&amp;""</f>
        <v/>
      </c>
      <c r="U131" s="67">
        <f>INDEX(Projects[Value (M)],130)</f>
        <v/>
      </c>
      <c r="V131" s="66">
        <f>IF('Smart Search'!B13=1,IFERROR(1/'Smart Search'!H13,0),0)</f>
        <v/>
      </c>
      <c r="W131" s="66">
        <f>IF('Smart Search'!B13=1,IFERROR(1/'Smart Search'!H13,0),0)</f>
        <v/>
      </c>
      <c r="X131" s="66">
        <f>IF('Smart Search'!C13=1,IFERROR(1/'Smart Search'!H13,0),0)</f>
        <v/>
      </c>
      <c r="Y131" s="66">
        <f>IF('Smart Search'!C13=1,IFERROR(1/'Smart Search'!H13,0),0)</f>
        <v/>
      </c>
      <c r="Z131" s="66">
        <f>IF('Smart Search'!D13=1,IFERROR(1/'Smart Search'!H13,0),0)</f>
        <v/>
      </c>
      <c r="AA131" s="66">
        <f>IF('Smart Search'!D13=1,IFERROR(1/'Smart Search'!H13,0),0)</f>
        <v/>
      </c>
      <c r="AB131" s="66">
        <f>IF('Smart Search'!E13=1,IFERROR(1/'Smart Search'!H13,0),0)</f>
        <v/>
      </c>
      <c r="AC131" s="66">
        <f>IF('Smart Search'!E13=1,IFERROR(1/'Smart Search'!H13,0),0)</f>
        <v/>
      </c>
      <c r="AD131" s="66">
        <f>IF('Smart Search'!F13=1,IFERROR(1/'Smart Search'!H13,0),0)</f>
        <v/>
      </c>
      <c r="AE131" s="66">
        <f>IF('Smart Search'!F13=1,IFERROR(1/'Smart Search'!H13,0),0)</f>
        <v/>
      </c>
      <c r="AF131" s="66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66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66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66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66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66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66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66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66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66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66">
        <f>AF131*V131</f>
        <v/>
      </c>
      <c r="AQ131" s="66">
        <f>AG131*W131</f>
        <v/>
      </c>
      <c r="AR131" s="66">
        <f>AH131*X131</f>
        <v/>
      </c>
      <c r="AS131" s="66">
        <f>AI131*Y131</f>
        <v/>
      </c>
      <c r="AT131" s="66">
        <f>AJ131*Z131</f>
        <v/>
      </c>
      <c r="AU131" s="66">
        <f>AK131*AA131</f>
        <v/>
      </c>
      <c r="AV131" s="66">
        <f>AL131*AB131</f>
        <v/>
      </c>
      <c r="AW131" s="66">
        <f>AM131*AC131</f>
        <v/>
      </c>
      <c r="AX131" s="66">
        <f>AN131*AD131</f>
        <v/>
      </c>
      <c r="AY131" s="66">
        <f>AO131*AE131</f>
        <v/>
      </c>
      <c r="AZ131" s="66">
        <f>INDEX(Projects[Automation Equipment],130)&amp;""</f>
        <v/>
      </c>
      <c r="BA131" s="66">
        <f>IF(OR(A131="",'Smart Search'!H13=0),"",MAX(0,BE131*BF131*MAX(0,1-BG131)))</f>
        <v/>
      </c>
      <c r="BB131" s="66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66">
        <f>IF('Smart Search'!G13=1,IFERROR(1/'Smart Search'!H13,0),0)</f>
        <v/>
      </c>
      <c r="BD131" s="66">
        <f>BB131*BC131</f>
        <v/>
      </c>
      <c r="BE131" s="66">
        <f>AP131+AQ131+AR131+AS131+AT131+AU131+AV131+AW131+AX131+AY131+BD131</f>
        <v/>
      </c>
      <c r="BF131" s="5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5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5">
        <f>IF(AND(A131&lt;&gt;"",OR('Smart Search'!$L$5="",'Smart Search'!$L$5="All",TRIM(BZ131)=TRIM('Smart Search'!$L$5)),OR(TRIM('Smart Search'!$L$6)="",TRIM('Smart Search'!$L$6)="All",ISNUMBER(SEARCH(SUBSTITUTE(SUBSTITUTE(SUBSTITUTE(TRIM('Smart Search'!$L$6),"~","~~"),"*","~*"),"?","~?"),CA131))),OR('Smart Search'!$L$7="",AND(CB131&lt;&gt;0,CB131='Smart Search'!$L$7)),OR('Smart Search'!$L$8="",'Smart Search'!$L$8="All",TRIM(CC131)=TRIM('Smart Search'!$L$8))),IF(BA131="","",BA131+ROW()*0.0000000001),"")</f>
        <v/>
      </c>
      <c r="BI131" s="5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5">
        <f>IF(A131="","",N(INDEX(Projects[Mech Inst],130)))</f>
        <v/>
      </c>
      <c r="BK131" s="5">
        <f>IF(A131="","",N(INDEX(Projects[Elec Inst],130)))</f>
        <v/>
      </c>
      <c r="BL131" s="5">
        <f>IF(A131="","",N(INDEX(Projects[Project Management],130)))</f>
        <v/>
      </c>
      <c r="BM131" s="5">
        <f>IF(A131="","",N(INDEX(Projects[Systems Eng],130)))</f>
        <v/>
      </c>
      <c r="BN131" s="5">
        <f>IF(A131="","",N(INDEX(Projects[Mechanical Eng],130)))</f>
        <v/>
      </c>
      <c r="BO131" s="5">
        <f>IF(A131="","",N(INDEX(Projects[Structural Engineering],130)))</f>
        <v/>
      </c>
      <c r="BP131" s="5">
        <f>IF(A131="","",N(INDEX(Projects[Site Sup],130)))</f>
        <v/>
      </c>
      <c r="BQ131" s="5">
        <f>IF(A131="","",N(INDEX(Projects[Controls Commissioning],130)))</f>
        <v/>
      </c>
      <c r="BR131" s="5">
        <f>IF(A131="","",N(INDEX(Projects[Systems Commissioning],130)))</f>
        <v/>
      </c>
      <c r="BS131" s="5">
        <f>IF(A131="","",N(INDEX(Projects[Service Commissioning],130)))</f>
        <v/>
      </c>
      <c r="BT131" s="5">
        <f>IF(A131="","",N(INDEX(Projects[Controls Eng],130)))</f>
        <v/>
      </c>
      <c r="BU131" s="5">
        <f>IF(A131="","",N(INDEX(Projects[Controls Purchase],130)))</f>
        <v/>
      </c>
      <c r="BV131" s="5">
        <f>IF(A131="","",N(INDEX(Projects[Software Eng],130)))</f>
        <v/>
      </c>
      <c r="BW131" s="5">
        <f>IF(A131="","",N(INDEX(Projects[Misc],130)))</f>
        <v/>
      </c>
      <c r="BX131" s="5">
        <f>IF(A131="","",SUM(BJ131:BW131))</f>
        <v/>
      </c>
      <c r="BY131" s="5">
        <f>IF(A131="","",IFERROR(IF(ISNUMBER(U131),U131,VALUE(SUBSTITUTE(SUBSTITUTE(SUBSTITUTE(UPPER(TRIM(U131)),"M",""),",","")," ",""))),0))</f>
        <v/>
      </c>
      <c r="BZ131" s="5">
        <f>INDEX(Projects[Solution Type],130)&amp;""</f>
        <v/>
      </c>
      <c r="CA131" s="5">
        <f>INDEX(Projects[Client / Region],130)&amp;""</f>
        <v/>
      </c>
      <c r="CB131" s="5">
        <f>INDEX(Projects[Year],130)</f>
        <v/>
      </c>
      <c r="CC131" s="5">
        <f>INDEX(Projects[Won?],130)&amp;""</f>
        <v/>
      </c>
      <c r="CD131" s="5">
        <f>INDEX(Projects[Value (USD M)],130)</f>
        <v/>
      </c>
    </row>
    <row r="132" ht="15" customHeight="1" s="74">
      <c r="A132" s="66">
        <f>INDEX(Projects[Project ID *],131)&amp;""</f>
        <v/>
      </c>
      <c r="B132" s="66">
        <f>INDEX(Projects[Project Name *],131)&amp;""</f>
        <v/>
      </c>
      <c r="C132" s="66">
        <f>INDEX(Projects[MS Shuttles],131)</f>
        <v/>
      </c>
      <c r="D132" s="66">
        <f>INDEX(Projects[MS Tote Locations],131)</f>
        <v/>
      </c>
      <c r="E132" s="66">
        <f>INDEX(Projects[AS Robots],131)</f>
        <v/>
      </c>
      <c r="F132" s="66">
        <f>INDEX(Projects[AS Tote Locations],131)</f>
        <v/>
      </c>
      <c r="G132" s="66">
        <f>INDEX(Projects[PS Shuttles],131)</f>
        <v/>
      </c>
      <c r="H132" s="66">
        <f>INDEX(Projects[PS Pallet Locations],131)</f>
        <v/>
      </c>
      <c r="I132" s="66">
        <f>INDEX(Projects[SRM Cranes],131)</f>
        <v/>
      </c>
      <c r="J132" s="66">
        <f>INDEX(Projects[SRM Pallet Locations],131)</f>
        <v/>
      </c>
      <c r="K132" s="66">
        <f>INDEX(Projects[Case Conv (m)],131)</f>
        <v/>
      </c>
      <c r="L132" s="66">
        <f>INDEX(Projects[Pallet Conv (m)],131)</f>
        <v/>
      </c>
      <c r="M132" s="66">
        <f>INDEX(Projects[Mech Eng (wks)],131)</f>
        <v/>
      </c>
      <c r="N132" s="66">
        <f>INDEX(Projects[Controls Eng (wks)],131)</f>
        <v/>
      </c>
      <c r="O132" s="66">
        <f>INDEX(Projects[Systems Eng (wks)],131)</f>
        <v/>
      </c>
      <c r="P132" s="66">
        <f>INDEX(Projects[Software Eng (wks)],131)</f>
        <v/>
      </c>
      <c r="Q132" s="66">
        <f>INDEX(Projects[M&amp;E Installation (wks)],131)</f>
        <v/>
      </c>
      <c r="R132" s="66">
        <f>INDEX(Projects[Commissioning (wks)],131)</f>
        <v/>
      </c>
      <c r="S132" s="66">
        <f>INDEX(Projects[Total Timeline (wks)],131)</f>
        <v/>
      </c>
      <c r="T132" s="66">
        <f>INDEX(Projects[Currency],131)&amp;""</f>
        <v/>
      </c>
      <c r="U132" s="67">
        <f>INDEX(Projects[Value (M)],131)</f>
        <v/>
      </c>
      <c r="V132" s="66">
        <f>IF('Smart Search'!B13=1,IFERROR(1/'Smart Search'!H13,0),0)</f>
        <v/>
      </c>
      <c r="W132" s="66">
        <f>IF('Smart Search'!B13=1,IFERROR(1/'Smart Search'!H13,0),0)</f>
        <v/>
      </c>
      <c r="X132" s="66">
        <f>IF('Smart Search'!C13=1,IFERROR(1/'Smart Search'!H13,0),0)</f>
        <v/>
      </c>
      <c r="Y132" s="66">
        <f>IF('Smart Search'!C13=1,IFERROR(1/'Smart Search'!H13,0),0)</f>
        <v/>
      </c>
      <c r="Z132" s="66">
        <f>IF('Smart Search'!D13=1,IFERROR(1/'Smart Search'!H13,0),0)</f>
        <v/>
      </c>
      <c r="AA132" s="66">
        <f>IF('Smart Search'!D13=1,IFERROR(1/'Smart Search'!H13,0),0)</f>
        <v/>
      </c>
      <c r="AB132" s="66">
        <f>IF('Smart Search'!E13=1,IFERROR(1/'Smart Search'!H13,0),0)</f>
        <v/>
      </c>
      <c r="AC132" s="66">
        <f>IF('Smart Search'!E13=1,IFERROR(1/'Smart Search'!H13,0),0)</f>
        <v/>
      </c>
      <c r="AD132" s="66">
        <f>IF('Smart Search'!F13=1,IFERROR(1/'Smart Search'!H13,0),0)</f>
        <v/>
      </c>
      <c r="AE132" s="66">
        <f>IF('Smart Search'!F13=1,IFERROR(1/'Smart Search'!H13,0),0)</f>
        <v/>
      </c>
      <c r="AF132" s="66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66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66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66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66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66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66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66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66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66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66">
        <f>AF132*V132</f>
        <v/>
      </c>
      <c r="AQ132" s="66">
        <f>AG132*W132</f>
        <v/>
      </c>
      <c r="AR132" s="66">
        <f>AH132*X132</f>
        <v/>
      </c>
      <c r="AS132" s="66">
        <f>AI132*Y132</f>
        <v/>
      </c>
      <c r="AT132" s="66">
        <f>AJ132*Z132</f>
        <v/>
      </c>
      <c r="AU132" s="66">
        <f>AK132*AA132</f>
        <v/>
      </c>
      <c r="AV132" s="66">
        <f>AL132*AB132</f>
        <v/>
      </c>
      <c r="AW132" s="66">
        <f>AM132*AC132</f>
        <v/>
      </c>
      <c r="AX132" s="66">
        <f>AN132*AD132</f>
        <v/>
      </c>
      <c r="AY132" s="66">
        <f>AO132*AE132</f>
        <v/>
      </c>
      <c r="AZ132" s="66">
        <f>INDEX(Projects[Automation Equipment],131)&amp;""</f>
        <v/>
      </c>
      <c r="BA132" s="66">
        <f>IF(OR(A132="",'Smart Search'!H13=0),"",MAX(0,BE132*BF132*MAX(0,1-BG132)))</f>
        <v/>
      </c>
      <c r="BB132" s="66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66">
        <f>IF('Smart Search'!G13=1,IFERROR(1/'Smart Search'!H13,0),0)</f>
        <v/>
      </c>
      <c r="BD132" s="66">
        <f>BB132*BC132</f>
        <v/>
      </c>
      <c r="BE132" s="66">
        <f>AP132+AQ132+AR132+AS132+AT132+AU132+AV132+AW132+AX132+AY132+BD132</f>
        <v/>
      </c>
      <c r="BF132" s="5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5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5">
        <f>IF(AND(A132&lt;&gt;"",OR('Smart Search'!$L$5="",'Smart Search'!$L$5="All",TRIM(BZ132)=TRIM('Smart Search'!$L$5)),OR(TRIM('Smart Search'!$L$6)="",TRIM('Smart Search'!$L$6)="All",ISNUMBER(SEARCH(SUBSTITUTE(SUBSTITUTE(SUBSTITUTE(TRIM('Smart Search'!$L$6),"~","~~"),"*","~*"),"?","~?"),CA132))),OR('Smart Search'!$L$7="",AND(CB132&lt;&gt;0,CB132='Smart Search'!$L$7)),OR('Smart Search'!$L$8="",'Smart Search'!$L$8="All",TRIM(CC132)=TRIM('Smart Search'!$L$8))),IF(BA132="","",BA132+ROW()*0.0000000001),"")</f>
        <v/>
      </c>
      <c r="BI132" s="5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5">
        <f>IF(A132="","",N(INDEX(Projects[Mech Inst],131)))</f>
        <v/>
      </c>
      <c r="BK132" s="5">
        <f>IF(A132="","",N(INDEX(Projects[Elec Inst],131)))</f>
        <v/>
      </c>
      <c r="BL132" s="5">
        <f>IF(A132="","",N(INDEX(Projects[Project Management],131)))</f>
        <v/>
      </c>
      <c r="BM132" s="5">
        <f>IF(A132="","",N(INDEX(Projects[Systems Eng],131)))</f>
        <v/>
      </c>
      <c r="BN132" s="5">
        <f>IF(A132="","",N(INDEX(Projects[Mechanical Eng],131)))</f>
        <v/>
      </c>
      <c r="BO132" s="5">
        <f>IF(A132="","",N(INDEX(Projects[Structural Engineering],131)))</f>
        <v/>
      </c>
      <c r="BP132" s="5">
        <f>IF(A132="","",N(INDEX(Projects[Site Sup],131)))</f>
        <v/>
      </c>
      <c r="BQ132" s="5">
        <f>IF(A132="","",N(INDEX(Projects[Controls Commissioning],131)))</f>
        <v/>
      </c>
      <c r="BR132" s="5">
        <f>IF(A132="","",N(INDEX(Projects[Systems Commissioning],131)))</f>
        <v/>
      </c>
      <c r="BS132" s="5">
        <f>IF(A132="","",N(INDEX(Projects[Service Commissioning],131)))</f>
        <v/>
      </c>
      <c r="BT132" s="5">
        <f>IF(A132="","",N(INDEX(Projects[Controls Eng],131)))</f>
        <v/>
      </c>
      <c r="BU132" s="5">
        <f>IF(A132="","",N(INDEX(Projects[Controls Purchase],131)))</f>
        <v/>
      </c>
      <c r="BV132" s="5">
        <f>IF(A132="","",N(INDEX(Projects[Software Eng],131)))</f>
        <v/>
      </c>
      <c r="BW132" s="5">
        <f>IF(A132="","",N(INDEX(Projects[Misc],131)))</f>
        <v/>
      </c>
      <c r="BX132" s="5">
        <f>IF(A132="","",SUM(BJ132:BW132))</f>
        <v/>
      </c>
      <c r="BY132" s="5">
        <f>IF(A132="","",IFERROR(IF(ISNUMBER(U132),U132,VALUE(SUBSTITUTE(SUBSTITUTE(SUBSTITUTE(UPPER(TRIM(U132)),"M",""),",","")," ",""))),0))</f>
        <v/>
      </c>
      <c r="BZ132" s="5">
        <f>INDEX(Projects[Solution Type],131)&amp;""</f>
        <v/>
      </c>
      <c r="CA132" s="5">
        <f>INDEX(Projects[Client / Region],131)&amp;""</f>
        <v/>
      </c>
      <c r="CB132" s="5">
        <f>INDEX(Projects[Year],131)</f>
        <v/>
      </c>
      <c r="CC132" s="5">
        <f>INDEX(Projects[Won?],131)&amp;""</f>
        <v/>
      </c>
      <c r="CD132" s="5">
        <f>INDEX(Projects[Value (USD M)],131)</f>
        <v/>
      </c>
    </row>
    <row r="133" ht="15" customHeight="1" s="74">
      <c r="A133" s="66">
        <f>INDEX(Projects[Project ID *],132)&amp;""</f>
        <v/>
      </c>
      <c r="B133" s="66">
        <f>INDEX(Projects[Project Name *],132)&amp;""</f>
        <v/>
      </c>
      <c r="C133" s="66">
        <f>INDEX(Projects[MS Shuttles],132)</f>
        <v/>
      </c>
      <c r="D133" s="66">
        <f>INDEX(Projects[MS Tote Locations],132)</f>
        <v/>
      </c>
      <c r="E133" s="66">
        <f>INDEX(Projects[AS Robots],132)</f>
        <v/>
      </c>
      <c r="F133" s="66">
        <f>INDEX(Projects[AS Tote Locations],132)</f>
        <v/>
      </c>
      <c r="G133" s="66">
        <f>INDEX(Projects[PS Shuttles],132)</f>
        <v/>
      </c>
      <c r="H133" s="66">
        <f>INDEX(Projects[PS Pallet Locations],132)</f>
        <v/>
      </c>
      <c r="I133" s="66">
        <f>INDEX(Projects[SRM Cranes],132)</f>
        <v/>
      </c>
      <c r="J133" s="66">
        <f>INDEX(Projects[SRM Pallet Locations],132)</f>
        <v/>
      </c>
      <c r="K133" s="66">
        <f>INDEX(Projects[Case Conv (m)],132)</f>
        <v/>
      </c>
      <c r="L133" s="66">
        <f>INDEX(Projects[Pallet Conv (m)],132)</f>
        <v/>
      </c>
      <c r="M133" s="66">
        <f>INDEX(Projects[Mech Eng (wks)],132)</f>
        <v/>
      </c>
      <c r="N133" s="66">
        <f>INDEX(Projects[Controls Eng (wks)],132)</f>
        <v/>
      </c>
      <c r="O133" s="66">
        <f>INDEX(Projects[Systems Eng (wks)],132)</f>
        <v/>
      </c>
      <c r="P133" s="66">
        <f>INDEX(Projects[Software Eng (wks)],132)</f>
        <v/>
      </c>
      <c r="Q133" s="66">
        <f>INDEX(Projects[M&amp;E Installation (wks)],132)</f>
        <v/>
      </c>
      <c r="R133" s="66">
        <f>INDEX(Projects[Commissioning (wks)],132)</f>
        <v/>
      </c>
      <c r="S133" s="66">
        <f>INDEX(Projects[Total Timeline (wks)],132)</f>
        <v/>
      </c>
      <c r="T133" s="66">
        <f>INDEX(Projects[Currency],132)&amp;""</f>
        <v/>
      </c>
      <c r="U133" s="67">
        <f>INDEX(Projects[Value (M)],132)</f>
        <v/>
      </c>
      <c r="V133" s="66">
        <f>IF('Smart Search'!B13=1,IFERROR(1/'Smart Search'!H13,0),0)</f>
        <v/>
      </c>
      <c r="W133" s="66">
        <f>IF('Smart Search'!B13=1,IFERROR(1/'Smart Search'!H13,0),0)</f>
        <v/>
      </c>
      <c r="X133" s="66">
        <f>IF('Smart Search'!C13=1,IFERROR(1/'Smart Search'!H13,0),0)</f>
        <v/>
      </c>
      <c r="Y133" s="66">
        <f>IF('Smart Search'!C13=1,IFERROR(1/'Smart Search'!H13,0),0)</f>
        <v/>
      </c>
      <c r="Z133" s="66">
        <f>IF('Smart Search'!D13=1,IFERROR(1/'Smart Search'!H13,0),0)</f>
        <v/>
      </c>
      <c r="AA133" s="66">
        <f>IF('Smart Search'!D13=1,IFERROR(1/'Smart Search'!H13,0),0)</f>
        <v/>
      </c>
      <c r="AB133" s="66">
        <f>IF('Smart Search'!E13=1,IFERROR(1/'Smart Search'!H13,0),0)</f>
        <v/>
      </c>
      <c r="AC133" s="66">
        <f>IF('Smart Search'!E13=1,IFERROR(1/'Smart Search'!H13,0),0)</f>
        <v/>
      </c>
      <c r="AD133" s="66">
        <f>IF('Smart Search'!F13=1,IFERROR(1/'Smart Search'!H13,0),0)</f>
        <v/>
      </c>
      <c r="AE133" s="66">
        <f>IF('Smart Search'!F13=1,IFERROR(1/'Smart Search'!H13,0),0)</f>
        <v/>
      </c>
      <c r="AF133" s="66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66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66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66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66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66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66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66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66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66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66">
        <f>AF133*V133</f>
        <v/>
      </c>
      <c r="AQ133" s="66">
        <f>AG133*W133</f>
        <v/>
      </c>
      <c r="AR133" s="66">
        <f>AH133*X133</f>
        <v/>
      </c>
      <c r="AS133" s="66">
        <f>AI133*Y133</f>
        <v/>
      </c>
      <c r="AT133" s="66">
        <f>AJ133*Z133</f>
        <v/>
      </c>
      <c r="AU133" s="66">
        <f>AK133*AA133</f>
        <v/>
      </c>
      <c r="AV133" s="66">
        <f>AL133*AB133</f>
        <v/>
      </c>
      <c r="AW133" s="66">
        <f>AM133*AC133</f>
        <v/>
      </c>
      <c r="AX133" s="66">
        <f>AN133*AD133</f>
        <v/>
      </c>
      <c r="AY133" s="66">
        <f>AO133*AE133</f>
        <v/>
      </c>
      <c r="AZ133" s="66">
        <f>INDEX(Projects[Automation Equipment],132)&amp;""</f>
        <v/>
      </c>
      <c r="BA133" s="66">
        <f>IF(OR(A133="",'Smart Search'!H13=0),"",MAX(0,BE133*BF133*MAX(0,1-BG133)))</f>
        <v/>
      </c>
      <c r="BB133" s="66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66">
        <f>IF('Smart Search'!G13=1,IFERROR(1/'Smart Search'!H13,0),0)</f>
        <v/>
      </c>
      <c r="BD133" s="66">
        <f>BB133*BC133</f>
        <v/>
      </c>
      <c r="BE133" s="66">
        <f>AP133+AQ133+AR133+AS133+AT133+AU133+AV133+AW133+AX133+AY133+BD133</f>
        <v/>
      </c>
      <c r="BF133" s="5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5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5">
        <f>IF(AND(A133&lt;&gt;"",OR('Smart Search'!$L$5="",'Smart Search'!$L$5="All",TRIM(BZ133)=TRIM('Smart Search'!$L$5)),OR(TRIM('Smart Search'!$L$6)="",TRIM('Smart Search'!$L$6)="All",ISNUMBER(SEARCH(SUBSTITUTE(SUBSTITUTE(SUBSTITUTE(TRIM('Smart Search'!$L$6),"~","~~"),"*","~*"),"?","~?"),CA133))),OR('Smart Search'!$L$7="",AND(CB133&lt;&gt;0,CB133='Smart Search'!$L$7)),OR('Smart Search'!$L$8="",'Smart Search'!$L$8="All",TRIM(CC133)=TRIM('Smart Search'!$L$8))),IF(BA133="","",BA133+ROW()*0.0000000001),"")</f>
        <v/>
      </c>
      <c r="BI133" s="5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5">
        <f>IF(A133="","",N(INDEX(Projects[Mech Inst],132)))</f>
        <v/>
      </c>
      <c r="BK133" s="5">
        <f>IF(A133="","",N(INDEX(Projects[Elec Inst],132)))</f>
        <v/>
      </c>
      <c r="BL133" s="5">
        <f>IF(A133="","",N(INDEX(Projects[Project Management],132)))</f>
        <v/>
      </c>
      <c r="BM133" s="5">
        <f>IF(A133="","",N(INDEX(Projects[Systems Eng],132)))</f>
        <v/>
      </c>
      <c r="BN133" s="5">
        <f>IF(A133="","",N(INDEX(Projects[Mechanical Eng],132)))</f>
        <v/>
      </c>
      <c r="BO133" s="5">
        <f>IF(A133="","",N(INDEX(Projects[Structural Engineering],132)))</f>
        <v/>
      </c>
      <c r="BP133" s="5">
        <f>IF(A133="","",N(INDEX(Projects[Site Sup],132)))</f>
        <v/>
      </c>
      <c r="BQ133" s="5">
        <f>IF(A133="","",N(INDEX(Projects[Controls Commissioning],132)))</f>
        <v/>
      </c>
      <c r="BR133" s="5">
        <f>IF(A133="","",N(INDEX(Projects[Systems Commissioning],132)))</f>
        <v/>
      </c>
      <c r="BS133" s="5">
        <f>IF(A133="","",N(INDEX(Projects[Service Commissioning],132)))</f>
        <v/>
      </c>
      <c r="BT133" s="5">
        <f>IF(A133="","",N(INDEX(Projects[Controls Eng],132)))</f>
        <v/>
      </c>
      <c r="BU133" s="5">
        <f>IF(A133="","",N(INDEX(Projects[Controls Purchase],132)))</f>
        <v/>
      </c>
      <c r="BV133" s="5">
        <f>IF(A133="","",N(INDEX(Projects[Software Eng],132)))</f>
        <v/>
      </c>
      <c r="BW133" s="5">
        <f>IF(A133="","",N(INDEX(Projects[Misc],132)))</f>
        <v/>
      </c>
      <c r="BX133" s="5">
        <f>IF(A133="","",SUM(BJ133:BW133))</f>
        <v/>
      </c>
      <c r="BY133" s="5">
        <f>IF(A133="","",IFERROR(IF(ISNUMBER(U133),U133,VALUE(SUBSTITUTE(SUBSTITUTE(SUBSTITUTE(UPPER(TRIM(U133)),"M",""),",","")," ",""))),0))</f>
        <v/>
      </c>
      <c r="BZ133" s="5">
        <f>INDEX(Projects[Solution Type],132)&amp;""</f>
        <v/>
      </c>
      <c r="CA133" s="5">
        <f>INDEX(Projects[Client / Region],132)&amp;""</f>
        <v/>
      </c>
      <c r="CB133" s="5">
        <f>INDEX(Projects[Year],132)</f>
        <v/>
      </c>
      <c r="CC133" s="5">
        <f>INDEX(Projects[Won?],132)&amp;""</f>
        <v/>
      </c>
      <c r="CD133" s="5">
        <f>INDEX(Projects[Value (USD M)],132)</f>
        <v/>
      </c>
    </row>
    <row r="134" ht="15" customHeight="1" s="74">
      <c r="A134" s="66">
        <f>INDEX(Projects[Project ID *],133)&amp;""</f>
        <v/>
      </c>
      <c r="B134" s="66">
        <f>INDEX(Projects[Project Name *],133)&amp;""</f>
        <v/>
      </c>
      <c r="C134" s="66">
        <f>INDEX(Projects[MS Shuttles],133)</f>
        <v/>
      </c>
      <c r="D134" s="66">
        <f>INDEX(Projects[MS Tote Locations],133)</f>
        <v/>
      </c>
      <c r="E134" s="66">
        <f>INDEX(Projects[AS Robots],133)</f>
        <v/>
      </c>
      <c r="F134" s="66">
        <f>INDEX(Projects[AS Tote Locations],133)</f>
        <v/>
      </c>
      <c r="G134" s="66">
        <f>INDEX(Projects[PS Shuttles],133)</f>
        <v/>
      </c>
      <c r="H134" s="66">
        <f>INDEX(Projects[PS Pallet Locations],133)</f>
        <v/>
      </c>
      <c r="I134" s="66">
        <f>INDEX(Projects[SRM Cranes],133)</f>
        <v/>
      </c>
      <c r="J134" s="66">
        <f>INDEX(Projects[SRM Pallet Locations],133)</f>
        <v/>
      </c>
      <c r="K134" s="66">
        <f>INDEX(Projects[Case Conv (m)],133)</f>
        <v/>
      </c>
      <c r="L134" s="66">
        <f>INDEX(Projects[Pallet Conv (m)],133)</f>
        <v/>
      </c>
      <c r="M134" s="66">
        <f>INDEX(Projects[Mech Eng (wks)],133)</f>
        <v/>
      </c>
      <c r="N134" s="66">
        <f>INDEX(Projects[Controls Eng (wks)],133)</f>
        <v/>
      </c>
      <c r="O134" s="66">
        <f>INDEX(Projects[Systems Eng (wks)],133)</f>
        <v/>
      </c>
      <c r="P134" s="66">
        <f>INDEX(Projects[Software Eng (wks)],133)</f>
        <v/>
      </c>
      <c r="Q134" s="66">
        <f>INDEX(Projects[M&amp;E Installation (wks)],133)</f>
        <v/>
      </c>
      <c r="R134" s="66">
        <f>INDEX(Projects[Commissioning (wks)],133)</f>
        <v/>
      </c>
      <c r="S134" s="66">
        <f>INDEX(Projects[Total Timeline (wks)],133)</f>
        <v/>
      </c>
      <c r="T134" s="66">
        <f>INDEX(Projects[Currency],133)&amp;""</f>
        <v/>
      </c>
      <c r="U134" s="67">
        <f>INDEX(Projects[Value (M)],133)</f>
        <v/>
      </c>
      <c r="V134" s="66">
        <f>IF('Smart Search'!B13=1,IFERROR(1/'Smart Search'!H13,0),0)</f>
        <v/>
      </c>
      <c r="W134" s="66">
        <f>IF('Smart Search'!B13=1,IFERROR(1/'Smart Search'!H13,0),0)</f>
        <v/>
      </c>
      <c r="X134" s="66">
        <f>IF('Smart Search'!C13=1,IFERROR(1/'Smart Search'!H13,0),0)</f>
        <v/>
      </c>
      <c r="Y134" s="66">
        <f>IF('Smart Search'!C13=1,IFERROR(1/'Smart Search'!H13,0),0)</f>
        <v/>
      </c>
      <c r="Z134" s="66">
        <f>IF('Smart Search'!D13=1,IFERROR(1/'Smart Search'!H13,0),0)</f>
        <v/>
      </c>
      <c r="AA134" s="66">
        <f>IF('Smart Search'!D13=1,IFERROR(1/'Smart Search'!H13,0),0)</f>
        <v/>
      </c>
      <c r="AB134" s="66">
        <f>IF('Smart Search'!E13=1,IFERROR(1/'Smart Search'!H13,0),0)</f>
        <v/>
      </c>
      <c r="AC134" s="66">
        <f>IF('Smart Search'!E13=1,IFERROR(1/'Smart Search'!H13,0),0)</f>
        <v/>
      </c>
      <c r="AD134" s="66">
        <f>IF('Smart Search'!F13=1,IFERROR(1/'Smart Search'!H13,0),0)</f>
        <v/>
      </c>
      <c r="AE134" s="66">
        <f>IF('Smart Search'!F13=1,IFERROR(1/'Smart Search'!H13,0),0)</f>
        <v/>
      </c>
      <c r="AF134" s="66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66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66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66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66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66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66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66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66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66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66">
        <f>AF134*V134</f>
        <v/>
      </c>
      <c r="AQ134" s="66">
        <f>AG134*W134</f>
        <v/>
      </c>
      <c r="AR134" s="66">
        <f>AH134*X134</f>
        <v/>
      </c>
      <c r="AS134" s="66">
        <f>AI134*Y134</f>
        <v/>
      </c>
      <c r="AT134" s="66">
        <f>AJ134*Z134</f>
        <v/>
      </c>
      <c r="AU134" s="66">
        <f>AK134*AA134</f>
        <v/>
      </c>
      <c r="AV134" s="66">
        <f>AL134*AB134</f>
        <v/>
      </c>
      <c r="AW134" s="66">
        <f>AM134*AC134</f>
        <v/>
      </c>
      <c r="AX134" s="66">
        <f>AN134*AD134</f>
        <v/>
      </c>
      <c r="AY134" s="66">
        <f>AO134*AE134</f>
        <v/>
      </c>
      <c r="AZ134" s="66">
        <f>INDEX(Projects[Automation Equipment],133)&amp;""</f>
        <v/>
      </c>
      <c r="BA134" s="66">
        <f>IF(OR(A134="",'Smart Search'!H13=0),"",MAX(0,BE134*BF134*MAX(0,1-BG134)))</f>
        <v/>
      </c>
      <c r="BB134" s="66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66">
        <f>IF('Smart Search'!G13=1,IFERROR(1/'Smart Search'!H13,0),0)</f>
        <v/>
      </c>
      <c r="BD134" s="66">
        <f>BB134*BC134</f>
        <v/>
      </c>
      <c r="BE134" s="66">
        <f>AP134+AQ134+AR134+AS134+AT134+AU134+AV134+AW134+AX134+AY134+BD134</f>
        <v/>
      </c>
      <c r="BF134" s="5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5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5">
        <f>IF(AND(A134&lt;&gt;"",OR('Smart Search'!$L$5="",'Smart Search'!$L$5="All",TRIM(BZ134)=TRIM('Smart Search'!$L$5)),OR(TRIM('Smart Search'!$L$6)="",TRIM('Smart Search'!$L$6)="All",ISNUMBER(SEARCH(SUBSTITUTE(SUBSTITUTE(SUBSTITUTE(TRIM('Smart Search'!$L$6),"~","~~"),"*","~*"),"?","~?"),CA134))),OR('Smart Search'!$L$7="",AND(CB134&lt;&gt;0,CB134='Smart Search'!$L$7)),OR('Smart Search'!$L$8="",'Smart Search'!$L$8="All",TRIM(CC134)=TRIM('Smart Search'!$L$8))),IF(BA134="","",BA134+ROW()*0.0000000001),"")</f>
        <v/>
      </c>
      <c r="BI134" s="5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5">
        <f>IF(A134="","",N(INDEX(Projects[Mech Inst],133)))</f>
        <v/>
      </c>
      <c r="BK134" s="5">
        <f>IF(A134="","",N(INDEX(Projects[Elec Inst],133)))</f>
        <v/>
      </c>
      <c r="BL134" s="5">
        <f>IF(A134="","",N(INDEX(Projects[Project Management],133)))</f>
        <v/>
      </c>
      <c r="BM134" s="5">
        <f>IF(A134="","",N(INDEX(Projects[Systems Eng],133)))</f>
        <v/>
      </c>
      <c r="BN134" s="5">
        <f>IF(A134="","",N(INDEX(Projects[Mechanical Eng],133)))</f>
        <v/>
      </c>
      <c r="BO134" s="5">
        <f>IF(A134="","",N(INDEX(Projects[Structural Engineering],133)))</f>
        <v/>
      </c>
      <c r="BP134" s="5">
        <f>IF(A134="","",N(INDEX(Projects[Site Sup],133)))</f>
        <v/>
      </c>
      <c r="BQ134" s="5">
        <f>IF(A134="","",N(INDEX(Projects[Controls Commissioning],133)))</f>
        <v/>
      </c>
      <c r="BR134" s="5">
        <f>IF(A134="","",N(INDEX(Projects[Systems Commissioning],133)))</f>
        <v/>
      </c>
      <c r="BS134" s="5">
        <f>IF(A134="","",N(INDEX(Projects[Service Commissioning],133)))</f>
        <v/>
      </c>
      <c r="BT134" s="5">
        <f>IF(A134="","",N(INDEX(Projects[Controls Eng],133)))</f>
        <v/>
      </c>
      <c r="BU134" s="5">
        <f>IF(A134="","",N(INDEX(Projects[Controls Purchase],133)))</f>
        <v/>
      </c>
      <c r="BV134" s="5">
        <f>IF(A134="","",N(INDEX(Projects[Software Eng],133)))</f>
        <v/>
      </c>
      <c r="BW134" s="5">
        <f>IF(A134="","",N(INDEX(Projects[Misc],133)))</f>
        <v/>
      </c>
      <c r="BX134" s="5">
        <f>IF(A134="","",SUM(BJ134:BW134))</f>
        <v/>
      </c>
      <c r="BY134" s="5">
        <f>IF(A134="","",IFERROR(IF(ISNUMBER(U134),U134,VALUE(SUBSTITUTE(SUBSTITUTE(SUBSTITUTE(UPPER(TRIM(U134)),"M",""),",","")," ",""))),0))</f>
        <v/>
      </c>
      <c r="BZ134" s="5">
        <f>INDEX(Projects[Solution Type],133)&amp;""</f>
        <v/>
      </c>
      <c r="CA134" s="5">
        <f>INDEX(Projects[Client / Region],133)&amp;""</f>
        <v/>
      </c>
      <c r="CB134" s="5">
        <f>INDEX(Projects[Year],133)</f>
        <v/>
      </c>
      <c r="CC134" s="5">
        <f>INDEX(Projects[Won?],133)&amp;""</f>
        <v/>
      </c>
      <c r="CD134" s="5">
        <f>INDEX(Projects[Value (USD M)],133)</f>
        <v/>
      </c>
    </row>
    <row r="135" ht="15" customHeight="1" s="74">
      <c r="A135" s="66">
        <f>INDEX(Projects[Project ID *],134)&amp;""</f>
        <v/>
      </c>
      <c r="B135" s="66">
        <f>INDEX(Projects[Project Name *],134)&amp;""</f>
        <v/>
      </c>
      <c r="C135" s="66">
        <f>INDEX(Projects[MS Shuttles],134)</f>
        <v/>
      </c>
      <c r="D135" s="66">
        <f>INDEX(Projects[MS Tote Locations],134)</f>
        <v/>
      </c>
      <c r="E135" s="66">
        <f>INDEX(Projects[AS Robots],134)</f>
        <v/>
      </c>
      <c r="F135" s="66">
        <f>INDEX(Projects[AS Tote Locations],134)</f>
        <v/>
      </c>
      <c r="G135" s="66">
        <f>INDEX(Projects[PS Shuttles],134)</f>
        <v/>
      </c>
      <c r="H135" s="66">
        <f>INDEX(Projects[PS Pallet Locations],134)</f>
        <v/>
      </c>
      <c r="I135" s="66">
        <f>INDEX(Projects[SRM Cranes],134)</f>
        <v/>
      </c>
      <c r="J135" s="66">
        <f>INDEX(Projects[SRM Pallet Locations],134)</f>
        <v/>
      </c>
      <c r="K135" s="66">
        <f>INDEX(Projects[Case Conv (m)],134)</f>
        <v/>
      </c>
      <c r="L135" s="66">
        <f>INDEX(Projects[Pallet Conv (m)],134)</f>
        <v/>
      </c>
      <c r="M135" s="66">
        <f>INDEX(Projects[Mech Eng (wks)],134)</f>
        <v/>
      </c>
      <c r="N135" s="66">
        <f>INDEX(Projects[Controls Eng (wks)],134)</f>
        <v/>
      </c>
      <c r="O135" s="66">
        <f>INDEX(Projects[Systems Eng (wks)],134)</f>
        <v/>
      </c>
      <c r="P135" s="66">
        <f>INDEX(Projects[Software Eng (wks)],134)</f>
        <v/>
      </c>
      <c r="Q135" s="66">
        <f>INDEX(Projects[M&amp;E Installation (wks)],134)</f>
        <v/>
      </c>
      <c r="R135" s="66">
        <f>INDEX(Projects[Commissioning (wks)],134)</f>
        <v/>
      </c>
      <c r="S135" s="66">
        <f>INDEX(Projects[Total Timeline (wks)],134)</f>
        <v/>
      </c>
      <c r="T135" s="66">
        <f>INDEX(Projects[Currency],134)&amp;""</f>
        <v/>
      </c>
      <c r="U135" s="67">
        <f>INDEX(Projects[Value (M)],134)</f>
        <v/>
      </c>
      <c r="V135" s="66">
        <f>IF('Smart Search'!B13=1,IFERROR(1/'Smart Search'!H13,0),0)</f>
        <v/>
      </c>
      <c r="W135" s="66">
        <f>IF('Smart Search'!B13=1,IFERROR(1/'Smart Search'!H13,0),0)</f>
        <v/>
      </c>
      <c r="X135" s="66">
        <f>IF('Smart Search'!C13=1,IFERROR(1/'Smart Search'!H13,0),0)</f>
        <v/>
      </c>
      <c r="Y135" s="66">
        <f>IF('Smart Search'!C13=1,IFERROR(1/'Smart Search'!H13,0),0)</f>
        <v/>
      </c>
      <c r="Z135" s="66">
        <f>IF('Smart Search'!D13=1,IFERROR(1/'Smart Search'!H13,0),0)</f>
        <v/>
      </c>
      <c r="AA135" s="66">
        <f>IF('Smart Search'!D13=1,IFERROR(1/'Smart Search'!H13,0),0)</f>
        <v/>
      </c>
      <c r="AB135" s="66">
        <f>IF('Smart Search'!E13=1,IFERROR(1/'Smart Search'!H13,0),0)</f>
        <v/>
      </c>
      <c r="AC135" s="66">
        <f>IF('Smart Search'!E13=1,IFERROR(1/'Smart Search'!H13,0),0)</f>
        <v/>
      </c>
      <c r="AD135" s="66">
        <f>IF('Smart Search'!F13=1,IFERROR(1/'Smart Search'!H13,0),0)</f>
        <v/>
      </c>
      <c r="AE135" s="66">
        <f>IF('Smart Search'!F13=1,IFERROR(1/'Smart Search'!H13,0),0)</f>
        <v/>
      </c>
      <c r="AF135" s="66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66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66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66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66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66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66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66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66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66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66">
        <f>AF135*V135</f>
        <v/>
      </c>
      <c r="AQ135" s="66">
        <f>AG135*W135</f>
        <v/>
      </c>
      <c r="AR135" s="66">
        <f>AH135*X135</f>
        <v/>
      </c>
      <c r="AS135" s="66">
        <f>AI135*Y135</f>
        <v/>
      </c>
      <c r="AT135" s="66">
        <f>AJ135*Z135</f>
        <v/>
      </c>
      <c r="AU135" s="66">
        <f>AK135*AA135</f>
        <v/>
      </c>
      <c r="AV135" s="66">
        <f>AL135*AB135</f>
        <v/>
      </c>
      <c r="AW135" s="66">
        <f>AM135*AC135</f>
        <v/>
      </c>
      <c r="AX135" s="66">
        <f>AN135*AD135</f>
        <v/>
      </c>
      <c r="AY135" s="66">
        <f>AO135*AE135</f>
        <v/>
      </c>
      <c r="AZ135" s="66">
        <f>INDEX(Projects[Automation Equipment],134)&amp;""</f>
        <v/>
      </c>
      <c r="BA135" s="66">
        <f>IF(OR(A135="",'Smart Search'!H13=0),"",MAX(0,BE135*BF135*MAX(0,1-BG135)))</f>
        <v/>
      </c>
      <c r="BB135" s="66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66">
        <f>IF('Smart Search'!G13=1,IFERROR(1/'Smart Search'!H13,0),0)</f>
        <v/>
      </c>
      <c r="BD135" s="66">
        <f>BB135*BC135</f>
        <v/>
      </c>
      <c r="BE135" s="66">
        <f>AP135+AQ135+AR135+AS135+AT135+AU135+AV135+AW135+AX135+AY135+BD135</f>
        <v/>
      </c>
      <c r="BF135" s="5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5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5">
        <f>IF(AND(A135&lt;&gt;"",OR('Smart Search'!$L$5="",'Smart Search'!$L$5="All",TRIM(BZ135)=TRIM('Smart Search'!$L$5)),OR(TRIM('Smart Search'!$L$6)="",TRIM('Smart Search'!$L$6)="All",ISNUMBER(SEARCH(SUBSTITUTE(SUBSTITUTE(SUBSTITUTE(TRIM('Smart Search'!$L$6),"~","~~"),"*","~*"),"?","~?"),CA135))),OR('Smart Search'!$L$7="",AND(CB135&lt;&gt;0,CB135='Smart Search'!$L$7)),OR('Smart Search'!$L$8="",'Smart Search'!$L$8="All",TRIM(CC135)=TRIM('Smart Search'!$L$8))),IF(BA135="","",BA135+ROW()*0.0000000001),"")</f>
        <v/>
      </c>
      <c r="BI135" s="5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5">
        <f>IF(A135="","",N(INDEX(Projects[Mech Inst],134)))</f>
        <v/>
      </c>
      <c r="BK135" s="5">
        <f>IF(A135="","",N(INDEX(Projects[Elec Inst],134)))</f>
        <v/>
      </c>
      <c r="BL135" s="5">
        <f>IF(A135="","",N(INDEX(Projects[Project Management],134)))</f>
        <v/>
      </c>
      <c r="BM135" s="5">
        <f>IF(A135="","",N(INDEX(Projects[Systems Eng],134)))</f>
        <v/>
      </c>
      <c r="BN135" s="5">
        <f>IF(A135="","",N(INDEX(Projects[Mechanical Eng],134)))</f>
        <v/>
      </c>
      <c r="BO135" s="5">
        <f>IF(A135="","",N(INDEX(Projects[Structural Engineering],134)))</f>
        <v/>
      </c>
      <c r="BP135" s="5">
        <f>IF(A135="","",N(INDEX(Projects[Site Sup],134)))</f>
        <v/>
      </c>
      <c r="BQ135" s="5">
        <f>IF(A135="","",N(INDEX(Projects[Controls Commissioning],134)))</f>
        <v/>
      </c>
      <c r="BR135" s="5">
        <f>IF(A135="","",N(INDEX(Projects[Systems Commissioning],134)))</f>
        <v/>
      </c>
      <c r="BS135" s="5">
        <f>IF(A135="","",N(INDEX(Projects[Service Commissioning],134)))</f>
        <v/>
      </c>
      <c r="BT135" s="5">
        <f>IF(A135="","",N(INDEX(Projects[Controls Eng],134)))</f>
        <v/>
      </c>
      <c r="BU135" s="5">
        <f>IF(A135="","",N(INDEX(Projects[Controls Purchase],134)))</f>
        <v/>
      </c>
      <c r="BV135" s="5">
        <f>IF(A135="","",N(INDEX(Projects[Software Eng],134)))</f>
        <v/>
      </c>
      <c r="BW135" s="5">
        <f>IF(A135="","",N(INDEX(Projects[Misc],134)))</f>
        <v/>
      </c>
      <c r="BX135" s="5">
        <f>IF(A135="","",SUM(BJ135:BW135))</f>
        <v/>
      </c>
      <c r="BY135" s="5">
        <f>IF(A135="","",IFERROR(IF(ISNUMBER(U135),U135,VALUE(SUBSTITUTE(SUBSTITUTE(SUBSTITUTE(UPPER(TRIM(U135)),"M",""),",","")," ",""))),0))</f>
        <v/>
      </c>
      <c r="BZ135" s="5">
        <f>INDEX(Projects[Solution Type],134)&amp;""</f>
        <v/>
      </c>
      <c r="CA135" s="5">
        <f>INDEX(Projects[Client / Region],134)&amp;""</f>
        <v/>
      </c>
      <c r="CB135" s="5">
        <f>INDEX(Projects[Year],134)</f>
        <v/>
      </c>
      <c r="CC135" s="5">
        <f>INDEX(Projects[Won?],134)&amp;""</f>
        <v/>
      </c>
      <c r="CD135" s="5">
        <f>INDEX(Projects[Value (USD M)],134)</f>
        <v/>
      </c>
    </row>
    <row r="136" ht="15" customHeight="1" s="74">
      <c r="A136" s="66">
        <f>INDEX(Projects[Project ID *],135)&amp;""</f>
        <v/>
      </c>
      <c r="B136" s="66">
        <f>INDEX(Projects[Project Name *],135)&amp;""</f>
        <v/>
      </c>
      <c r="C136" s="66">
        <f>INDEX(Projects[MS Shuttles],135)</f>
        <v/>
      </c>
      <c r="D136" s="66">
        <f>INDEX(Projects[MS Tote Locations],135)</f>
        <v/>
      </c>
      <c r="E136" s="66">
        <f>INDEX(Projects[AS Robots],135)</f>
        <v/>
      </c>
      <c r="F136" s="66">
        <f>INDEX(Projects[AS Tote Locations],135)</f>
        <v/>
      </c>
      <c r="G136" s="66">
        <f>INDEX(Projects[PS Shuttles],135)</f>
        <v/>
      </c>
      <c r="H136" s="66">
        <f>INDEX(Projects[PS Pallet Locations],135)</f>
        <v/>
      </c>
      <c r="I136" s="66">
        <f>INDEX(Projects[SRM Cranes],135)</f>
        <v/>
      </c>
      <c r="J136" s="66">
        <f>INDEX(Projects[SRM Pallet Locations],135)</f>
        <v/>
      </c>
      <c r="K136" s="66">
        <f>INDEX(Projects[Case Conv (m)],135)</f>
        <v/>
      </c>
      <c r="L136" s="66">
        <f>INDEX(Projects[Pallet Conv (m)],135)</f>
        <v/>
      </c>
      <c r="M136" s="66">
        <f>INDEX(Projects[Mech Eng (wks)],135)</f>
        <v/>
      </c>
      <c r="N136" s="66">
        <f>INDEX(Projects[Controls Eng (wks)],135)</f>
        <v/>
      </c>
      <c r="O136" s="66">
        <f>INDEX(Projects[Systems Eng (wks)],135)</f>
        <v/>
      </c>
      <c r="P136" s="66">
        <f>INDEX(Projects[Software Eng (wks)],135)</f>
        <v/>
      </c>
      <c r="Q136" s="66">
        <f>INDEX(Projects[M&amp;E Installation (wks)],135)</f>
        <v/>
      </c>
      <c r="R136" s="66">
        <f>INDEX(Projects[Commissioning (wks)],135)</f>
        <v/>
      </c>
      <c r="S136" s="66">
        <f>INDEX(Projects[Total Timeline (wks)],135)</f>
        <v/>
      </c>
      <c r="T136" s="66">
        <f>INDEX(Projects[Currency],135)&amp;""</f>
        <v/>
      </c>
      <c r="U136" s="67">
        <f>INDEX(Projects[Value (M)],135)</f>
        <v/>
      </c>
      <c r="V136" s="66">
        <f>IF('Smart Search'!B13=1,IFERROR(1/'Smart Search'!H13,0),0)</f>
        <v/>
      </c>
      <c r="W136" s="66">
        <f>IF('Smart Search'!B13=1,IFERROR(1/'Smart Search'!H13,0),0)</f>
        <v/>
      </c>
      <c r="X136" s="66">
        <f>IF('Smart Search'!C13=1,IFERROR(1/'Smart Search'!H13,0),0)</f>
        <v/>
      </c>
      <c r="Y136" s="66">
        <f>IF('Smart Search'!C13=1,IFERROR(1/'Smart Search'!H13,0),0)</f>
        <v/>
      </c>
      <c r="Z136" s="66">
        <f>IF('Smart Search'!D13=1,IFERROR(1/'Smart Search'!H13,0),0)</f>
        <v/>
      </c>
      <c r="AA136" s="66">
        <f>IF('Smart Search'!D13=1,IFERROR(1/'Smart Search'!H13,0),0)</f>
        <v/>
      </c>
      <c r="AB136" s="66">
        <f>IF('Smart Search'!E13=1,IFERROR(1/'Smart Search'!H13,0),0)</f>
        <v/>
      </c>
      <c r="AC136" s="66">
        <f>IF('Smart Search'!E13=1,IFERROR(1/'Smart Search'!H13,0),0)</f>
        <v/>
      </c>
      <c r="AD136" s="66">
        <f>IF('Smart Search'!F13=1,IFERROR(1/'Smart Search'!H13,0),0)</f>
        <v/>
      </c>
      <c r="AE136" s="66">
        <f>IF('Smart Search'!F13=1,IFERROR(1/'Smart Search'!H13,0),0)</f>
        <v/>
      </c>
      <c r="AF136" s="66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66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66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66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66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66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66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66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66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66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66">
        <f>AF136*V136</f>
        <v/>
      </c>
      <c r="AQ136" s="66">
        <f>AG136*W136</f>
        <v/>
      </c>
      <c r="AR136" s="66">
        <f>AH136*X136</f>
        <v/>
      </c>
      <c r="AS136" s="66">
        <f>AI136*Y136</f>
        <v/>
      </c>
      <c r="AT136" s="66">
        <f>AJ136*Z136</f>
        <v/>
      </c>
      <c r="AU136" s="66">
        <f>AK136*AA136</f>
        <v/>
      </c>
      <c r="AV136" s="66">
        <f>AL136*AB136</f>
        <v/>
      </c>
      <c r="AW136" s="66">
        <f>AM136*AC136</f>
        <v/>
      </c>
      <c r="AX136" s="66">
        <f>AN136*AD136</f>
        <v/>
      </c>
      <c r="AY136" s="66">
        <f>AO136*AE136</f>
        <v/>
      </c>
      <c r="AZ136" s="66">
        <f>INDEX(Projects[Automation Equipment],135)&amp;""</f>
        <v/>
      </c>
      <c r="BA136" s="66">
        <f>IF(OR(A136="",'Smart Search'!H13=0),"",MAX(0,BE136*BF136*MAX(0,1-BG136)))</f>
        <v/>
      </c>
      <c r="BB136" s="66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66">
        <f>IF('Smart Search'!G13=1,IFERROR(1/'Smart Search'!H13,0),0)</f>
        <v/>
      </c>
      <c r="BD136" s="66">
        <f>BB136*BC136</f>
        <v/>
      </c>
      <c r="BE136" s="66">
        <f>AP136+AQ136+AR136+AS136+AT136+AU136+AV136+AW136+AX136+AY136+BD136</f>
        <v/>
      </c>
      <c r="BF136" s="5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5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5">
        <f>IF(AND(A136&lt;&gt;"",OR('Smart Search'!$L$5="",'Smart Search'!$L$5="All",TRIM(BZ136)=TRIM('Smart Search'!$L$5)),OR(TRIM('Smart Search'!$L$6)="",TRIM('Smart Search'!$L$6)="All",ISNUMBER(SEARCH(SUBSTITUTE(SUBSTITUTE(SUBSTITUTE(TRIM('Smart Search'!$L$6),"~","~~"),"*","~*"),"?","~?"),CA136))),OR('Smart Search'!$L$7="",AND(CB136&lt;&gt;0,CB136='Smart Search'!$L$7)),OR('Smart Search'!$L$8="",'Smart Search'!$L$8="All",TRIM(CC136)=TRIM('Smart Search'!$L$8))),IF(BA136="","",BA136+ROW()*0.0000000001),"")</f>
        <v/>
      </c>
      <c r="BI136" s="5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5">
        <f>IF(A136="","",N(INDEX(Projects[Mech Inst],135)))</f>
        <v/>
      </c>
      <c r="BK136" s="5">
        <f>IF(A136="","",N(INDEX(Projects[Elec Inst],135)))</f>
        <v/>
      </c>
      <c r="BL136" s="5">
        <f>IF(A136="","",N(INDEX(Projects[Project Management],135)))</f>
        <v/>
      </c>
      <c r="BM136" s="5">
        <f>IF(A136="","",N(INDEX(Projects[Systems Eng],135)))</f>
        <v/>
      </c>
      <c r="BN136" s="5">
        <f>IF(A136="","",N(INDEX(Projects[Mechanical Eng],135)))</f>
        <v/>
      </c>
      <c r="BO136" s="5">
        <f>IF(A136="","",N(INDEX(Projects[Structural Engineering],135)))</f>
        <v/>
      </c>
      <c r="BP136" s="5">
        <f>IF(A136="","",N(INDEX(Projects[Site Sup],135)))</f>
        <v/>
      </c>
      <c r="BQ136" s="5">
        <f>IF(A136="","",N(INDEX(Projects[Controls Commissioning],135)))</f>
        <v/>
      </c>
      <c r="BR136" s="5">
        <f>IF(A136="","",N(INDEX(Projects[Systems Commissioning],135)))</f>
        <v/>
      </c>
      <c r="BS136" s="5">
        <f>IF(A136="","",N(INDEX(Projects[Service Commissioning],135)))</f>
        <v/>
      </c>
      <c r="BT136" s="5">
        <f>IF(A136="","",N(INDEX(Projects[Controls Eng],135)))</f>
        <v/>
      </c>
      <c r="BU136" s="5">
        <f>IF(A136="","",N(INDEX(Projects[Controls Purchase],135)))</f>
        <v/>
      </c>
      <c r="BV136" s="5">
        <f>IF(A136="","",N(INDEX(Projects[Software Eng],135)))</f>
        <v/>
      </c>
      <c r="BW136" s="5">
        <f>IF(A136="","",N(INDEX(Projects[Misc],135)))</f>
        <v/>
      </c>
      <c r="BX136" s="5">
        <f>IF(A136="","",SUM(BJ136:BW136))</f>
        <v/>
      </c>
      <c r="BY136" s="5">
        <f>IF(A136="","",IFERROR(IF(ISNUMBER(U136),U136,VALUE(SUBSTITUTE(SUBSTITUTE(SUBSTITUTE(UPPER(TRIM(U136)),"M",""),",","")," ",""))),0))</f>
        <v/>
      </c>
      <c r="BZ136" s="5">
        <f>INDEX(Projects[Solution Type],135)&amp;""</f>
        <v/>
      </c>
      <c r="CA136" s="5">
        <f>INDEX(Projects[Client / Region],135)&amp;""</f>
        <v/>
      </c>
      <c r="CB136" s="5">
        <f>INDEX(Projects[Year],135)</f>
        <v/>
      </c>
      <c r="CC136" s="5">
        <f>INDEX(Projects[Won?],135)&amp;""</f>
        <v/>
      </c>
      <c r="CD136" s="5">
        <f>INDEX(Projects[Value (USD M)],135)</f>
        <v/>
      </c>
    </row>
    <row r="137" ht="15" customHeight="1" s="74">
      <c r="A137" s="66">
        <f>INDEX(Projects[Project ID *],136)&amp;""</f>
        <v/>
      </c>
      <c r="B137" s="66">
        <f>INDEX(Projects[Project Name *],136)&amp;""</f>
        <v/>
      </c>
      <c r="C137" s="66">
        <f>INDEX(Projects[MS Shuttles],136)</f>
        <v/>
      </c>
      <c r="D137" s="66">
        <f>INDEX(Projects[MS Tote Locations],136)</f>
        <v/>
      </c>
      <c r="E137" s="66">
        <f>INDEX(Projects[AS Robots],136)</f>
        <v/>
      </c>
      <c r="F137" s="66">
        <f>INDEX(Projects[AS Tote Locations],136)</f>
        <v/>
      </c>
      <c r="G137" s="66">
        <f>INDEX(Projects[PS Shuttles],136)</f>
        <v/>
      </c>
      <c r="H137" s="66">
        <f>INDEX(Projects[PS Pallet Locations],136)</f>
        <v/>
      </c>
      <c r="I137" s="66">
        <f>INDEX(Projects[SRM Cranes],136)</f>
        <v/>
      </c>
      <c r="J137" s="66">
        <f>INDEX(Projects[SRM Pallet Locations],136)</f>
        <v/>
      </c>
      <c r="K137" s="66">
        <f>INDEX(Projects[Case Conv (m)],136)</f>
        <v/>
      </c>
      <c r="L137" s="66">
        <f>INDEX(Projects[Pallet Conv (m)],136)</f>
        <v/>
      </c>
      <c r="M137" s="66">
        <f>INDEX(Projects[Mech Eng (wks)],136)</f>
        <v/>
      </c>
      <c r="N137" s="66">
        <f>INDEX(Projects[Controls Eng (wks)],136)</f>
        <v/>
      </c>
      <c r="O137" s="66">
        <f>INDEX(Projects[Systems Eng (wks)],136)</f>
        <v/>
      </c>
      <c r="P137" s="66">
        <f>INDEX(Projects[Software Eng (wks)],136)</f>
        <v/>
      </c>
      <c r="Q137" s="66">
        <f>INDEX(Projects[M&amp;E Installation (wks)],136)</f>
        <v/>
      </c>
      <c r="R137" s="66">
        <f>INDEX(Projects[Commissioning (wks)],136)</f>
        <v/>
      </c>
      <c r="S137" s="66">
        <f>INDEX(Projects[Total Timeline (wks)],136)</f>
        <v/>
      </c>
      <c r="T137" s="66">
        <f>INDEX(Projects[Currency],136)&amp;""</f>
        <v/>
      </c>
      <c r="U137" s="67">
        <f>INDEX(Projects[Value (M)],136)</f>
        <v/>
      </c>
      <c r="V137" s="66">
        <f>IF('Smart Search'!B13=1,IFERROR(1/'Smart Search'!H13,0),0)</f>
        <v/>
      </c>
      <c r="W137" s="66">
        <f>IF('Smart Search'!B13=1,IFERROR(1/'Smart Search'!H13,0),0)</f>
        <v/>
      </c>
      <c r="X137" s="66">
        <f>IF('Smart Search'!C13=1,IFERROR(1/'Smart Search'!H13,0),0)</f>
        <v/>
      </c>
      <c r="Y137" s="66">
        <f>IF('Smart Search'!C13=1,IFERROR(1/'Smart Search'!H13,0),0)</f>
        <v/>
      </c>
      <c r="Z137" s="66">
        <f>IF('Smart Search'!D13=1,IFERROR(1/'Smart Search'!H13,0),0)</f>
        <v/>
      </c>
      <c r="AA137" s="66">
        <f>IF('Smart Search'!D13=1,IFERROR(1/'Smart Search'!H13,0),0)</f>
        <v/>
      </c>
      <c r="AB137" s="66">
        <f>IF('Smart Search'!E13=1,IFERROR(1/'Smart Search'!H13,0),0)</f>
        <v/>
      </c>
      <c r="AC137" s="66">
        <f>IF('Smart Search'!E13=1,IFERROR(1/'Smart Search'!H13,0),0)</f>
        <v/>
      </c>
      <c r="AD137" s="66">
        <f>IF('Smart Search'!F13=1,IFERROR(1/'Smart Search'!H13,0),0)</f>
        <v/>
      </c>
      <c r="AE137" s="66">
        <f>IF('Smart Search'!F13=1,IFERROR(1/'Smart Search'!H13,0),0)</f>
        <v/>
      </c>
      <c r="AF137" s="66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66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66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66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66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66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66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66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66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66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66">
        <f>AF137*V137</f>
        <v/>
      </c>
      <c r="AQ137" s="66">
        <f>AG137*W137</f>
        <v/>
      </c>
      <c r="AR137" s="66">
        <f>AH137*X137</f>
        <v/>
      </c>
      <c r="AS137" s="66">
        <f>AI137*Y137</f>
        <v/>
      </c>
      <c r="AT137" s="66">
        <f>AJ137*Z137</f>
        <v/>
      </c>
      <c r="AU137" s="66">
        <f>AK137*AA137</f>
        <v/>
      </c>
      <c r="AV137" s="66">
        <f>AL137*AB137</f>
        <v/>
      </c>
      <c r="AW137" s="66">
        <f>AM137*AC137</f>
        <v/>
      </c>
      <c r="AX137" s="66">
        <f>AN137*AD137</f>
        <v/>
      </c>
      <c r="AY137" s="66">
        <f>AO137*AE137</f>
        <v/>
      </c>
      <c r="AZ137" s="66">
        <f>INDEX(Projects[Automation Equipment],136)&amp;""</f>
        <v/>
      </c>
      <c r="BA137" s="66">
        <f>IF(OR(A137="",'Smart Search'!H13=0),"",MAX(0,BE137*BF137*MAX(0,1-BG137)))</f>
        <v/>
      </c>
      <c r="BB137" s="66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66">
        <f>IF('Smart Search'!G13=1,IFERROR(1/'Smart Search'!H13,0),0)</f>
        <v/>
      </c>
      <c r="BD137" s="66">
        <f>BB137*BC137</f>
        <v/>
      </c>
      <c r="BE137" s="66">
        <f>AP137+AQ137+AR137+AS137+AT137+AU137+AV137+AW137+AX137+AY137+BD137</f>
        <v/>
      </c>
      <c r="BF137" s="5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5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5">
        <f>IF(AND(A137&lt;&gt;"",OR('Smart Search'!$L$5="",'Smart Search'!$L$5="All",TRIM(BZ137)=TRIM('Smart Search'!$L$5)),OR(TRIM('Smart Search'!$L$6)="",TRIM('Smart Search'!$L$6)="All",ISNUMBER(SEARCH(SUBSTITUTE(SUBSTITUTE(SUBSTITUTE(TRIM('Smart Search'!$L$6),"~","~~"),"*","~*"),"?","~?"),CA137))),OR('Smart Search'!$L$7="",AND(CB137&lt;&gt;0,CB137='Smart Search'!$L$7)),OR('Smart Search'!$L$8="",'Smart Search'!$L$8="All",TRIM(CC137)=TRIM('Smart Search'!$L$8))),IF(BA137="","",BA137+ROW()*0.0000000001),"")</f>
        <v/>
      </c>
      <c r="BI137" s="5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5">
        <f>IF(A137="","",N(INDEX(Projects[Mech Inst],136)))</f>
        <v/>
      </c>
      <c r="BK137" s="5">
        <f>IF(A137="","",N(INDEX(Projects[Elec Inst],136)))</f>
        <v/>
      </c>
      <c r="BL137" s="5">
        <f>IF(A137="","",N(INDEX(Projects[Project Management],136)))</f>
        <v/>
      </c>
      <c r="BM137" s="5">
        <f>IF(A137="","",N(INDEX(Projects[Systems Eng],136)))</f>
        <v/>
      </c>
      <c r="BN137" s="5">
        <f>IF(A137="","",N(INDEX(Projects[Mechanical Eng],136)))</f>
        <v/>
      </c>
      <c r="BO137" s="5">
        <f>IF(A137="","",N(INDEX(Projects[Structural Engineering],136)))</f>
        <v/>
      </c>
      <c r="BP137" s="5">
        <f>IF(A137="","",N(INDEX(Projects[Site Sup],136)))</f>
        <v/>
      </c>
      <c r="BQ137" s="5">
        <f>IF(A137="","",N(INDEX(Projects[Controls Commissioning],136)))</f>
        <v/>
      </c>
      <c r="BR137" s="5">
        <f>IF(A137="","",N(INDEX(Projects[Systems Commissioning],136)))</f>
        <v/>
      </c>
      <c r="BS137" s="5">
        <f>IF(A137="","",N(INDEX(Projects[Service Commissioning],136)))</f>
        <v/>
      </c>
      <c r="BT137" s="5">
        <f>IF(A137="","",N(INDEX(Projects[Controls Eng],136)))</f>
        <v/>
      </c>
      <c r="BU137" s="5">
        <f>IF(A137="","",N(INDEX(Projects[Controls Purchase],136)))</f>
        <v/>
      </c>
      <c r="BV137" s="5">
        <f>IF(A137="","",N(INDEX(Projects[Software Eng],136)))</f>
        <v/>
      </c>
      <c r="BW137" s="5">
        <f>IF(A137="","",N(INDEX(Projects[Misc],136)))</f>
        <v/>
      </c>
      <c r="BX137" s="5">
        <f>IF(A137="","",SUM(BJ137:BW137))</f>
        <v/>
      </c>
      <c r="BY137" s="5">
        <f>IF(A137="","",IFERROR(IF(ISNUMBER(U137),U137,VALUE(SUBSTITUTE(SUBSTITUTE(SUBSTITUTE(UPPER(TRIM(U137)),"M",""),",","")," ",""))),0))</f>
        <v/>
      </c>
      <c r="BZ137" s="5">
        <f>INDEX(Projects[Solution Type],136)&amp;""</f>
        <v/>
      </c>
      <c r="CA137" s="5">
        <f>INDEX(Projects[Client / Region],136)&amp;""</f>
        <v/>
      </c>
      <c r="CB137" s="5">
        <f>INDEX(Projects[Year],136)</f>
        <v/>
      </c>
      <c r="CC137" s="5">
        <f>INDEX(Projects[Won?],136)&amp;""</f>
        <v/>
      </c>
      <c r="CD137" s="5">
        <f>INDEX(Projects[Value (USD M)],136)</f>
        <v/>
      </c>
    </row>
    <row r="138" ht="15" customHeight="1" s="74">
      <c r="A138" s="66">
        <f>INDEX(Projects[Project ID *],137)&amp;""</f>
        <v/>
      </c>
      <c r="B138" s="66">
        <f>INDEX(Projects[Project Name *],137)&amp;""</f>
        <v/>
      </c>
      <c r="C138" s="66">
        <f>INDEX(Projects[MS Shuttles],137)</f>
        <v/>
      </c>
      <c r="D138" s="66">
        <f>INDEX(Projects[MS Tote Locations],137)</f>
        <v/>
      </c>
      <c r="E138" s="66">
        <f>INDEX(Projects[AS Robots],137)</f>
        <v/>
      </c>
      <c r="F138" s="66">
        <f>INDEX(Projects[AS Tote Locations],137)</f>
        <v/>
      </c>
      <c r="G138" s="66">
        <f>INDEX(Projects[PS Shuttles],137)</f>
        <v/>
      </c>
      <c r="H138" s="66">
        <f>INDEX(Projects[PS Pallet Locations],137)</f>
        <v/>
      </c>
      <c r="I138" s="66">
        <f>INDEX(Projects[SRM Cranes],137)</f>
        <v/>
      </c>
      <c r="J138" s="66">
        <f>INDEX(Projects[SRM Pallet Locations],137)</f>
        <v/>
      </c>
      <c r="K138" s="66">
        <f>INDEX(Projects[Case Conv (m)],137)</f>
        <v/>
      </c>
      <c r="L138" s="66">
        <f>INDEX(Projects[Pallet Conv (m)],137)</f>
        <v/>
      </c>
      <c r="M138" s="66">
        <f>INDEX(Projects[Mech Eng (wks)],137)</f>
        <v/>
      </c>
      <c r="N138" s="66">
        <f>INDEX(Projects[Controls Eng (wks)],137)</f>
        <v/>
      </c>
      <c r="O138" s="66">
        <f>INDEX(Projects[Systems Eng (wks)],137)</f>
        <v/>
      </c>
      <c r="P138" s="66">
        <f>INDEX(Projects[Software Eng (wks)],137)</f>
        <v/>
      </c>
      <c r="Q138" s="66">
        <f>INDEX(Projects[M&amp;E Installation (wks)],137)</f>
        <v/>
      </c>
      <c r="R138" s="66">
        <f>INDEX(Projects[Commissioning (wks)],137)</f>
        <v/>
      </c>
      <c r="S138" s="66">
        <f>INDEX(Projects[Total Timeline (wks)],137)</f>
        <v/>
      </c>
      <c r="T138" s="66">
        <f>INDEX(Projects[Currency],137)&amp;""</f>
        <v/>
      </c>
      <c r="U138" s="67">
        <f>INDEX(Projects[Value (M)],137)</f>
        <v/>
      </c>
      <c r="V138" s="66">
        <f>IF('Smart Search'!B13=1,IFERROR(1/'Smart Search'!H13,0),0)</f>
        <v/>
      </c>
      <c r="W138" s="66">
        <f>IF('Smart Search'!B13=1,IFERROR(1/'Smart Search'!H13,0),0)</f>
        <v/>
      </c>
      <c r="X138" s="66">
        <f>IF('Smart Search'!C13=1,IFERROR(1/'Smart Search'!H13,0),0)</f>
        <v/>
      </c>
      <c r="Y138" s="66">
        <f>IF('Smart Search'!C13=1,IFERROR(1/'Smart Search'!H13,0),0)</f>
        <v/>
      </c>
      <c r="Z138" s="66">
        <f>IF('Smart Search'!D13=1,IFERROR(1/'Smart Search'!H13,0),0)</f>
        <v/>
      </c>
      <c r="AA138" s="66">
        <f>IF('Smart Search'!D13=1,IFERROR(1/'Smart Search'!H13,0),0)</f>
        <v/>
      </c>
      <c r="AB138" s="66">
        <f>IF('Smart Search'!E13=1,IFERROR(1/'Smart Search'!H13,0),0)</f>
        <v/>
      </c>
      <c r="AC138" s="66">
        <f>IF('Smart Search'!E13=1,IFERROR(1/'Smart Search'!H13,0),0)</f>
        <v/>
      </c>
      <c r="AD138" s="66">
        <f>IF('Smart Search'!F13=1,IFERROR(1/'Smart Search'!H13,0),0)</f>
        <v/>
      </c>
      <c r="AE138" s="66">
        <f>IF('Smart Search'!F13=1,IFERROR(1/'Smart Search'!H13,0),0)</f>
        <v/>
      </c>
      <c r="AF138" s="66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66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66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66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66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66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66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66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66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66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66">
        <f>AF138*V138</f>
        <v/>
      </c>
      <c r="AQ138" s="66">
        <f>AG138*W138</f>
        <v/>
      </c>
      <c r="AR138" s="66">
        <f>AH138*X138</f>
        <v/>
      </c>
      <c r="AS138" s="66">
        <f>AI138*Y138</f>
        <v/>
      </c>
      <c r="AT138" s="66">
        <f>AJ138*Z138</f>
        <v/>
      </c>
      <c r="AU138" s="66">
        <f>AK138*AA138</f>
        <v/>
      </c>
      <c r="AV138" s="66">
        <f>AL138*AB138</f>
        <v/>
      </c>
      <c r="AW138" s="66">
        <f>AM138*AC138</f>
        <v/>
      </c>
      <c r="AX138" s="66">
        <f>AN138*AD138</f>
        <v/>
      </c>
      <c r="AY138" s="66">
        <f>AO138*AE138</f>
        <v/>
      </c>
      <c r="AZ138" s="66">
        <f>INDEX(Projects[Automation Equipment],137)&amp;""</f>
        <v/>
      </c>
      <c r="BA138" s="66">
        <f>IF(OR(A138="",'Smart Search'!H13=0),"",MAX(0,BE138*BF138*MAX(0,1-BG138)))</f>
        <v/>
      </c>
      <c r="BB138" s="66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66">
        <f>IF('Smart Search'!G13=1,IFERROR(1/'Smart Search'!H13,0),0)</f>
        <v/>
      </c>
      <c r="BD138" s="66">
        <f>BB138*BC138</f>
        <v/>
      </c>
      <c r="BE138" s="66">
        <f>AP138+AQ138+AR138+AS138+AT138+AU138+AV138+AW138+AX138+AY138+BD138</f>
        <v/>
      </c>
      <c r="BF138" s="5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5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5">
        <f>IF(AND(A138&lt;&gt;"",OR('Smart Search'!$L$5="",'Smart Search'!$L$5="All",TRIM(BZ138)=TRIM('Smart Search'!$L$5)),OR(TRIM('Smart Search'!$L$6)="",TRIM('Smart Search'!$L$6)="All",ISNUMBER(SEARCH(SUBSTITUTE(SUBSTITUTE(SUBSTITUTE(TRIM('Smart Search'!$L$6),"~","~~"),"*","~*"),"?","~?"),CA138))),OR('Smart Search'!$L$7="",AND(CB138&lt;&gt;0,CB138='Smart Search'!$L$7)),OR('Smart Search'!$L$8="",'Smart Search'!$L$8="All",TRIM(CC138)=TRIM('Smart Search'!$L$8))),IF(BA138="","",BA138+ROW()*0.0000000001),"")</f>
        <v/>
      </c>
      <c r="BI138" s="5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5">
        <f>IF(A138="","",N(INDEX(Projects[Mech Inst],137)))</f>
        <v/>
      </c>
      <c r="BK138" s="5">
        <f>IF(A138="","",N(INDEX(Projects[Elec Inst],137)))</f>
        <v/>
      </c>
      <c r="BL138" s="5">
        <f>IF(A138="","",N(INDEX(Projects[Project Management],137)))</f>
        <v/>
      </c>
      <c r="BM138" s="5">
        <f>IF(A138="","",N(INDEX(Projects[Systems Eng],137)))</f>
        <v/>
      </c>
      <c r="BN138" s="5">
        <f>IF(A138="","",N(INDEX(Projects[Mechanical Eng],137)))</f>
        <v/>
      </c>
      <c r="BO138" s="5">
        <f>IF(A138="","",N(INDEX(Projects[Structural Engineering],137)))</f>
        <v/>
      </c>
      <c r="BP138" s="5">
        <f>IF(A138="","",N(INDEX(Projects[Site Sup],137)))</f>
        <v/>
      </c>
      <c r="BQ138" s="5">
        <f>IF(A138="","",N(INDEX(Projects[Controls Commissioning],137)))</f>
        <v/>
      </c>
      <c r="BR138" s="5">
        <f>IF(A138="","",N(INDEX(Projects[Systems Commissioning],137)))</f>
        <v/>
      </c>
      <c r="BS138" s="5">
        <f>IF(A138="","",N(INDEX(Projects[Service Commissioning],137)))</f>
        <v/>
      </c>
      <c r="BT138" s="5">
        <f>IF(A138="","",N(INDEX(Projects[Controls Eng],137)))</f>
        <v/>
      </c>
      <c r="BU138" s="5">
        <f>IF(A138="","",N(INDEX(Projects[Controls Purchase],137)))</f>
        <v/>
      </c>
      <c r="BV138" s="5">
        <f>IF(A138="","",N(INDEX(Projects[Software Eng],137)))</f>
        <v/>
      </c>
      <c r="BW138" s="5">
        <f>IF(A138="","",N(INDEX(Projects[Misc],137)))</f>
        <v/>
      </c>
      <c r="BX138" s="5">
        <f>IF(A138="","",SUM(BJ138:BW138))</f>
        <v/>
      </c>
      <c r="BY138" s="5">
        <f>IF(A138="","",IFERROR(IF(ISNUMBER(U138),U138,VALUE(SUBSTITUTE(SUBSTITUTE(SUBSTITUTE(UPPER(TRIM(U138)),"M",""),",","")," ",""))),0))</f>
        <v/>
      </c>
      <c r="BZ138" s="5">
        <f>INDEX(Projects[Solution Type],137)&amp;""</f>
        <v/>
      </c>
      <c r="CA138" s="5">
        <f>INDEX(Projects[Client / Region],137)&amp;""</f>
        <v/>
      </c>
      <c r="CB138" s="5">
        <f>INDEX(Projects[Year],137)</f>
        <v/>
      </c>
      <c r="CC138" s="5">
        <f>INDEX(Projects[Won?],137)&amp;""</f>
        <v/>
      </c>
      <c r="CD138" s="5">
        <f>INDEX(Projects[Value (USD M)],137)</f>
        <v/>
      </c>
    </row>
    <row r="139" ht="15" customHeight="1" s="74">
      <c r="A139" s="66">
        <f>INDEX(Projects[Project ID *],138)&amp;""</f>
        <v/>
      </c>
      <c r="B139" s="66">
        <f>INDEX(Projects[Project Name *],138)&amp;""</f>
        <v/>
      </c>
      <c r="C139" s="66">
        <f>INDEX(Projects[MS Shuttles],138)</f>
        <v/>
      </c>
      <c r="D139" s="66">
        <f>INDEX(Projects[MS Tote Locations],138)</f>
        <v/>
      </c>
      <c r="E139" s="66">
        <f>INDEX(Projects[AS Robots],138)</f>
        <v/>
      </c>
      <c r="F139" s="66">
        <f>INDEX(Projects[AS Tote Locations],138)</f>
        <v/>
      </c>
      <c r="G139" s="66">
        <f>INDEX(Projects[PS Shuttles],138)</f>
        <v/>
      </c>
      <c r="H139" s="66">
        <f>INDEX(Projects[PS Pallet Locations],138)</f>
        <v/>
      </c>
      <c r="I139" s="66">
        <f>INDEX(Projects[SRM Cranes],138)</f>
        <v/>
      </c>
      <c r="J139" s="66">
        <f>INDEX(Projects[SRM Pallet Locations],138)</f>
        <v/>
      </c>
      <c r="K139" s="66">
        <f>INDEX(Projects[Case Conv (m)],138)</f>
        <v/>
      </c>
      <c r="L139" s="66">
        <f>INDEX(Projects[Pallet Conv (m)],138)</f>
        <v/>
      </c>
      <c r="M139" s="66">
        <f>INDEX(Projects[Mech Eng (wks)],138)</f>
        <v/>
      </c>
      <c r="N139" s="66">
        <f>INDEX(Projects[Controls Eng (wks)],138)</f>
        <v/>
      </c>
      <c r="O139" s="66">
        <f>INDEX(Projects[Systems Eng (wks)],138)</f>
        <v/>
      </c>
      <c r="P139" s="66">
        <f>INDEX(Projects[Software Eng (wks)],138)</f>
        <v/>
      </c>
      <c r="Q139" s="66">
        <f>INDEX(Projects[M&amp;E Installation (wks)],138)</f>
        <v/>
      </c>
      <c r="R139" s="66">
        <f>INDEX(Projects[Commissioning (wks)],138)</f>
        <v/>
      </c>
      <c r="S139" s="66">
        <f>INDEX(Projects[Total Timeline (wks)],138)</f>
        <v/>
      </c>
      <c r="T139" s="66">
        <f>INDEX(Projects[Currency],138)&amp;""</f>
        <v/>
      </c>
      <c r="U139" s="67">
        <f>INDEX(Projects[Value (M)],138)</f>
        <v/>
      </c>
      <c r="V139" s="66">
        <f>IF('Smart Search'!B13=1,IFERROR(1/'Smart Search'!H13,0),0)</f>
        <v/>
      </c>
      <c r="W139" s="66">
        <f>IF('Smart Search'!B13=1,IFERROR(1/'Smart Search'!H13,0),0)</f>
        <v/>
      </c>
      <c r="X139" s="66">
        <f>IF('Smart Search'!C13=1,IFERROR(1/'Smart Search'!H13,0),0)</f>
        <v/>
      </c>
      <c r="Y139" s="66">
        <f>IF('Smart Search'!C13=1,IFERROR(1/'Smart Search'!H13,0),0)</f>
        <v/>
      </c>
      <c r="Z139" s="66">
        <f>IF('Smart Search'!D13=1,IFERROR(1/'Smart Search'!H13,0),0)</f>
        <v/>
      </c>
      <c r="AA139" s="66">
        <f>IF('Smart Search'!D13=1,IFERROR(1/'Smart Search'!H13,0),0)</f>
        <v/>
      </c>
      <c r="AB139" s="66">
        <f>IF('Smart Search'!E13=1,IFERROR(1/'Smart Search'!H13,0),0)</f>
        <v/>
      </c>
      <c r="AC139" s="66">
        <f>IF('Smart Search'!E13=1,IFERROR(1/'Smart Search'!H13,0),0)</f>
        <v/>
      </c>
      <c r="AD139" s="66">
        <f>IF('Smart Search'!F13=1,IFERROR(1/'Smart Search'!H13,0),0)</f>
        <v/>
      </c>
      <c r="AE139" s="66">
        <f>IF('Smart Search'!F13=1,IFERROR(1/'Smart Search'!H13,0),0)</f>
        <v/>
      </c>
      <c r="AF139" s="66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66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66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66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66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66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66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66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66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66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66">
        <f>AF139*V139</f>
        <v/>
      </c>
      <c r="AQ139" s="66">
        <f>AG139*W139</f>
        <v/>
      </c>
      <c r="AR139" s="66">
        <f>AH139*X139</f>
        <v/>
      </c>
      <c r="AS139" s="66">
        <f>AI139*Y139</f>
        <v/>
      </c>
      <c r="AT139" s="66">
        <f>AJ139*Z139</f>
        <v/>
      </c>
      <c r="AU139" s="66">
        <f>AK139*AA139</f>
        <v/>
      </c>
      <c r="AV139" s="66">
        <f>AL139*AB139</f>
        <v/>
      </c>
      <c r="AW139" s="66">
        <f>AM139*AC139</f>
        <v/>
      </c>
      <c r="AX139" s="66">
        <f>AN139*AD139</f>
        <v/>
      </c>
      <c r="AY139" s="66">
        <f>AO139*AE139</f>
        <v/>
      </c>
      <c r="AZ139" s="66">
        <f>INDEX(Projects[Automation Equipment],138)&amp;""</f>
        <v/>
      </c>
      <c r="BA139" s="66">
        <f>IF(OR(A139="",'Smart Search'!H13=0),"",MAX(0,BE139*BF139*MAX(0,1-BG139)))</f>
        <v/>
      </c>
      <c r="BB139" s="66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66">
        <f>IF('Smart Search'!G13=1,IFERROR(1/'Smart Search'!H13,0),0)</f>
        <v/>
      </c>
      <c r="BD139" s="66">
        <f>BB139*BC139</f>
        <v/>
      </c>
      <c r="BE139" s="66">
        <f>AP139+AQ139+AR139+AS139+AT139+AU139+AV139+AW139+AX139+AY139+BD139</f>
        <v/>
      </c>
      <c r="BF139" s="5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5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5">
        <f>IF(AND(A139&lt;&gt;"",OR('Smart Search'!$L$5="",'Smart Search'!$L$5="All",TRIM(BZ139)=TRIM('Smart Search'!$L$5)),OR(TRIM('Smart Search'!$L$6)="",TRIM('Smart Search'!$L$6)="All",ISNUMBER(SEARCH(SUBSTITUTE(SUBSTITUTE(SUBSTITUTE(TRIM('Smart Search'!$L$6),"~","~~"),"*","~*"),"?","~?"),CA139))),OR('Smart Search'!$L$7="",AND(CB139&lt;&gt;0,CB139='Smart Search'!$L$7)),OR('Smart Search'!$L$8="",'Smart Search'!$L$8="All",TRIM(CC139)=TRIM('Smart Search'!$L$8))),IF(BA139="","",BA139+ROW()*0.0000000001),"")</f>
        <v/>
      </c>
      <c r="BI139" s="5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5">
        <f>IF(A139="","",N(INDEX(Projects[Mech Inst],138)))</f>
        <v/>
      </c>
      <c r="BK139" s="5">
        <f>IF(A139="","",N(INDEX(Projects[Elec Inst],138)))</f>
        <v/>
      </c>
      <c r="BL139" s="5">
        <f>IF(A139="","",N(INDEX(Projects[Project Management],138)))</f>
        <v/>
      </c>
      <c r="BM139" s="5">
        <f>IF(A139="","",N(INDEX(Projects[Systems Eng],138)))</f>
        <v/>
      </c>
      <c r="BN139" s="5">
        <f>IF(A139="","",N(INDEX(Projects[Mechanical Eng],138)))</f>
        <v/>
      </c>
      <c r="BO139" s="5">
        <f>IF(A139="","",N(INDEX(Projects[Structural Engineering],138)))</f>
        <v/>
      </c>
      <c r="BP139" s="5">
        <f>IF(A139="","",N(INDEX(Projects[Site Sup],138)))</f>
        <v/>
      </c>
      <c r="BQ139" s="5">
        <f>IF(A139="","",N(INDEX(Projects[Controls Commissioning],138)))</f>
        <v/>
      </c>
      <c r="BR139" s="5">
        <f>IF(A139="","",N(INDEX(Projects[Systems Commissioning],138)))</f>
        <v/>
      </c>
      <c r="BS139" s="5">
        <f>IF(A139="","",N(INDEX(Projects[Service Commissioning],138)))</f>
        <v/>
      </c>
      <c r="BT139" s="5">
        <f>IF(A139="","",N(INDEX(Projects[Controls Eng],138)))</f>
        <v/>
      </c>
      <c r="BU139" s="5">
        <f>IF(A139="","",N(INDEX(Projects[Controls Purchase],138)))</f>
        <v/>
      </c>
      <c r="BV139" s="5">
        <f>IF(A139="","",N(INDEX(Projects[Software Eng],138)))</f>
        <v/>
      </c>
      <c r="BW139" s="5">
        <f>IF(A139="","",N(INDEX(Projects[Misc],138)))</f>
        <v/>
      </c>
      <c r="BX139" s="5">
        <f>IF(A139="","",SUM(BJ139:BW139))</f>
        <v/>
      </c>
      <c r="BY139" s="5">
        <f>IF(A139="","",IFERROR(IF(ISNUMBER(U139),U139,VALUE(SUBSTITUTE(SUBSTITUTE(SUBSTITUTE(UPPER(TRIM(U139)),"M",""),",","")," ",""))),0))</f>
        <v/>
      </c>
      <c r="BZ139" s="5">
        <f>INDEX(Projects[Solution Type],138)&amp;""</f>
        <v/>
      </c>
      <c r="CA139" s="5">
        <f>INDEX(Projects[Client / Region],138)&amp;""</f>
        <v/>
      </c>
      <c r="CB139" s="5">
        <f>INDEX(Projects[Year],138)</f>
        <v/>
      </c>
      <c r="CC139" s="5">
        <f>INDEX(Projects[Won?],138)&amp;""</f>
        <v/>
      </c>
      <c r="CD139" s="5">
        <f>INDEX(Projects[Value (USD M)],138)</f>
        <v/>
      </c>
    </row>
    <row r="140" ht="15" customHeight="1" s="74">
      <c r="A140" s="66">
        <f>INDEX(Projects[Project ID *],139)&amp;""</f>
        <v/>
      </c>
      <c r="B140" s="66">
        <f>INDEX(Projects[Project Name *],139)&amp;""</f>
        <v/>
      </c>
      <c r="C140" s="66">
        <f>INDEX(Projects[MS Shuttles],139)</f>
        <v/>
      </c>
      <c r="D140" s="66">
        <f>INDEX(Projects[MS Tote Locations],139)</f>
        <v/>
      </c>
      <c r="E140" s="66">
        <f>INDEX(Projects[AS Robots],139)</f>
        <v/>
      </c>
      <c r="F140" s="66">
        <f>INDEX(Projects[AS Tote Locations],139)</f>
        <v/>
      </c>
      <c r="G140" s="66">
        <f>INDEX(Projects[PS Shuttles],139)</f>
        <v/>
      </c>
      <c r="H140" s="66">
        <f>INDEX(Projects[PS Pallet Locations],139)</f>
        <v/>
      </c>
      <c r="I140" s="66">
        <f>INDEX(Projects[SRM Cranes],139)</f>
        <v/>
      </c>
      <c r="J140" s="66">
        <f>INDEX(Projects[SRM Pallet Locations],139)</f>
        <v/>
      </c>
      <c r="K140" s="66">
        <f>INDEX(Projects[Case Conv (m)],139)</f>
        <v/>
      </c>
      <c r="L140" s="66">
        <f>INDEX(Projects[Pallet Conv (m)],139)</f>
        <v/>
      </c>
      <c r="M140" s="66">
        <f>INDEX(Projects[Mech Eng (wks)],139)</f>
        <v/>
      </c>
      <c r="N140" s="66">
        <f>INDEX(Projects[Controls Eng (wks)],139)</f>
        <v/>
      </c>
      <c r="O140" s="66">
        <f>INDEX(Projects[Systems Eng (wks)],139)</f>
        <v/>
      </c>
      <c r="P140" s="66">
        <f>INDEX(Projects[Software Eng (wks)],139)</f>
        <v/>
      </c>
      <c r="Q140" s="66">
        <f>INDEX(Projects[M&amp;E Installation (wks)],139)</f>
        <v/>
      </c>
      <c r="R140" s="66">
        <f>INDEX(Projects[Commissioning (wks)],139)</f>
        <v/>
      </c>
      <c r="S140" s="66">
        <f>INDEX(Projects[Total Timeline (wks)],139)</f>
        <v/>
      </c>
      <c r="T140" s="66">
        <f>INDEX(Projects[Currency],139)&amp;""</f>
        <v/>
      </c>
      <c r="U140" s="67">
        <f>INDEX(Projects[Value (M)],139)</f>
        <v/>
      </c>
      <c r="V140" s="66">
        <f>IF('Smart Search'!B13=1,IFERROR(1/'Smart Search'!H13,0),0)</f>
        <v/>
      </c>
      <c r="W140" s="66">
        <f>IF('Smart Search'!B13=1,IFERROR(1/'Smart Search'!H13,0),0)</f>
        <v/>
      </c>
      <c r="X140" s="66">
        <f>IF('Smart Search'!C13=1,IFERROR(1/'Smart Search'!H13,0),0)</f>
        <v/>
      </c>
      <c r="Y140" s="66">
        <f>IF('Smart Search'!C13=1,IFERROR(1/'Smart Search'!H13,0),0)</f>
        <v/>
      </c>
      <c r="Z140" s="66">
        <f>IF('Smart Search'!D13=1,IFERROR(1/'Smart Search'!H13,0),0)</f>
        <v/>
      </c>
      <c r="AA140" s="66">
        <f>IF('Smart Search'!D13=1,IFERROR(1/'Smart Search'!H13,0),0)</f>
        <v/>
      </c>
      <c r="AB140" s="66">
        <f>IF('Smart Search'!E13=1,IFERROR(1/'Smart Search'!H13,0),0)</f>
        <v/>
      </c>
      <c r="AC140" s="66">
        <f>IF('Smart Search'!E13=1,IFERROR(1/'Smart Search'!H13,0),0)</f>
        <v/>
      </c>
      <c r="AD140" s="66">
        <f>IF('Smart Search'!F13=1,IFERROR(1/'Smart Search'!H13,0),0)</f>
        <v/>
      </c>
      <c r="AE140" s="66">
        <f>IF('Smart Search'!F13=1,IFERROR(1/'Smart Search'!H13,0),0)</f>
        <v/>
      </c>
      <c r="AF140" s="66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66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66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66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66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66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66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66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66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66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66">
        <f>AF140*V140</f>
        <v/>
      </c>
      <c r="AQ140" s="66">
        <f>AG140*W140</f>
        <v/>
      </c>
      <c r="AR140" s="66">
        <f>AH140*X140</f>
        <v/>
      </c>
      <c r="AS140" s="66">
        <f>AI140*Y140</f>
        <v/>
      </c>
      <c r="AT140" s="66">
        <f>AJ140*Z140</f>
        <v/>
      </c>
      <c r="AU140" s="66">
        <f>AK140*AA140</f>
        <v/>
      </c>
      <c r="AV140" s="66">
        <f>AL140*AB140</f>
        <v/>
      </c>
      <c r="AW140" s="66">
        <f>AM140*AC140</f>
        <v/>
      </c>
      <c r="AX140" s="66">
        <f>AN140*AD140</f>
        <v/>
      </c>
      <c r="AY140" s="66">
        <f>AO140*AE140</f>
        <v/>
      </c>
      <c r="AZ140" s="66">
        <f>INDEX(Projects[Automation Equipment],139)&amp;""</f>
        <v/>
      </c>
      <c r="BA140" s="66">
        <f>IF(OR(A140="",'Smart Search'!H13=0),"",MAX(0,BE140*BF140*MAX(0,1-BG140)))</f>
        <v/>
      </c>
      <c r="BB140" s="66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66">
        <f>IF('Smart Search'!G13=1,IFERROR(1/'Smart Search'!H13,0),0)</f>
        <v/>
      </c>
      <c r="BD140" s="66">
        <f>BB140*BC140</f>
        <v/>
      </c>
      <c r="BE140" s="66">
        <f>AP140+AQ140+AR140+AS140+AT140+AU140+AV140+AW140+AX140+AY140+BD140</f>
        <v/>
      </c>
      <c r="BF140" s="5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5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5">
        <f>IF(AND(A140&lt;&gt;"",OR('Smart Search'!$L$5="",'Smart Search'!$L$5="All",TRIM(BZ140)=TRIM('Smart Search'!$L$5)),OR(TRIM('Smart Search'!$L$6)="",TRIM('Smart Search'!$L$6)="All",ISNUMBER(SEARCH(SUBSTITUTE(SUBSTITUTE(SUBSTITUTE(TRIM('Smart Search'!$L$6),"~","~~"),"*","~*"),"?","~?"),CA140))),OR('Smart Search'!$L$7="",AND(CB140&lt;&gt;0,CB140='Smart Search'!$L$7)),OR('Smart Search'!$L$8="",'Smart Search'!$L$8="All",TRIM(CC140)=TRIM('Smart Search'!$L$8))),IF(BA140="","",BA140+ROW()*0.0000000001),"")</f>
        <v/>
      </c>
      <c r="BI140" s="5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5">
        <f>IF(A140="","",N(INDEX(Projects[Mech Inst],139)))</f>
        <v/>
      </c>
      <c r="BK140" s="5">
        <f>IF(A140="","",N(INDEX(Projects[Elec Inst],139)))</f>
        <v/>
      </c>
      <c r="BL140" s="5">
        <f>IF(A140="","",N(INDEX(Projects[Project Management],139)))</f>
        <v/>
      </c>
      <c r="BM140" s="5">
        <f>IF(A140="","",N(INDEX(Projects[Systems Eng],139)))</f>
        <v/>
      </c>
      <c r="BN140" s="5">
        <f>IF(A140="","",N(INDEX(Projects[Mechanical Eng],139)))</f>
        <v/>
      </c>
      <c r="BO140" s="5">
        <f>IF(A140="","",N(INDEX(Projects[Structural Engineering],139)))</f>
        <v/>
      </c>
      <c r="BP140" s="5">
        <f>IF(A140="","",N(INDEX(Projects[Site Sup],139)))</f>
        <v/>
      </c>
      <c r="BQ140" s="5">
        <f>IF(A140="","",N(INDEX(Projects[Controls Commissioning],139)))</f>
        <v/>
      </c>
      <c r="BR140" s="5">
        <f>IF(A140="","",N(INDEX(Projects[Systems Commissioning],139)))</f>
        <v/>
      </c>
      <c r="BS140" s="5">
        <f>IF(A140="","",N(INDEX(Projects[Service Commissioning],139)))</f>
        <v/>
      </c>
      <c r="BT140" s="5">
        <f>IF(A140="","",N(INDEX(Projects[Controls Eng],139)))</f>
        <v/>
      </c>
      <c r="BU140" s="5">
        <f>IF(A140="","",N(INDEX(Projects[Controls Purchase],139)))</f>
        <v/>
      </c>
      <c r="BV140" s="5">
        <f>IF(A140="","",N(INDEX(Projects[Software Eng],139)))</f>
        <v/>
      </c>
      <c r="BW140" s="5">
        <f>IF(A140="","",N(INDEX(Projects[Misc],139)))</f>
        <v/>
      </c>
      <c r="BX140" s="5">
        <f>IF(A140="","",SUM(BJ140:BW140))</f>
        <v/>
      </c>
      <c r="BY140" s="5">
        <f>IF(A140="","",IFERROR(IF(ISNUMBER(U140),U140,VALUE(SUBSTITUTE(SUBSTITUTE(SUBSTITUTE(UPPER(TRIM(U140)),"M",""),",","")," ",""))),0))</f>
        <v/>
      </c>
      <c r="BZ140" s="5">
        <f>INDEX(Projects[Solution Type],139)&amp;""</f>
        <v/>
      </c>
      <c r="CA140" s="5">
        <f>INDEX(Projects[Client / Region],139)&amp;""</f>
        <v/>
      </c>
      <c r="CB140" s="5">
        <f>INDEX(Projects[Year],139)</f>
        <v/>
      </c>
      <c r="CC140" s="5">
        <f>INDEX(Projects[Won?],139)&amp;""</f>
        <v/>
      </c>
      <c r="CD140" s="5">
        <f>INDEX(Projects[Value (USD M)],139)</f>
        <v/>
      </c>
    </row>
    <row r="141" ht="15" customHeight="1" s="74">
      <c r="A141" s="66">
        <f>INDEX(Projects[Project ID *],140)&amp;""</f>
        <v/>
      </c>
      <c r="B141" s="66">
        <f>INDEX(Projects[Project Name *],140)&amp;""</f>
        <v/>
      </c>
      <c r="C141" s="66">
        <f>INDEX(Projects[MS Shuttles],140)</f>
        <v/>
      </c>
      <c r="D141" s="66">
        <f>INDEX(Projects[MS Tote Locations],140)</f>
        <v/>
      </c>
      <c r="E141" s="66">
        <f>INDEX(Projects[AS Robots],140)</f>
        <v/>
      </c>
      <c r="F141" s="66">
        <f>INDEX(Projects[AS Tote Locations],140)</f>
        <v/>
      </c>
      <c r="G141" s="66">
        <f>INDEX(Projects[PS Shuttles],140)</f>
        <v/>
      </c>
      <c r="H141" s="66">
        <f>INDEX(Projects[PS Pallet Locations],140)</f>
        <v/>
      </c>
      <c r="I141" s="66">
        <f>INDEX(Projects[SRM Cranes],140)</f>
        <v/>
      </c>
      <c r="J141" s="66">
        <f>INDEX(Projects[SRM Pallet Locations],140)</f>
        <v/>
      </c>
      <c r="K141" s="66">
        <f>INDEX(Projects[Case Conv (m)],140)</f>
        <v/>
      </c>
      <c r="L141" s="66">
        <f>INDEX(Projects[Pallet Conv (m)],140)</f>
        <v/>
      </c>
      <c r="M141" s="66">
        <f>INDEX(Projects[Mech Eng (wks)],140)</f>
        <v/>
      </c>
      <c r="N141" s="66">
        <f>INDEX(Projects[Controls Eng (wks)],140)</f>
        <v/>
      </c>
      <c r="O141" s="66">
        <f>INDEX(Projects[Systems Eng (wks)],140)</f>
        <v/>
      </c>
      <c r="P141" s="66">
        <f>INDEX(Projects[Software Eng (wks)],140)</f>
        <v/>
      </c>
      <c r="Q141" s="66">
        <f>INDEX(Projects[M&amp;E Installation (wks)],140)</f>
        <v/>
      </c>
      <c r="R141" s="66">
        <f>INDEX(Projects[Commissioning (wks)],140)</f>
        <v/>
      </c>
      <c r="S141" s="66">
        <f>INDEX(Projects[Total Timeline (wks)],140)</f>
        <v/>
      </c>
      <c r="T141" s="66">
        <f>INDEX(Projects[Currency],140)&amp;""</f>
        <v/>
      </c>
      <c r="U141" s="67">
        <f>INDEX(Projects[Value (M)],140)</f>
        <v/>
      </c>
      <c r="V141" s="66">
        <f>IF('Smart Search'!B13=1,IFERROR(1/'Smart Search'!H13,0),0)</f>
        <v/>
      </c>
      <c r="W141" s="66">
        <f>IF('Smart Search'!B13=1,IFERROR(1/'Smart Search'!H13,0),0)</f>
        <v/>
      </c>
      <c r="X141" s="66">
        <f>IF('Smart Search'!C13=1,IFERROR(1/'Smart Search'!H13,0),0)</f>
        <v/>
      </c>
      <c r="Y141" s="66">
        <f>IF('Smart Search'!C13=1,IFERROR(1/'Smart Search'!H13,0),0)</f>
        <v/>
      </c>
      <c r="Z141" s="66">
        <f>IF('Smart Search'!D13=1,IFERROR(1/'Smart Search'!H13,0),0)</f>
        <v/>
      </c>
      <c r="AA141" s="66">
        <f>IF('Smart Search'!D13=1,IFERROR(1/'Smart Search'!H13,0),0)</f>
        <v/>
      </c>
      <c r="AB141" s="66">
        <f>IF('Smart Search'!E13=1,IFERROR(1/'Smart Search'!H13,0),0)</f>
        <v/>
      </c>
      <c r="AC141" s="66">
        <f>IF('Smart Search'!E13=1,IFERROR(1/'Smart Search'!H13,0),0)</f>
        <v/>
      </c>
      <c r="AD141" s="66">
        <f>IF('Smart Search'!F13=1,IFERROR(1/'Smart Search'!H13,0),0)</f>
        <v/>
      </c>
      <c r="AE141" s="66">
        <f>IF('Smart Search'!F13=1,IFERROR(1/'Smart Search'!H13,0),0)</f>
        <v/>
      </c>
      <c r="AF141" s="66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66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66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66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66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66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66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66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66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66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66">
        <f>AF141*V141</f>
        <v/>
      </c>
      <c r="AQ141" s="66">
        <f>AG141*W141</f>
        <v/>
      </c>
      <c r="AR141" s="66">
        <f>AH141*X141</f>
        <v/>
      </c>
      <c r="AS141" s="66">
        <f>AI141*Y141</f>
        <v/>
      </c>
      <c r="AT141" s="66">
        <f>AJ141*Z141</f>
        <v/>
      </c>
      <c r="AU141" s="66">
        <f>AK141*AA141</f>
        <v/>
      </c>
      <c r="AV141" s="66">
        <f>AL141*AB141</f>
        <v/>
      </c>
      <c r="AW141" s="66">
        <f>AM141*AC141</f>
        <v/>
      </c>
      <c r="AX141" s="66">
        <f>AN141*AD141</f>
        <v/>
      </c>
      <c r="AY141" s="66">
        <f>AO141*AE141</f>
        <v/>
      </c>
      <c r="AZ141" s="66">
        <f>INDEX(Projects[Automation Equipment],140)&amp;""</f>
        <v/>
      </c>
      <c r="BA141" s="66">
        <f>IF(OR(A141="",'Smart Search'!H13=0),"",MAX(0,BE141*BF141*MAX(0,1-BG141)))</f>
        <v/>
      </c>
      <c r="BB141" s="66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66">
        <f>IF('Smart Search'!G13=1,IFERROR(1/'Smart Search'!H13,0),0)</f>
        <v/>
      </c>
      <c r="BD141" s="66">
        <f>BB141*BC141</f>
        <v/>
      </c>
      <c r="BE141" s="66">
        <f>AP141+AQ141+AR141+AS141+AT141+AU141+AV141+AW141+AX141+AY141+BD141</f>
        <v/>
      </c>
      <c r="BF141" s="5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5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5">
        <f>IF(AND(A141&lt;&gt;"",OR('Smart Search'!$L$5="",'Smart Search'!$L$5="All",TRIM(BZ141)=TRIM('Smart Search'!$L$5)),OR(TRIM('Smart Search'!$L$6)="",TRIM('Smart Search'!$L$6)="All",ISNUMBER(SEARCH(SUBSTITUTE(SUBSTITUTE(SUBSTITUTE(TRIM('Smart Search'!$L$6),"~","~~"),"*","~*"),"?","~?"),CA141))),OR('Smart Search'!$L$7="",AND(CB141&lt;&gt;0,CB141='Smart Search'!$L$7)),OR('Smart Search'!$L$8="",'Smart Search'!$L$8="All",TRIM(CC141)=TRIM('Smart Search'!$L$8))),IF(BA141="","",BA141+ROW()*0.0000000001),"")</f>
        <v/>
      </c>
      <c r="BI141" s="5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5">
        <f>IF(A141="","",N(INDEX(Projects[Mech Inst],140)))</f>
        <v/>
      </c>
      <c r="BK141" s="5">
        <f>IF(A141="","",N(INDEX(Projects[Elec Inst],140)))</f>
        <v/>
      </c>
      <c r="BL141" s="5">
        <f>IF(A141="","",N(INDEX(Projects[Project Management],140)))</f>
        <v/>
      </c>
      <c r="BM141" s="5">
        <f>IF(A141="","",N(INDEX(Projects[Systems Eng],140)))</f>
        <v/>
      </c>
      <c r="BN141" s="5">
        <f>IF(A141="","",N(INDEX(Projects[Mechanical Eng],140)))</f>
        <v/>
      </c>
      <c r="BO141" s="5">
        <f>IF(A141="","",N(INDEX(Projects[Structural Engineering],140)))</f>
        <v/>
      </c>
      <c r="BP141" s="5">
        <f>IF(A141="","",N(INDEX(Projects[Site Sup],140)))</f>
        <v/>
      </c>
      <c r="BQ141" s="5">
        <f>IF(A141="","",N(INDEX(Projects[Controls Commissioning],140)))</f>
        <v/>
      </c>
      <c r="BR141" s="5">
        <f>IF(A141="","",N(INDEX(Projects[Systems Commissioning],140)))</f>
        <v/>
      </c>
      <c r="BS141" s="5">
        <f>IF(A141="","",N(INDEX(Projects[Service Commissioning],140)))</f>
        <v/>
      </c>
      <c r="BT141" s="5">
        <f>IF(A141="","",N(INDEX(Projects[Controls Eng],140)))</f>
        <v/>
      </c>
      <c r="BU141" s="5">
        <f>IF(A141="","",N(INDEX(Projects[Controls Purchase],140)))</f>
        <v/>
      </c>
      <c r="BV141" s="5">
        <f>IF(A141="","",N(INDEX(Projects[Software Eng],140)))</f>
        <v/>
      </c>
      <c r="BW141" s="5">
        <f>IF(A141="","",N(INDEX(Projects[Misc],140)))</f>
        <v/>
      </c>
      <c r="BX141" s="5">
        <f>IF(A141="","",SUM(BJ141:BW141))</f>
        <v/>
      </c>
      <c r="BY141" s="5">
        <f>IF(A141="","",IFERROR(IF(ISNUMBER(U141),U141,VALUE(SUBSTITUTE(SUBSTITUTE(SUBSTITUTE(UPPER(TRIM(U141)),"M",""),",","")," ",""))),0))</f>
        <v/>
      </c>
      <c r="BZ141" s="5">
        <f>INDEX(Projects[Solution Type],140)&amp;""</f>
        <v/>
      </c>
      <c r="CA141" s="5">
        <f>INDEX(Projects[Client / Region],140)&amp;""</f>
        <v/>
      </c>
      <c r="CB141" s="5">
        <f>INDEX(Projects[Year],140)</f>
        <v/>
      </c>
      <c r="CC141" s="5">
        <f>INDEX(Projects[Won?],140)&amp;""</f>
        <v/>
      </c>
      <c r="CD141" s="5">
        <f>INDEX(Projects[Value (USD M)],140)</f>
        <v/>
      </c>
    </row>
    <row r="142" ht="15" customHeight="1" s="74">
      <c r="A142" s="66">
        <f>INDEX(Projects[Project ID *],141)&amp;""</f>
        <v/>
      </c>
      <c r="B142" s="66">
        <f>INDEX(Projects[Project Name *],141)&amp;""</f>
        <v/>
      </c>
      <c r="C142" s="66">
        <f>INDEX(Projects[MS Shuttles],141)</f>
        <v/>
      </c>
      <c r="D142" s="66">
        <f>INDEX(Projects[MS Tote Locations],141)</f>
        <v/>
      </c>
      <c r="E142" s="66">
        <f>INDEX(Projects[AS Robots],141)</f>
        <v/>
      </c>
      <c r="F142" s="66">
        <f>INDEX(Projects[AS Tote Locations],141)</f>
        <v/>
      </c>
      <c r="G142" s="66">
        <f>INDEX(Projects[PS Shuttles],141)</f>
        <v/>
      </c>
      <c r="H142" s="66">
        <f>INDEX(Projects[PS Pallet Locations],141)</f>
        <v/>
      </c>
      <c r="I142" s="66">
        <f>INDEX(Projects[SRM Cranes],141)</f>
        <v/>
      </c>
      <c r="J142" s="66">
        <f>INDEX(Projects[SRM Pallet Locations],141)</f>
        <v/>
      </c>
      <c r="K142" s="66">
        <f>INDEX(Projects[Case Conv (m)],141)</f>
        <v/>
      </c>
      <c r="L142" s="66">
        <f>INDEX(Projects[Pallet Conv (m)],141)</f>
        <v/>
      </c>
      <c r="M142" s="66">
        <f>INDEX(Projects[Mech Eng (wks)],141)</f>
        <v/>
      </c>
      <c r="N142" s="66">
        <f>INDEX(Projects[Controls Eng (wks)],141)</f>
        <v/>
      </c>
      <c r="O142" s="66">
        <f>INDEX(Projects[Systems Eng (wks)],141)</f>
        <v/>
      </c>
      <c r="P142" s="66">
        <f>INDEX(Projects[Software Eng (wks)],141)</f>
        <v/>
      </c>
      <c r="Q142" s="66">
        <f>INDEX(Projects[M&amp;E Installation (wks)],141)</f>
        <v/>
      </c>
      <c r="R142" s="66">
        <f>INDEX(Projects[Commissioning (wks)],141)</f>
        <v/>
      </c>
      <c r="S142" s="66">
        <f>INDEX(Projects[Total Timeline (wks)],141)</f>
        <v/>
      </c>
      <c r="T142" s="66">
        <f>INDEX(Projects[Currency],141)&amp;""</f>
        <v/>
      </c>
      <c r="U142" s="67">
        <f>INDEX(Projects[Value (M)],141)</f>
        <v/>
      </c>
      <c r="V142" s="66">
        <f>IF('Smart Search'!B13=1,IFERROR(1/'Smart Search'!H13,0),0)</f>
        <v/>
      </c>
      <c r="W142" s="66">
        <f>IF('Smart Search'!B13=1,IFERROR(1/'Smart Search'!H13,0),0)</f>
        <v/>
      </c>
      <c r="X142" s="66">
        <f>IF('Smart Search'!C13=1,IFERROR(1/'Smart Search'!H13,0),0)</f>
        <v/>
      </c>
      <c r="Y142" s="66">
        <f>IF('Smart Search'!C13=1,IFERROR(1/'Smart Search'!H13,0),0)</f>
        <v/>
      </c>
      <c r="Z142" s="66">
        <f>IF('Smart Search'!D13=1,IFERROR(1/'Smart Search'!H13,0),0)</f>
        <v/>
      </c>
      <c r="AA142" s="66">
        <f>IF('Smart Search'!D13=1,IFERROR(1/'Smart Search'!H13,0),0)</f>
        <v/>
      </c>
      <c r="AB142" s="66">
        <f>IF('Smart Search'!E13=1,IFERROR(1/'Smart Search'!H13,0),0)</f>
        <v/>
      </c>
      <c r="AC142" s="66">
        <f>IF('Smart Search'!E13=1,IFERROR(1/'Smart Search'!H13,0),0)</f>
        <v/>
      </c>
      <c r="AD142" s="66">
        <f>IF('Smart Search'!F13=1,IFERROR(1/'Smart Search'!H13,0),0)</f>
        <v/>
      </c>
      <c r="AE142" s="66">
        <f>IF('Smart Search'!F13=1,IFERROR(1/'Smart Search'!H13,0),0)</f>
        <v/>
      </c>
      <c r="AF142" s="66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66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66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66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66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66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66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66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66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66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66">
        <f>AF142*V142</f>
        <v/>
      </c>
      <c r="AQ142" s="66">
        <f>AG142*W142</f>
        <v/>
      </c>
      <c r="AR142" s="66">
        <f>AH142*X142</f>
        <v/>
      </c>
      <c r="AS142" s="66">
        <f>AI142*Y142</f>
        <v/>
      </c>
      <c r="AT142" s="66">
        <f>AJ142*Z142</f>
        <v/>
      </c>
      <c r="AU142" s="66">
        <f>AK142*AA142</f>
        <v/>
      </c>
      <c r="AV142" s="66">
        <f>AL142*AB142</f>
        <v/>
      </c>
      <c r="AW142" s="66">
        <f>AM142*AC142</f>
        <v/>
      </c>
      <c r="AX142" s="66">
        <f>AN142*AD142</f>
        <v/>
      </c>
      <c r="AY142" s="66">
        <f>AO142*AE142</f>
        <v/>
      </c>
      <c r="AZ142" s="66">
        <f>INDEX(Projects[Automation Equipment],141)&amp;""</f>
        <v/>
      </c>
      <c r="BA142" s="66">
        <f>IF(OR(A142="",'Smart Search'!H13=0),"",MAX(0,BE142*BF142*MAX(0,1-BG142)))</f>
        <v/>
      </c>
      <c r="BB142" s="66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66">
        <f>IF('Smart Search'!G13=1,IFERROR(1/'Smart Search'!H13,0),0)</f>
        <v/>
      </c>
      <c r="BD142" s="66">
        <f>BB142*BC142</f>
        <v/>
      </c>
      <c r="BE142" s="66">
        <f>AP142+AQ142+AR142+AS142+AT142+AU142+AV142+AW142+AX142+AY142+BD142</f>
        <v/>
      </c>
      <c r="BF142" s="5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5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5">
        <f>IF(AND(A142&lt;&gt;"",OR('Smart Search'!$L$5="",'Smart Search'!$L$5="All",TRIM(BZ142)=TRIM('Smart Search'!$L$5)),OR(TRIM('Smart Search'!$L$6)="",TRIM('Smart Search'!$L$6)="All",ISNUMBER(SEARCH(SUBSTITUTE(SUBSTITUTE(SUBSTITUTE(TRIM('Smart Search'!$L$6),"~","~~"),"*","~*"),"?","~?"),CA142))),OR('Smart Search'!$L$7="",AND(CB142&lt;&gt;0,CB142='Smart Search'!$L$7)),OR('Smart Search'!$L$8="",'Smart Search'!$L$8="All",TRIM(CC142)=TRIM('Smart Search'!$L$8))),IF(BA142="","",BA142+ROW()*0.0000000001),"")</f>
        <v/>
      </c>
      <c r="BI142" s="5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5">
        <f>IF(A142="","",N(INDEX(Projects[Mech Inst],141)))</f>
        <v/>
      </c>
      <c r="BK142" s="5">
        <f>IF(A142="","",N(INDEX(Projects[Elec Inst],141)))</f>
        <v/>
      </c>
      <c r="BL142" s="5">
        <f>IF(A142="","",N(INDEX(Projects[Project Management],141)))</f>
        <v/>
      </c>
      <c r="BM142" s="5">
        <f>IF(A142="","",N(INDEX(Projects[Systems Eng],141)))</f>
        <v/>
      </c>
      <c r="BN142" s="5">
        <f>IF(A142="","",N(INDEX(Projects[Mechanical Eng],141)))</f>
        <v/>
      </c>
      <c r="BO142" s="5">
        <f>IF(A142="","",N(INDEX(Projects[Structural Engineering],141)))</f>
        <v/>
      </c>
      <c r="BP142" s="5">
        <f>IF(A142="","",N(INDEX(Projects[Site Sup],141)))</f>
        <v/>
      </c>
      <c r="BQ142" s="5">
        <f>IF(A142="","",N(INDEX(Projects[Controls Commissioning],141)))</f>
        <v/>
      </c>
      <c r="BR142" s="5">
        <f>IF(A142="","",N(INDEX(Projects[Systems Commissioning],141)))</f>
        <v/>
      </c>
      <c r="BS142" s="5">
        <f>IF(A142="","",N(INDEX(Projects[Service Commissioning],141)))</f>
        <v/>
      </c>
      <c r="BT142" s="5">
        <f>IF(A142="","",N(INDEX(Projects[Controls Eng],141)))</f>
        <v/>
      </c>
      <c r="BU142" s="5">
        <f>IF(A142="","",N(INDEX(Projects[Controls Purchase],141)))</f>
        <v/>
      </c>
      <c r="BV142" s="5">
        <f>IF(A142="","",N(INDEX(Projects[Software Eng],141)))</f>
        <v/>
      </c>
      <c r="BW142" s="5">
        <f>IF(A142="","",N(INDEX(Projects[Misc],141)))</f>
        <v/>
      </c>
      <c r="BX142" s="5">
        <f>IF(A142="","",SUM(BJ142:BW142))</f>
        <v/>
      </c>
      <c r="BY142" s="5">
        <f>IF(A142="","",IFERROR(IF(ISNUMBER(U142),U142,VALUE(SUBSTITUTE(SUBSTITUTE(SUBSTITUTE(UPPER(TRIM(U142)),"M",""),",","")," ",""))),0))</f>
        <v/>
      </c>
      <c r="BZ142" s="5">
        <f>INDEX(Projects[Solution Type],141)&amp;""</f>
        <v/>
      </c>
      <c r="CA142" s="5">
        <f>INDEX(Projects[Client / Region],141)&amp;""</f>
        <v/>
      </c>
      <c r="CB142" s="5">
        <f>INDEX(Projects[Year],141)</f>
        <v/>
      </c>
      <c r="CC142" s="5">
        <f>INDEX(Projects[Won?],141)&amp;""</f>
        <v/>
      </c>
      <c r="CD142" s="5">
        <f>INDEX(Projects[Value (USD M)],141)</f>
        <v/>
      </c>
    </row>
    <row r="143" ht="15" customHeight="1" s="74">
      <c r="A143" s="66">
        <f>INDEX(Projects[Project ID *],142)&amp;""</f>
        <v/>
      </c>
      <c r="B143" s="66">
        <f>INDEX(Projects[Project Name *],142)&amp;""</f>
        <v/>
      </c>
      <c r="C143" s="66">
        <f>INDEX(Projects[MS Shuttles],142)</f>
        <v/>
      </c>
      <c r="D143" s="66">
        <f>INDEX(Projects[MS Tote Locations],142)</f>
        <v/>
      </c>
      <c r="E143" s="66">
        <f>INDEX(Projects[AS Robots],142)</f>
        <v/>
      </c>
      <c r="F143" s="66">
        <f>INDEX(Projects[AS Tote Locations],142)</f>
        <v/>
      </c>
      <c r="G143" s="66">
        <f>INDEX(Projects[PS Shuttles],142)</f>
        <v/>
      </c>
      <c r="H143" s="66">
        <f>INDEX(Projects[PS Pallet Locations],142)</f>
        <v/>
      </c>
      <c r="I143" s="66">
        <f>INDEX(Projects[SRM Cranes],142)</f>
        <v/>
      </c>
      <c r="J143" s="66">
        <f>INDEX(Projects[SRM Pallet Locations],142)</f>
        <v/>
      </c>
      <c r="K143" s="66">
        <f>INDEX(Projects[Case Conv (m)],142)</f>
        <v/>
      </c>
      <c r="L143" s="66">
        <f>INDEX(Projects[Pallet Conv (m)],142)</f>
        <v/>
      </c>
      <c r="M143" s="66">
        <f>INDEX(Projects[Mech Eng (wks)],142)</f>
        <v/>
      </c>
      <c r="N143" s="66">
        <f>INDEX(Projects[Controls Eng (wks)],142)</f>
        <v/>
      </c>
      <c r="O143" s="66">
        <f>INDEX(Projects[Systems Eng (wks)],142)</f>
        <v/>
      </c>
      <c r="P143" s="66">
        <f>INDEX(Projects[Software Eng (wks)],142)</f>
        <v/>
      </c>
      <c r="Q143" s="66">
        <f>INDEX(Projects[M&amp;E Installation (wks)],142)</f>
        <v/>
      </c>
      <c r="R143" s="66">
        <f>INDEX(Projects[Commissioning (wks)],142)</f>
        <v/>
      </c>
      <c r="S143" s="66">
        <f>INDEX(Projects[Total Timeline (wks)],142)</f>
        <v/>
      </c>
      <c r="T143" s="66">
        <f>INDEX(Projects[Currency],142)&amp;""</f>
        <v/>
      </c>
      <c r="U143" s="67">
        <f>INDEX(Projects[Value (M)],142)</f>
        <v/>
      </c>
      <c r="V143" s="66">
        <f>IF('Smart Search'!B13=1,IFERROR(1/'Smart Search'!H13,0),0)</f>
        <v/>
      </c>
      <c r="W143" s="66">
        <f>IF('Smart Search'!B13=1,IFERROR(1/'Smart Search'!H13,0),0)</f>
        <v/>
      </c>
      <c r="X143" s="66">
        <f>IF('Smart Search'!C13=1,IFERROR(1/'Smart Search'!H13,0),0)</f>
        <v/>
      </c>
      <c r="Y143" s="66">
        <f>IF('Smart Search'!C13=1,IFERROR(1/'Smart Search'!H13,0),0)</f>
        <v/>
      </c>
      <c r="Z143" s="66">
        <f>IF('Smart Search'!D13=1,IFERROR(1/'Smart Search'!H13,0),0)</f>
        <v/>
      </c>
      <c r="AA143" s="66">
        <f>IF('Smart Search'!D13=1,IFERROR(1/'Smart Search'!H13,0),0)</f>
        <v/>
      </c>
      <c r="AB143" s="66">
        <f>IF('Smart Search'!E13=1,IFERROR(1/'Smart Search'!H13,0),0)</f>
        <v/>
      </c>
      <c r="AC143" s="66">
        <f>IF('Smart Search'!E13=1,IFERROR(1/'Smart Search'!H13,0),0)</f>
        <v/>
      </c>
      <c r="AD143" s="66">
        <f>IF('Smart Search'!F13=1,IFERROR(1/'Smart Search'!H13,0),0)</f>
        <v/>
      </c>
      <c r="AE143" s="66">
        <f>IF('Smart Search'!F13=1,IFERROR(1/'Smart Search'!H13,0),0)</f>
        <v/>
      </c>
      <c r="AF143" s="66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66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66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66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66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66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66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66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66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66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66">
        <f>AF143*V143</f>
        <v/>
      </c>
      <c r="AQ143" s="66">
        <f>AG143*W143</f>
        <v/>
      </c>
      <c r="AR143" s="66">
        <f>AH143*X143</f>
        <v/>
      </c>
      <c r="AS143" s="66">
        <f>AI143*Y143</f>
        <v/>
      </c>
      <c r="AT143" s="66">
        <f>AJ143*Z143</f>
        <v/>
      </c>
      <c r="AU143" s="66">
        <f>AK143*AA143</f>
        <v/>
      </c>
      <c r="AV143" s="66">
        <f>AL143*AB143</f>
        <v/>
      </c>
      <c r="AW143" s="66">
        <f>AM143*AC143</f>
        <v/>
      </c>
      <c r="AX143" s="66">
        <f>AN143*AD143</f>
        <v/>
      </c>
      <c r="AY143" s="66">
        <f>AO143*AE143</f>
        <v/>
      </c>
      <c r="AZ143" s="66">
        <f>INDEX(Projects[Automation Equipment],142)&amp;""</f>
        <v/>
      </c>
      <c r="BA143" s="66">
        <f>IF(OR(A143="",'Smart Search'!H13=0),"",MAX(0,BE143*BF143*MAX(0,1-BG143)))</f>
        <v/>
      </c>
      <c r="BB143" s="66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66">
        <f>IF('Smart Search'!G13=1,IFERROR(1/'Smart Search'!H13,0),0)</f>
        <v/>
      </c>
      <c r="BD143" s="66">
        <f>BB143*BC143</f>
        <v/>
      </c>
      <c r="BE143" s="66">
        <f>AP143+AQ143+AR143+AS143+AT143+AU143+AV143+AW143+AX143+AY143+BD143</f>
        <v/>
      </c>
      <c r="BF143" s="5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5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5">
        <f>IF(AND(A143&lt;&gt;"",OR('Smart Search'!$L$5="",'Smart Search'!$L$5="All",TRIM(BZ143)=TRIM('Smart Search'!$L$5)),OR(TRIM('Smart Search'!$L$6)="",TRIM('Smart Search'!$L$6)="All",ISNUMBER(SEARCH(SUBSTITUTE(SUBSTITUTE(SUBSTITUTE(TRIM('Smart Search'!$L$6),"~","~~"),"*","~*"),"?","~?"),CA143))),OR('Smart Search'!$L$7="",AND(CB143&lt;&gt;0,CB143='Smart Search'!$L$7)),OR('Smart Search'!$L$8="",'Smart Search'!$L$8="All",TRIM(CC143)=TRIM('Smart Search'!$L$8))),IF(BA143="","",BA143+ROW()*0.0000000001),"")</f>
        <v/>
      </c>
      <c r="BI143" s="5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5">
        <f>IF(A143="","",N(INDEX(Projects[Mech Inst],142)))</f>
        <v/>
      </c>
      <c r="BK143" s="5">
        <f>IF(A143="","",N(INDEX(Projects[Elec Inst],142)))</f>
        <v/>
      </c>
      <c r="BL143" s="5">
        <f>IF(A143="","",N(INDEX(Projects[Project Management],142)))</f>
        <v/>
      </c>
      <c r="BM143" s="5">
        <f>IF(A143="","",N(INDEX(Projects[Systems Eng],142)))</f>
        <v/>
      </c>
      <c r="BN143" s="5">
        <f>IF(A143="","",N(INDEX(Projects[Mechanical Eng],142)))</f>
        <v/>
      </c>
      <c r="BO143" s="5">
        <f>IF(A143="","",N(INDEX(Projects[Structural Engineering],142)))</f>
        <v/>
      </c>
      <c r="BP143" s="5">
        <f>IF(A143="","",N(INDEX(Projects[Site Sup],142)))</f>
        <v/>
      </c>
      <c r="BQ143" s="5">
        <f>IF(A143="","",N(INDEX(Projects[Controls Commissioning],142)))</f>
        <v/>
      </c>
      <c r="BR143" s="5">
        <f>IF(A143="","",N(INDEX(Projects[Systems Commissioning],142)))</f>
        <v/>
      </c>
      <c r="BS143" s="5">
        <f>IF(A143="","",N(INDEX(Projects[Service Commissioning],142)))</f>
        <v/>
      </c>
      <c r="BT143" s="5">
        <f>IF(A143="","",N(INDEX(Projects[Controls Eng],142)))</f>
        <v/>
      </c>
      <c r="BU143" s="5">
        <f>IF(A143="","",N(INDEX(Projects[Controls Purchase],142)))</f>
        <v/>
      </c>
      <c r="BV143" s="5">
        <f>IF(A143="","",N(INDEX(Projects[Software Eng],142)))</f>
        <v/>
      </c>
      <c r="BW143" s="5">
        <f>IF(A143="","",N(INDEX(Projects[Misc],142)))</f>
        <v/>
      </c>
      <c r="BX143" s="5">
        <f>IF(A143="","",SUM(BJ143:BW143))</f>
        <v/>
      </c>
      <c r="BY143" s="5">
        <f>IF(A143="","",IFERROR(IF(ISNUMBER(U143),U143,VALUE(SUBSTITUTE(SUBSTITUTE(SUBSTITUTE(UPPER(TRIM(U143)),"M",""),",","")," ",""))),0))</f>
        <v/>
      </c>
      <c r="BZ143" s="5">
        <f>INDEX(Projects[Solution Type],142)&amp;""</f>
        <v/>
      </c>
      <c r="CA143" s="5">
        <f>INDEX(Projects[Client / Region],142)&amp;""</f>
        <v/>
      </c>
      <c r="CB143" s="5">
        <f>INDEX(Projects[Year],142)</f>
        <v/>
      </c>
      <c r="CC143" s="5">
        <f>INDEX(Projects[Won?],142)&amp;""</f>
        <v/>
      </c>
      <c r="CD143" s="5">
        <f>INDEX(Projects[Value (USD M)],142)</f>
        <v/>
      </c>
    </row>
    <row r="144" ht="15" customHeight="1" s="74">
      <c r="A144" s="66">
        <f>INDEX(Projects[Project ID *],143)&amp;""</f>
        <v/>
      </c>
      <c r="B144" s="66">
        <f>INDEX(Projects[Project Name *],143)&amp;""</f>
        <v/>
      </c>
      <c r="C144" s="66">
        <f>INDEX(Projects[MS Shuttles],143)</f>
        <v/>
      </c>
      <c r="D144" s="66">
        <f>INDEX(Projects[MS Tote Locations],143)</f>
        <v/>
      </c>
      <c r="E144" s="66">
        <f>INDEX(Projects[AS Robots],143)</f>
        <v/>
      </c>
      <c r="F144" s="66">
        <f>INDEX(Projects[AS Tote Locations],143)</f>
        <v/>
      </c>
      <c r="G144" s="66">
        <f>INDEX(Projects[PS Shuttles],143)</f>
        <v/>
      </c>
      <c r="H144" s="66">
        <f>INDEX(Projects[PS Pallet Locations],143)</f>
        <v/>
      </c>
      <c r="I144" s="66">
        <f>INDEX(Projects[SRM Cranes],143)</f>
        <v/>
      </c>
      <c r="J144" s="66">
        <f>INDEX(Projects[SRM Pallet Locations],143)</f>
        <v/>
      </c>
      <c r="K144" s="66">
        <f>INDEX(Projects[Case Conv (m)],143)</f>
        <v/>
      </c>
      <c r="L144" s="66">
        <f>INDEX(Projects[Pallet Conv (m)],143)</f>
        <v/>
      </c>
      <c r="M144" s="66">
        <f>INDEX(Projects[Mech Eng (wks)],143)</f>
        <v/>
      </c>
      <c r="N144" s="66">
        <f>INDEX(Projects[Controls Eng (wks)],143)</f>
        <v/>
      </c>
      <c r="O144" s="66">
        <f>INDEX(Projects[Systems Eng (wks)],143)</f>
        <v/>
      </c>
      <c r="P144" s="66">
        <f>INDEX(Projects[Software Eng (wks)],143)</f>
        <v/>
      </c>
      <c r="Q144" s="66">
        <f>INDEX(Projects[M&amp;E Installation (wks)],143)</f>
        <v/>
      </c>
      <c r="R144" s="66">
        <f>INDEX(Projects[Commissioning (wks)],143)</f>
        <v/>
      </c>
      <c r="S144" s="66">
        <f>INDEX(Projects[Total Timeline (wks)],143)</f>
        <v/>
      </c>
      <c r="T144" s="66">
        <f>INDEX(Projects[Currency],143)&amp;""</f>
        <v/>
      </c>
      <c r="U144" s="67">
        <f>INDEX(Projects[Value (M)],143)</f>
        <v/>
      </c>
      <c r="V144" s="66">
        <f>IF('Smart Search'!B13=1,IFERROR(1/'Smart Search'!H13,0),0)</f>
        <v/>
      </c>
      <c r="W144" s="66">
        <f>IF('Smart Search'!B13=1,IFERROR(1/'Smart Search'!H13,0),0)</f>
        <v/>
      </c>
      <c r="X144" s="66">
        <f>IF('Smart Search'!C13=1,IFERROR(1/'Smart Search'!H13,0),0)</f>
        <v/>
      </c>
      <c r="Y144" s="66">
        <f>IF('Smart Search'!C13=1,IFERROR(1/'Smart Search'!H13,0),0)</f>
        <v/>
      </c>
      <c r="Z144" s="66">
        <f>IF('Smart Search'!D13=1,IFERROR(1/'Smart Search'!H13,0),0)</f>
        <v/>
      </c>
      <c r="AA144" s="66">
        <f>IF('Smart Search'!D13=1,IFERROR(1/'Smart Search'!H13,0),0)</f>
        <v/>
      </c>
      <c r="AB144" s="66">
        <f>IF('Smart Search'!E13=1,IFERROR(1/'Smart Search'!H13,0),0)</f>
        <v/>
      </c>
      <c r="AC144" s="66">
        <f>IF('Smart Search'!E13=1,IFERROR(1/'Smart Search'!H13,0),0)</f>
        <v/>
      </c>
      <c r="AD144" s="66">
        <f>IF('Smart Search'!F13=1,IFERROR(1/'Smart Search'!H13,0),0)</f>
        <v/>
      </c>
      <c r="AE144" s="66">
        <f>IF('Smart Search'!F13=1,IFERROR(1/'Smart Search'!H13,0),0)</f>
        <v/>
      </c>
      <c r="AF144" s="66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66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66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66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66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66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66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66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66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66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66">
        <f>AF144*V144</f>
        <v/>
      </c>
      <c r="AQ144" s="66">
        <f>AG144*W144</f>
        <v/>
      </c>
      <c r="AR144" s="66">
        <f>AH144*X144</f>
        <v/>
      </c>
      <c r="AS144" s="66">
        <f>AI144*Y144</f>
        <v/>
      </c>
      <c r="AT144" s="66">
        <f>AJ144*Z144</f>
        <v/>
      </c>
      <c r="AU144" s="66">
        <f>AK144*AA144</f>
        <v/>
      </c>
      <c r="AV144" s="66">
        <f>AL144*AB144</f>
        <v/>
      </c>
      <c r="AW144" s="66">
        <f>AM144*AC144</f>
        <v/>
      </c>
      <c r="AX144" s="66">
        <f>AN144*AD144</f>
        <v/>
      </c>
      <c r="AY144" s="66">
        <f>AO144*AE144</f>
        <v/>
      </c>
      <c r="AZ144" s="66">
        <f>INDEX(Projects[Automation Equipment],143)&amp;""</f>
        <v/>
      </c>
      <c r="BA144" s="66">
        <f>IF(OR(A144="",'Smart Search'!H13=0),"",MAX(0,BE144*BF144*MAX(0,1-BG144)))</f>
        <v/>
      </c>
      <c r="BB144" s="66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66">
        <f>IF('Smart Search'!G13=1,IFERROR(1/'Smart Search'!H13,0),0)</f>
        <v/>
      </c>
      <c r="BD144" s="66">
        <f>BB144*BC144</f>
        <v/>
      </c>
      <c r="BE144" s="66">
        <f>AP144+AQ144+AR144+AS144+AT144+AU144+AV144+AW144+AX144+AY144+BD144</f>
        <v/>
      </c>
      <c r="BF144" s="5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5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5">
        <f>IF(AND(A144&lt;&gt;"",OR('Smart Search'!$L$5="",'Smart Search'!$L$5="All",TRIM(BZ144)=TRIM('Smart Search'!$L$5)),OR(TRIM('Smart Search'!$L$6)="",TRIM('Smart Search'!$L$6)="All",ISNUMBER(SEARCH(SUBSTITUTE(SUBSTITUTE(SUBSTITUTE(TRIM('Smart Search'!$L$6),"~","~~"),"*","~*"),"?","~?"),CA144))),OR('Smart Search'!$L$7="",AND(CB144&lt;&gt;0,CB144='Smart Search'!$L$7)),OR('Smart Search'!$L$8="",'Smart Search'!$L$8="All",TRIM(CC144)=TRIM('Smart Search'!$L$8))),IF(BA144="","",BA144+ROW()*0.0000000001),"")</f>
        <v/>
      </c>
      <c r="BI144" s="5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5">
        <f>IF(A144="","",N(INDEX(Projects[Mech Inst],143)))</f>
        <v/>
      </c>
      <c r="BK144" s="5">
        <f>IF(A144="","",N(INDEX(Projects[Elec Inst],143)))</f>
        <v/>
      </c>
      <c r="BL144" s="5">
        <f>IF(A144="","",N(INDEX(Projects[Project Management],143)))</f>
        <v/>
      </c>
      <c r="BM144" s="5">
        <f>IF(A144="","",N(INDEX(Projects[Systems Eng],143)))</f>
        <v/>
      </c>
      <c r="BN144" s="5">
        <f>IF(A144="","",N(INDEX(Projects[Mechanical Eng],143)))</f>
        <v/>
      </c>
      <c r="BO144" s="5">
        <f>IF(A144="","",N(INDEX(Projects[Structural Engineering],143)))</f>
        <v/>
      </c>
      <c r="BP144" s="5">
        <f>IF(A144="","",N(INDEX(Projects[Site Sup],143)))</f>
        <v/>
      </c>
      <c r="BQ144" s="5">
        <f>IF(A144="","",N(INDEX(Projects[Controls Commissioning],143)))</f>
        <v/>
      </c>
      <c r="BR144" s="5">
        <f>IF(A144="","",N(INDEX(Projects[Systems Commissioning],143)))</f>
        <v/>
      </c>
      <c r="BS144" s="5">
        <f>IF(A144="","",N(INDEX(Projects[Service Commissioning],143)))</f>
        <v/>
      </c>
      <c r="BT144" s="5">
        <f>IF(A144="","",N(INDEX(Projects[Controls Eng],143)))</f>
        <v/>
      </c>
      <c r="BU144" s="5">
        <f>IF(A144="","",N(INDEX(Projects[Controls Purchase],143)))</f>
        <v/>
      </c>
      <c r="BV144" s="5">
        <f>IF(A144="","",N(INDEX(Projects[Software Eng],143)))</f>
        <v/>
      </c>
      <c r="BW144" s="5">
        <f>IF(A144="","",N(INDEX(Projects[Misc],143)))</f>
        <v/>
      </c>
      <c r="BX144" s="5">
        <f>IF(A144="","",SUM(BJ144:BW144))</f>
        <v/>
      </c>
      <c r="BY144" s="5">
        <f>IF(A144="","",IFERROR(IF(ISNUMBER(U144),U144,VALUE(SUBSTITUTE(SUBSTITUTE(SUBSTITUTE(UPPER(TRIM(U144)),"M",""),",","")," ",""))),0))</f>
        <v/>
      </c>
      <c r="BZ144" s="5">
        <f>INDEX(Projects[Solution Type],143)&amp;""</f>
        <v/>
      </c>
      <c r="CA144" s="5">
        <f>INDEX(Projects[Client / Region],143)&amp;""</f>
        <v/>
      </c>
      <c r="CB144" s="5">
        <f>INDEX(Projects[Year],143)</f>
        <v/>
      </c>
      <c r="CC144" s="5">
        <f>INDEX(Projects[Won?],143)&amp;""</f>
        <v/>
      </c>
      <c r="CD144" s="5">
        <f>INDEX(Projects[Value (USD M)],143)</f>
        <v/>
      </c>
    </row>
    <row r="145" ht="15" customHeight="1" s="74">
      <c r="A145" s="66">
        <f>INDEX(Projects[Project ID *],144)&amp;""</f>
        <v/>
      </c>
      <c r="B145" s="66">
        <f>INDEX(Projects[Project Name *],144)&amp;""</f>
        <v/>
      </c>
      <c r="C145" s="66">
        <f>INDEX(Projects[MS Shuttles],144)</f>
        <v/>
      </c>
      <c r="D145" s="66">
        <f>INDEX(Projects[MS Tote Locations],144)</f>
        <v/>
      </c>
      <c r="E145" s="66">
        <f>INDEX(Projects[AS Robots],144)</f>
        <v/>
      </c>
      <c r="F145" s="66">
        <f>INDEX(Projects[AS Tote Locations],144)</f>
        <v/>
      </c>
      <c r="G145" s="66">
        <f>INDEX(Projects[PS Shuttles],144)</f>
        <v/>
      </c>
      <c r="H145" s="66">
        <f>INDEX(Projects[PS Pallet Locations],144)</f>
        <v/>
      </c>
      <c r="I145" s="66">
        <f>INDEX(Projects[SRM Cranes],144)</f>
        <v/>
      </c>
      <c r="J145" s="66">
        <f>INDEX(Projects[SRM Pallet Locations],144)</f>
        <v/>
      </c>
      <c r="K145" s="66">
        <f>INDEX(Projects[Case Conv (m)],144)</f>
        <v/>
      </c>
      <c r="L145" s="66">
        <f>INDEX(Projects[Pallet Conv (m)],144)</f>
        <v/>
      </c>
      <c r="M145" s="66">
        <f>INDEX(Projects[Mech Eng (wks)],144)</f>
        <v/>
      </c>
      <c r="N145" s="66">
        <f>INDEX(Projects[Controls Eng (wks)],144)</f>
        <v/>
      </c>
      <c r="O145" s="66">
        <f>INDEX(Projects[Systems Eng (wks)],144)</f>
        <v/>
      </c>
      <c r="P145" s="66">
        <f>INDEX(Projects[Software Eng (wks)],144)</f>
        <v/>
      </c>
      <c r="Q145" s="66">
        <f>INDEX(Projects[M&amp;E Installation (wks)],144)</f>
        <v/>
      </c>
      <c r="R145" s="66">
        <f>INDEX(Projects[Commissioning (wks)],144)</f>
        <v/>
      </c>
      <c r="S145" s="66">
        <f>INDEX(Projects[Total Timeline (wks)],144)</f>
        <v/>
      </c>
      <c r="T145" s="66">
        <f>INDEX(Projects[Currency],144)&amp;""</f>
        <v/>
      </c>
      <c r="U145" s="67">
        <f>INDEX(Projects[Value (M)],144)</f>
        <v/>
      </c>
      <c r="V145" s="66">
        <f>IF('Smart Search'!B13=1,IFERROR(1/'Smart Search'!H13,0),0)</f>
        <v/>
      </c>
      <c r="W145" s="66">
        <f>IF('Smart Search'!B13=1,IFERROR(1/'Smart Search'!H13,0),0)</f>
        <v/>
      </c>
      <c r="X145" s="66">
        <f>IF('Smart Search'!C13=1,IFERROR(1/'Smart Search'!H13,0),0)</f>
        <v/>
      </c>
      <c r="Y145" s="66">
        <f>IF('Smart Search'!C13=1,IFERROR(1/'Smart Search'!H13,0),0)</f>
        <v/>
      </c>
      <c r="Z145" s="66">
        <f>IF('Smart Search'!D13=1,IFERROR(1/'Smart Search'!H13,0),0)</f>
        <v/>
      </c>
      <c r="AA145" s="66">
        <f>IF('Smart Search'!D13=1,IFERROR(1/'Smart Search'!H13,0),0)</f>
        <v/>
      </c>
      <c r="AB145" s="66">
        <f>IF('Smart Search'!E13=1,IFERROR(1/'Smart Search'!H13,0),0)</f>
        <v/>
      </c>
      <c r="AC145" s="66">
        <f>IF('Smart Search'!E13=1,IFERROR(1/'Smart Search'!H13,0),0)</f>
        <v/>
      </c>
      <c r="AD145" s="66">
        <f>IF('Smart Search'!F13=1,IFERROR(1/'Smart Search'!H13,0),0)</f>
        <v/>
      </c>
      <c r="AE145" s="66">
        <f>IF('Smart Search'!F13=1,IFERROR(1/'Smart Search'!H13,0),0)</f>
        <v/>
      </c>
      <c r="AF145" s="66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66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66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66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66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66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66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66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66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66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66">
        <f>AF145*V145</f>
        <v/>
      </c>
      <c r="AQ145" s="66">
        <f>AG145*W145</f>
        <v/>
      </c>
      <c r="AR145" s="66">
        <f>AH145*X145</f>
        <v/>
      </c>
      <c r="AS145" s="66">
        <f>AI145*Y145</f>
        <v/>
      </c>
      <c r="AT145" s="66">
        <f>AJ145*Z145</f>
        <v/>
      </c>
      <c r="AU145" s="66">
        <f>AK145*AA145</f>
        <v/>
      </c>
      <c r="AV145" s="66">
        <f>AL145*AB145</f>
        <v/>
      </c>
      <c r="AW145" s="66">
        <f>AM145*AC145</f>
        <v/>
      </c>
      <c r="AX145" s="66">
        <f>AN145*AD145</f>
        <v/>
      </c>
      <c r="AY145" s="66">
        <f>AO145*AE145</f>
        <v/>
      </c>
      <c r="AZ145" s="66">
        <f>INDEX(Projects[Automation Equipment],144)&amp;""</f>
        <v/>
      </c>
      <c r="BA145" s="66">
        <f>IF(OR(A145="",'Smart Search'!H13=0),"",MAX(0,BE145*BF145*MAX(0,1-BG145)))</f>
        <v/>
      </c>
      <c r="BB145" s="66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66">
        <f>IF('Smart Search'!G13=1,IFERROR(1/'Smart Search'!H13,0),0)</f>
        <v/>
      </c>
      <c r="BD145" s="66">
        <f>BB145*BC145</f>
        <v/>
      </c>
      <c r="BE145" s="66">
        <f>AP145+AQ145+AR145+AS145+AT145+AU145+AV145+AW145+AX145+AY145+BD145</f>
        <v/>
      </c>
      <c r="BF145" s="5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5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5">
        <f>IF(AND(A145&lt;&gt;"",OR('Smart Search'!$L$5="",'Smart Search'!$L$5="All",TRIM(BZ145)=TRIM('Smart Search'!$L$5)),OR(TRIM('Smart Search'!$L$6)="",TRIM('Smart Search'!$L$6)="All",ISNUMBER(SEARCH(SUBSTITUTE(SUBSTITUTE(SUBSTITUTE(TRIM('Smart Search'!$L$6),"~","~~"),"*","~*"),"?","~?"),CA145))),OR('Smart Search'!$L$7="",AND(CB145&lt;&gt;0,CB145='Smart Search'!$L$7)),OR('Smart Search'!$L$8="",'Smart Search'!$L$8="All",TRIM(CC145)=TRIM('Smart Search'!$L$8))),IF(BA145="","",BA145+ROW()*0.0000000001),"")</f>
        <v/>
      </c>
      <c r="BI145" s="5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5">
        <f>IF(A145="","",N(INDEX(Projects[Mech Inst],144)))</f>
        <v/>
      </c>
      <c r="BK145" s="5">
        <f>IF(A145="","",N(INDEX(Projects[Elec Inst],144)))</f>
        <v/>
      </c>
      <c r="BL145" s="5">
        <f>IF(A145="","",N(INDEX(Projects[Project Management],144)))</f>
        <v/>
      </c>
      <c r="BM145" s="5">
        <f>IF(A145="","",N(INDEX(Projects[Systems Eng],144)))</f>
        <v/>
      </c>
      <c r="BN145" s="5">
        <f>IF(A145="","",N(INDEX(Projects[Mechanical Eng],144)))</f>
        <v/>
      </c>
      <c r="BO145" s="5">
        <f>IF(A145="","",N(INDEX(Projects[Structural Engineering],144)))</f>
        <v/>
      </c>
      <c r="BP145" s="5">
        <f>IF(A145="","",N(INDEX(Projects[Site Sup],144)))</f>
        <v/>
      </c>
      <c r="BQ145" s="5">
        <f>IF(A145="","",N(INDEX(Projects[Controls Commissioning],144)))</f>
        <v/>
      </c>
      <c r="BR145" s="5">
        <f>IF(A145="","",N(INDEX(Projects[Systems Commissioning],144)))</f>
        <v/>
      </c>
      <c r="BS145" s="5">
        <f>IF(A145="","",N(INDEX(Projects[Service Commissioning],144)))</f>
        <v/>
      </c>
      <c r="BT145" s="5">
        <f>IF(A145="","",N(INDEX(Projects[Controls Eng],144)))</f>
        <v/>
      </c>
      <c r="BU145" s="5">
        <f>IF(A145="","",N(INDEX(Projects[Controls Purchase],144)))</f>
        <v/>
      </c>
      <c r="BV145" s="5">
        <f>IF(A145="","",N(INDEX(Projects[Software Eng],144)))</f>
        <v/>
      </c>
      <c r="BW145" s="5">
        <f>IF(A145="","",N(INDEX(Projects[Misc],144)))</f>
        <v/>
      </c>
      <c r="BX145" s="5">
        <f>IF(A145="","",SUM(BJ145:BW145))</f>
        <v/>
      </c>
      <c r="BY145" s="5">
        <f>IF(A145="","",IFERROR(IF(ISNUMBER(U145),U145,VALUE(SUBSTITUTE(SUBSTITUTE(SUBSTITUTE(UPPER(TRIM(U145)),"M",""),",","")," ",""))),0))</f>
        <v/>
      </c>
      <c r="BZ145" s="5">
        <f>INDEX(Projects[Solution Type],144)&amp;""</f>
        <v/>
      </c>
      <c r="CA145" s="5">
        <f>INDEX(Projects[Client / Region],144)&amp;""</f>
        <v/>
      </c>
      <c r="CB145" s="5">
        <f>INDEX(Projects[Year],144)</f>
        <v/>
      </c>
      <c r="CC145" s="5">
        <f>INDEX(Projects[Won?],144)&amp;""</f>
        <v/>
      </c>
      <c r="CD145" s="5">
        <f>INDEX(Projects[Value (USD M)],144)</f>
        <v/>
      </c>
    </row>
    <row r="146" ht="15" customHeight="1" s="74">
      <c r="A146" s="66">
        <f>INDEX(Projects[Project ID *],145)&amp;""</f>
        <v/>
      </c>
      <c r="B146" s="66">
        <f>INDEX(Projects[Project Name *],145)&amp;""</f>
        <v/>
      </c>
      <c r="C146" s="66">
        <f>INDEX(Projects[MS Shuttles],145)</f>
        <v/>
      </c>
      <c r="D146" s="66">
        <f>INDEX(Projects[MS Tote Locations],145)</f>
        <v/>
      </c>
      <c r="E146" s="66">
        <f>INDEX(Projects[AS Robots],145)</f>
        <v/>
      </c>
      <c r="F146" s="66">
        <f>INDEX(Projects[AS Tote Locations],145)</f>
        <v/>
      </c>
      <c r="G146" s="66">
        <f>INDEX(Projects[PS Shuttles],145)</f>
        <v/>
      </c>
      <c r="H146" s="66">
        <f>INDEX(Projects[PS Pallet Locations],145)</f>
        <v/>
      </c>
      <c r="I146" s="66">
        <f>INDEX(Projects[SRM Cranes],145)</f>
        <v/>
      </c>
      <c r="J146" s="66">
        <f>INDEX(Projects[SRM Pallet Locations],145)</f>
        <v/>
      </c>
      <c r="K146" s="66">
        <f>INDEX(Projects[Case Conv (m)],145)</f>
        <v/>
      </c>
      <c r="L146" s="66">
        <f>INDEX(Projects[Pallet Conv (m)],145)</f>
        <v/>
      </c>
      <c r="M146" s="66">
        <f>INDEX(Projects[Mech Eng (wks)],145)</f>
        <v/>
      </c>
      <c r="N146" s="66">
        <f>INDEX(Projects[Controls Eng (wks)],145)</f>
        <v/>
      </c>
      <c r="O146" s="66">
        <f>INDEX(Projects[Systems Eng (wks)],145)</f>
        <v/>
      </c>
      <c r="P146" s="66">
        <f>INDEX(Projects[Software Eng (wks)],145)</f>
        <v/>
      </c>
      <c r="Q146" s="66">
        <f>INDEX(Projects[M&amp;E Installation (wks)],145)</f>
        <v/>
      </c>
      <c r="R146" s="66">
        <f>INDEX(Projects[Commissioning (wks)],145)</f>
        <v/>
      </c>
      <c r="S146" s="66">
        <f>INDEX(Projects[Total Timeline (wks)],145)</f>
        <v/>
      </c>
      <c r="T146" s="66">
        <f>INDEX(Projects[Currency],145)&amp;""</f>
        <v/>
      </c>
      <c r="U146" s="67">
        <f>INDEX(Projects[Value (M)],145)</f>
        <v/>
      </c>
      <c r="V146" s="66">
        <f>IF('Smart Search'!B13=1,IFERROR(1/'Smart Search'!H13,0),0)</f>
        <v/>
      </c>
      <c r="W146" s="66">
        <f>IF('Smart Search'!B13=1,IFERROR(1/'Smart Search'!H13,0),0)</f>
        <v/>
      </c>
      <c r="X146" s="66">
        <f>IF('Smart Search'!C13=1,IFERROR(1/'Smart Search'!H13,0),0)</f>
        <v/>
      </c>
      <c r="Y146" s="66">
        <f>IF('Smart Search'!C13=1,IFERROR(1/'Smart Search'!H13,0),0)</f>
        <v/>
      </c>
      <c r="Z146" s="66">
        <f>IF('Smart Search'!D13=1,IFERROR(1/'Smart Search'!H13,0),0)</f>
        <v/>
      </c>
      <c r="AA146" s="66">
        <f>IF('Smart Search'!D13=1,IFERROR(1/'Smart Search'!H13,0),0)</f>
        <v/>
      </c>
      <c r="AB146" s="66">
        <f>IF('Smart Search'!E13=1,IFERROR(1/'Smart Search'!H13,0),0)</f>
        <v/>
      </c>
      <c r="AC146" s="66">
        <f>IF('Smart Search'!E13=1,IFERROR(1/'Smart Search'!H13,0),0)</f>
        <v/>
      </c>
      <c r="AD146" s="66">
        <f>IF('Smart Search'!F13=1,IFERROR(1/'Smart Search'!H13,0),0)</f>
        <v/>
      </c>
      <c r="AE146" s="66">
        <f>IF('Smart Search'!F13=1,IFERROR(1/'Smart Search'!H13,0),0)</f>
        <v/>
      </c>
      <c r="AF146" s="66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66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66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66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66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66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66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66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66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66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66">
        <f>AF146*V146</f>
        <v/>
      </c>
      <c r="AQ146" s="66">
        <f>AG146*W146</f>
        <v/>
      </c>
      <c r="AR146" s="66">
        <f>AH146*X146</f>
        <v/>
      </c>
      <c r="AS146" s="66">
        <f>AI146*Y146</f>
        <v/>
      </c>
      <c r="AT146" s="66">
        <f>AJ146*Z146</f>
        <v/>
      </c>
      <c r="AU146" s="66">
        <f>AK146*AA146</f>
        <v/>
      </c>
      <c r="AV146" s="66">
        <f>AL146*AB146</f>
        <v/>
      </c>
      <c r="AW146" s="66">
        <f>AM146*AC146</f>
        <v/>
      </c>
      <c r="AX146" s="66">
        <f>AN146*AD146</f>
        <v/>
      </c>
      <c r="AY146" s="66">
        <f>AO146*AE146</f>
        <v/>
      </c>
      <c r="AZ146" s="66">
        <f>INDEX(Projects[Automation Equipment],145)&amp;""</f>
        <v/>
      </c>
      <c r="BA146" s="66">
        <f>IF(OR(A146="",'Smart Search'!H13=0),"",MAX(0,BE146*BF146*MAX(0,1-BG146)))</f>
        <v/>
      </c>
      <c r="BB146" s="66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66">
        <f>IF('Smart Search'!G13=1,IFERROR(1/'Smart Search'!H13,0),0)</f>
        <v/>
      </c>
      <c r="BD146" s="66">
        <f>BB146*BC146</f>
        <v/>
      </c>
      <c r="BE146" s="66">
        <f>AP146+AQ146+AR146+AS146+AT146+AU146+AV146+AW146+AX146+AY146+BD146</f>
        <v/>
      </c>
      <c r="BF146" s="5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5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5">
        <f>IF(AND(A146&lt;&gt;"",OR('Smart Search'!$L$5="",'Smart Search'!$L$5="All",TRIM(BZ146)=TRIM('Smart Search'!$L$5)),OR(TRIM('Smart Search'!$L$6)="",TRIM('Smart Search'!$L$6)="All",ISNUMBER(SEARCH(SUBSTITUTE(SUBSTITUTE(SUBSTITUTE(TRIM('Smart Search'!$L$6),"~","~~"),"*","~*"),"?","~?"),CA146))),OR('Smart Search'!$L$7="",AND(CB146&lt;&gt;0,CB146='Smart Search'!$L$7)),OR('Smart Search'!$L$8="",'Smart Search'!$L$8="All",TRIM(CC146)=TRIM('Smart Search'!$L$8))),IF(BA146="","",BA146+ROW()*0.0000000001),"")</f>
        <v/>
      </c>
      <c r="BI146" s="5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5">
        <f>IF(A146="","",N(INDEX(Projects[Mech Inst],145)))</f>
        <v/>
      </c>
      <c r="BK146" s="5">
        <f>IF(A146="","",N(INDEX(Projects[Elec Inst],145)))</f>
        <v/>
      </c>
      <c r="BL146" s="5">
        <f>IF(A146="","",N(INDEX(Projects[Project Management],145)))</f>
        <v/>
      </c>
      <c r="BM146" s="5">
        <f>IF(A146="","",N(INDEX(Projects[Systems Eng],145)))</f>
        <v/>
      </c>
      <c r="BN146" s="5">
        <f>IF(A146="","",N(INDEX(Projects[Mechanical Eng],145)))</f>
        <v/>
      </c>
      <c r="BO146" s="5">
        <f>IF(A146="","",N(INDEX(Projects[Structural Engineering],145)))</f>
        <v/>
      </c>
      <c r="BP146" s="5">
        <f>IF(A146="","",N(INDEX(Projects[Site Sup],145)))</f>
        <v/>
      </c>
      <c r="BQ146" s="5">
        <f>IF(A146="","",N(INDEX(Projects[Controls Commissioning],145)))</f>
        <v/>
      </c>
      <c r="BR146" s="5">
        <f>IF(A146="","",N(INDEX(Projects[Systems Commissioning],145)))</f>
        <v/>
      </c>
      <c r="BS146" s="5">
        <f>IF(A146="","",N(INDEX(Projects[Service Commissioning],145)))</f>
        <v/>
      </c>
      <c r="BT146" s="5">
        <f>IF(A146="","",N(INDEX(Projects[Controls Eng],145)))</f>
        <v/>
      </c>
      <c r="BU146" s="5">
        <f>IF(A146="","",N(INDEX(Projects[Controls Purchase],145)))</f>
        <v/>
      </c>
      <c r="BV146" s="5">
        <f>IF(A146="","",N(INDEX(Projects[Software Eng],145)))</f>
        <v/>
      </c>
      <c r="BW146" s="5">
        <f>IF(A146="","",N(INDEX(Projects[Misc],145)))</f>
        <v/>
      </c>
      <c r="BX146" s="5">
        <f>IF(A146="","",SUM(BJ146:BW146))</f>
        <v/>
      </c>
      <c r="BY146" s="5">
        <f>IF(A146="","",IFERROR(IF(ISNUMBER(U146),U146,VALUE(SUBSTITUTE(SUBSTITUTE(SUBSTITUTE(UPPER(TRIM(U146)),"M",""),",","")," ",""))),0))</f>
        <v/>
      </c>
      <c r="BZ146" s="5">
        <f>INDEX(Projects[Solution Type],145)&amp;""</f>
        <v/>
      </c>
      <c r="CA146" s="5">
        <f>INDEX(Projects[Client / Region],145)&amp;""</f>
        <v/>
      </c>
      <c r="CB146" s="5">
        <f>INDEX(Projects[Year],145)</f>
        <v/>
      </c>
      <c r="CC146" s="5">
        <f>INDEX(Projects[Won?],145)&amp;""</f>
        <v/>
      </c>
      <c r="CD146" s="5">
        <f>INDEX(Projects[Value (USD M)],145)</f>
        <v/>
      </c>
    </row>
    <row r="147" ht="15" customHeight="1" s="74">
      <c r="A147" s="66">
        <f>INDEX(Projects[Project ID *],146)&amp;""</f>
        <v/>
      </c>
      <c r="B147" s="66">
        <f>INDEX(Projects[Project Name *],146)&amp;""</f>
        <v/>
      </c>
      <c r="C147" s="66">
        <f>INDEX(Projects[MS Shuttles],146)</f>
        <v/>
      </c>
      <c r="D147" s="66">
        <f>INDEX(Projects[MS Tote Locations],146)</f>
        <v/>
      </c>
      <c r="E147" s="66">
        <f>INDEX(Projects[AS Robots],146)</f>
        <v/>
      </c>
      <c r="F147" s="66">
        <f>INDEX(Projects[AS Tote Locations],146)</f>
        <v/>
      </c>
      <c r="G147" s="66">
        <f>INDEX(Projects[PS Shuttles],146)</f>
        <v/>
      </c>
      <c r="H147" s="66">
        <f>INDEX(Projects[PS Pallet Locations],146)</f>
        <v/>
      </c>
      <c r="I147" s="66">
        <f>INDEX(Projects[SRM Cranes],146)</f>
        <v/>
      </c>
      <c r="J147" s="66">
        <f>INDEX(Projects[SRM Pallet Locations],146)</f>
        <v/>
      </c>
      <c r="K147" s="66">
        <f>INDEX(Projects[Case Conv (m)],146)</f>
        <v/>
      </c>
      <c r="L147" s="66">
        <f>INDEX(Projects[Pallet Conv (m)],146)</f>
        <v/>
      </c>
      <c r="M147" s="66">
        <f>INDEX(Projects[Mech Eng (wks)],146)</f>
        <v/>
      </c>
      <c r="N147" s="66">
        <f>INDEX(Projects[Controls Eng (wks)],146)</f>
        <v/>
      </c>
      <c r="O147" s="66">
        <f>INDEX(Projects[Systems Eng (wks)],146)</f>
        <v/>
      </c>
      <c r="P147" s="66">
        <f>INDEX(Projects[Software Eng (wks)],146)</f>
        <v/>
      </c>
      <c r="Q147" s="66">
        <f>INDEX(Projects[M&amp;E Installation (wks)],146)</f>
        <v/>
      </c>
      <c r="R147" s="66">
        <f>INDEX(Projects[Commissioning (wks)],146)</f>
        <v/>
      </c>
      <c r="S147" s="66">
        <f>INDEX(Projects[Total Timeline (wks)],146)</f>
        <v/>
      </c>
      <c r="T147" s="66">
        <f>INDEX(Projects[Currency],146)&amp;""</f>
        <v/>
      </c>
      <c r="U147" s="67">
        <f>INDEX(Projects[Value (M)],146)</f>
        <v/>
      </c>
      <c r="V147" s="66">
        <f>IF('Smart Search'!B13=1,IFERROR(1/'Smart Search'!H13,0),0)</f>
        <v/>
      </c>
      <c r="W147" s="66">
        <f>IF('Smart Search'!B13=1,IFERROR(1/'Smart Search'!H13,0),0)</f>
        <v/>
      </c>
      <c r="X147" s="66">
        <f>IF('Smart Search'!C13=1,IFERROR(1/'Smart Search'!H13,0),0)</f>
        <v/>
      </c>
      <c r="Y147" s="66">
        <f>IF('Smart Search'!C13=1,IFERROR(1/'Smart Search'!H13,0),0)</f>
        <v/>
      </c>
      <c r="Z147" s="66">
        <f>IF('Smart Search'!D13=1,IFERROR(1/'Smart Search'!H13,0),0)</f>
        <v/>
      </c>
      <c r="AA147" s="66">
        <f>IF('Smart Search'!D13=1,IFERROR(1/'Smart Search'!H13,0),0)</f>
        <v/>
      </c>
      <c r="AB147" s="66">
        <f>IF('Smart Search'!E13=1,IFERROR(1/'Smart Search'!H13,0),0)</f>
        <v/>
      </c>
      <c r="AC147" s="66">
        <f>IF('Smart Search'!E13=1,IFERROR(1/'Smart Search'!H13,0),0)</f>
        <v/>
      </c>
      <c r="AD147" s="66">
        <f>IF('Smart Search'!F13=1,IFERROR(1/'Smart Search'!H13,0),0)</f>
        <v/>
      </c>
      <c r="AE147" s="66">
        <f>IF('Smart Search'!F13=1,IFERROR(1/'Smart Search'!H13,0),0)</f>
        <v/>
      </c>
      <c r="AF147" s="66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66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66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66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66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66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66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66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66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66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66">
        <f>AF147*V147</f>
        <v/>
      </c>
      <c r="AQ147" s="66">
        <f>AG147*W147</f>
        <v/>
      </c>
      <c r="AR147" s="66">
        <f>AH147*X147</f>
        <v/>
      </c>
      <c r="AS147" s="66">
        <f>AI147*Y147</f>
        <v/>
      </c>
      <c r="AT147" s="66">
        <f>AJ147*Z147</f>
        <v/>
      </c>
      <c r="AU147" s="66">
        <f>AK147*AA147</f>
        <v/>
      </c>
      <c r="AV147" s="66">
        <f>AL147*AB147</f>
        <v/>
      </c>
      <c r="AW147" s="66">
        <f>AM147*AC147</f>
        <v/>
      </c>
      <c r="AX147" s="66">
        <f>AN147*AD147</f>
        <v/>
      </c>
      <c r="AY147" s="66">
        <f>AO147*AE147</f>
        <v/>
      </c>
      <c r="AZ147" s="66">
        <f>INDEX(Projects[Automation Equipment],146)&amp;""</f>
        <v/>
      </c>
      <c r="BA147" s="66">
        <f>IF(OR(A147="",'Smart Search'!H13=0),"",MAX(0,BE147*BF147*MAX(0,1-BG147)))</f>
        <v/>
      </c>
      <c r="BB147" s="66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66">
        <f>IF('Smart Search'!G13=1,IFERROR(1/'Smart Search'!H13,0),0)</f>
        <v/>
      </c>
      <c r="BD147" s="66">
        <f>BB147*BC147</f>
        <v/>
      </c>
      <c r="BE147" s="66">
        <f>AP147+AQ147+AR147+AS147+AT147+AU147+AV147+AW147+AX147+AY147+BD147</f>
        <v/>
      </c>
      <c r="BF147" s="5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5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5">
        <f>IF(AND(A147&lt;&gt;"",OR('Smart Search'!$L$5="",'Smart Search'!$L$5="All",TRIM(BZ147)=TRIM('Smart Search'!$L$5)),OR(TRIM('Smart Search'!$L$6)="",TRIM('Smart Search'!$L$6)="All",ISNUMBER(SEARCH(SUBSTITUTE(SUBSTITUTE(SUBSTITUTE(TRIM('Smart Search'!$L$6),"~","~~"),"*","~*"),"?","~?"),CA147))),OR('Smart Search'!$L$7="",AND(CB147&lt;&gt;0,CB147='Smart Search'!$L$7)),OR('Smart Search'!$L$8="",'Smart Search'!$L$8="All",TRIM(CC147)=TRIM('Smart Search'!$L$8))),IF(BA147="","",BA147+ROW()*0.0000000001),"")</f>
        <v/>
      </c>
      <c r="BI147" s="5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5">
        <f>IF(A147="","",N(INDEX(Projects[Mech Inst],146)))</f>
        <v/>
      </c>
      <c r="BK147" s="5">
        <f>IF(A147="","",N(INDEX(Projects[Elec Inst],146)))</f>
        <v/>
      </c>
      <c r="BL147" s="5">
        <f>IF(A147="","",N(INDEX(Projects[Project Management],146)))</f>
        <v/>
      </c>
      <c r="BM147" s="5">
        <f>IF(A147="","",N(INDEX(Projects[Systems Eng],146)))</f>
        <v/>
      </c>
      <c r="BN147" s="5">
        <f>IF(A147="","",N(INDEX(Projects[Mechanical Eng],146)))</f>
        <v/>
      </c>
      <c r="BO147" s="5">
        <f>IF(A147="","",N(INDEX(Projects[Structural Engineering],146)))</f>
        <v/>
      </c>
      <c r="BP147" s="5">
        <f>IF(A147="","",N(INDEX(Projects[Site Sup],146)))</f>
        <v/>
      </c>
      <c r="BQ147" s="5">
        <f>IF(A147="","",N(INDEX(Projects[Controls Commissioning],146)))</f>
        <v/>
      </c>
      <c r="BR147" s="5">
        <f>IF(A147="","",N(INDEX(Projects[Systems Commissioning],146)))</f>
        <v/>
      </c>
      <c r="BS147" s="5">
        <f>IF(A147="","",N(INDEX(Projects[Service Commissioning],146)))</f>
        <v/>
      </c>
      <c r="BT147" s="5">
        <f>IF(A147="","",N(INDEX(Projects[Controls Eng],146)))</f>
        <v/>
      </c>
      <c r="BU147" s="5">
        <f>IF(A147="","",N(INDEX(Projects[Controls Purchase],146)))</f>
        <v/>
      </c>
      <c r="BV147" s="5">
        <f>IF(A147="","",N(INDEX(Projects[Software Eng],146)))</f>
        <v/>
      </c>
      <c r="BW147" s="5">
        <f>IF(A147="","",N(INDEX(Projects[Misc],146)))</f>
        <v/>
      </c>
      <c r="BX147" s="5">
        <f>IF(A147="","",SUM(BJ147:BW147))</f>
        <v/>
      </c>
      <c r="BY147" s="5">
        <f>IF(A147="","",IFERROR(IF(ISNUMBER(U147),U147,VALUE(SUBSTITUTE(SUBSTITUTE(SUBSTITUTE(UPPER(TRIM(U147)),"M",""),",","")," ",""))),0))</f>
        <v/>
      </c>
      <c r="BZ147" s="5">
        <f>INDEX(Projects[Solution Type],146)&amp;""</f>
        <v/>
      </c>
      <c r="CA147" s="5">
        <f>INDEX(Projects[Client / Region],146)&amp;""</f>
        <v/>
      </c>
      <c r="CB147" s="5">
        <f>INDEX(Projects[Year],146)</f>
        <v/>
      </c>
      <c r="CC147" s="5">
        <f>INDEX(Projects[Won?],146)&amp;""</f>
        <v/>
      </c>
      <c r="CD147" s="5">
        <f>INDEX(Projects[Value (USD M)],146)</f>
        <v/>
      </c>
    </row>
    <row r="148" ht="15" customHeight="1" s="74">
      <c r="A148" s="66">
        <f>INDEX(Projects[Project ID *],147)&amp;""</f>
        <v/>
      </c>
      <c r="B148" s="66">
        <f>INDEX(Projects[Project Name *],147)&amp;""</f>
        <v/>
      </c>
      <c r="C148" s="66">
        <f>INDEX(Projects[MS Shuttles],147)</f>
        <v/>
      </c>
      <c r="D148" s="66">
        <f>INDEX(Projects[MS Tote Locations],147)</f>
        <v/>
      </c>
      <c r="E148" s="66">
        <f>INDEX(Projects[AS Robots],147)</f>
        <v/>
      </c>
      <c r="F148" s="66">
        <f>INDEX(Projects[AS Tote Locations],147)</f>
        <v/>
      </c>
      <c r="G148" s="66">
        <f>INDEX(Projects[PS Shuttles],147)</f>
        <v/>
      </c>
      <c r="H148" s="66">
        <f>INDEX(Projects[PS Pallet Locations],147)</f>
        <v/>
      </c>
      <c r="I148" s="66">
        <f>INDEX(Projects[SRM Cranes],147)</f>
        <v/>
      </c>
      <c r="J148" s="66">
        <f>INDEX(Projects[SRM Pallet Locations],147)</f>
        <v/>
      </c>
      <c r="K148" s="66">
        <f>INDEX(Projects[Case Conv (m)],147)</f>
        <v/>
      </c>
      <c r="L148" s="66">
        <f>INDEX(Projects[Pallet Conv (m)],147)</f>
        <v/>
      </c>
      <c r="M148" s="66">
        <f>INDEX(Projects[Mech Eng (wks)],147)</f>
        <v/>
      </c>
      <c r="N148" s="66">
        <f>INDEX(Projects[Controls Eng (wks)],147)</f>
        <v/>
      </c>
      <c r="O148" s="66">
        <f>INDEX(Projects[Systems Eng (wks)],147)</f>
        <v/>
      </c>
      <c r="P148" s="66">
        <f>INDEX(Projects[Software Eng (wks)],147)</f>
        <v/>
      </c>
      <c r="Q148" s="66">
        <f>INDEX(Projects[M&amp;E Installation (wks)],147)</f>
        <v/>
      </c>
      <c r="R148" s="66">
        <f>INDEX(Projects[Commissioning (wks)],147)</f>
        <v/>
      </c>
      <c r="S148" s="66">
        <f>INDEX(Projects[Total Timeline (wks)],147)</f>
        <v/>
      </c>
      <c r="T148" s="66">
        <f>INDEX(Projects[Currency],147)&amp;""</f>
        <v/>
      </c>
      <c r="U148" s="67">
        <f>INDEX(Projects[Value (M)],147)</f>
        <v/>
      </c>
      <c r="V148" s="66">
        <f>IF('Smart Search'!B13=1,IFERROR(1/'Smart Search'!H13,0),0)</f>
        <v/>
      </c>
      <c r="W148" s="66">
        <f>IF('Smart Search'!B13=1,IFERROR(1/'Smart Search'!H13,0),0)</f>
        <v/>
      </c>
      <c r="X148" s="66">
        <f>IF('Smart Search'!C13=1,IFERROR(1/'Smart Search'!H13,0),0)</f>
        <v/>
      </c>
      <c r="Y148" s="66">
        <f>IF('Smart Search'!C13=1,IFERROR(1/'Smart Search'!H13,0),0)</f>
        <v/>
      </c>
      <c r="Z148" s="66">
        <f>IF('Smart Search'!D13=1,IFERROR(1/'Smart Search'!H13,0),0)</f>
        <v/>
      </c>
      <c r="AA148" s="66">
        <f>IF('Smart Search'!D13=1,IFERROR(1/'Smart Search'!H13,0),0)</f>
        <v/>
      </c>
      <c r="AB148" s="66">
        <f>IF('Smart Search'!E13=1,IFERROR(1/'Smart Search'!H13,0),0)</f>
        <v/>
      </c>
      <c r="AC148" s="66">
        <f>IF('Smart Search'!E13=1,IFERROR(1/'Smart Search'!H13,0),0)</f>
        <v/>
      </c>
      <c r="AD148" s="66">
        <f>IF('Smart Search'!F13=1,IFERROR(1/'Smart Search'!H13,0),0)</f>
        <v/>
      </c>
      <c r="AE148" s="66">
        <f>IF('Smart Search'!F13=1,IFERROR(1/'Smart Search'!H13,0),0)</f>
        <v/>
      </c>
      <c r="AF148" s="66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66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66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66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66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66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66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66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66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66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66">
        <f>AF148*V148</f>
        <v/>
      </c>
      <c r="AQ148" s="66">
        <f>AG148*W148</f>
        <v/>
      </c>
      <c r="AR148" s="66">
        <f>AH148*X148</f>
        <v/>
      </c>
      <c r="AS148" s="66">
        <f>AI148*Y148</f>
        <v/>
      </c>
      <c r="AT148" s="66">
        <f>AJ148*Z148</f>
        <v/>
      </c>
      <c r="AU148" s="66">
        <f>AK148*AA148</f>
        <v/>
      </c>
      <c r="AV148" s="66">
        <f>AL148*AB148</f>
        <v/>
      </c>
      <c r="AW148" s="66">
        <f>AM148*AC148</f>
        <v/>
      </c>
      <c r="AX148" s="66">
        <f>AN148*AD148</f>
        <v/>
      </c>
      <c r="AY148" s="66">
        <f>AO148*AE148</f>
        <v/>
      </c>
      <c r="AZ148" s="66">
        <f>INDEX(Projects[Automation Equipment],147)&amp;""</f>
        <v/>
      </c>
      <c r="BA148" s="66">
        <f>IF(OR(A148="",'Smart Search'!H13=0),"",MAX(0,BE148*BF148*MAX(0,1-BG148)))</f>
        <v/>
      </c>
      <c r="BB148" s="66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66">
        <f>IF('Smart Search'!G13=1,IFERROR(1/'Smart Search'!H13,0),0)</f>
        <v/>
      </c>
      <c r="BD148" s="66">
        <f>BB148*BC148</f>
        <v/>
      </c>
      <c r="BE148" s="66">
        <f>AP148+AQ148+AR148+AS148+AT148+AU148+AV148+AW148+AX148+AY148+BD148</f>
        <v/>
      </c>
      <c r="BF148" s="5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5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5">
        <f>IF(AND(A148&lt;&gt;"",OR('Smart Search'!$L$5="",'Smart Search'!$L$5="All",TRIM(BZ148)=TRIM('Smart Search'!$L$5)),OR(TRIM('Smart Search'!$L$6)="",TRIM('Smart Search'!$L$6)="All",ISNUMBER(SEARCH(SUBSTITUTE(SUBSTITUTE(SUBSTITUTE(TRIM('Smart Search'!$L$6),"~","~~"),"*","~*"),"?","~?"),CA148))),OR('Smart Search'!$L$7="",AND(CB148&lt;&gt;0,CB148='Smart Search'!$L$7)),OR('Smart Search'!$L$8="",'Smart Search'!$L$8="All",TRIM(CC148)=TRIM('Smart Search'!$L$8))),IF(BA148="","",BA148+ROW()*0.0000000001),"")</f>
        <v/>
      </c>
      <c r="BI148" s="5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5">
        <f>IF(A148="","",N(INDEX(Projects[Mech Inst],147)))</f>
        <v/>
      </c>
      <c r="BK148" s="5">
        <f>IF(A148="","",N(INDEX(Projects[Elec Inst],147)))</f>
        <v/>
      </c>
      <c r="BL148" s="5">
        <f>IF(A148="","",N(INDEX(Projects[Project Management],147)))</f>
        <v/>
      </c>
      <c r="BM148" s="5">
        <f>IF(A148="","",N(INDEX(Projects[Systems Eng],147)))</f>
        <v/>
      </c>
      <c r="BN148" s="5">
        <f>IF(A148="","",N(INDEX(Projects[Mechanical Eng],147)))</f>
        <v/>
      </c>
      <c r="BO148" s="5">
        <f>IF(A148="","",N(INDEX(Projects[Structural Engineering],147)))</f>
        <v/>
      </c>
      <c r="BP148" s="5">
        <f>IF(A148="","",N(INDEX(Projects[Site Sup],147)))</f>
        <v/>
      </c>
      <c r="BQ148" s="5">
        <f>IF(A148="","",N(INDEX(Projects[Controls Commissioning],147)))</f>
        <v/>
      </c>
      <c r="BR148" s="5">
        <f>IF(A148="","",N(INDEX(Projects[Systems Commissioning],147)))</f>
        <v/>
      </c>
      <c r="BS148" s="5">
        <f>IF(A148="","",N(INDEX(Projects[Service Commissioning],147)))</f>
        <v/>
      </c>
      <c r="BT148" s="5">
        <f>IF(A148="","",N(INDEX(Projects[Controls Eng],147)))</f>
        <v/>
      </c>
      <c r="BU148" s="5">
        <f>IF(A148="","",N(INDEX(Projects[Controls Purchase],147)))</f>
        <v/>
      </c>
      <c r="BV148" s="5">
        <f>IF(A148="","",N(INDEX(Projects[Software Eng],147)))</f>
        <v/>
      </c>
      <c r="BW148" s="5">
        <f>IF(A148="","",N(INDEX(Projects[Misc],147)))</f>
        <v/>
      </c>
      <c r="BX148" s="5">
        <f>IF(A148="","",SUM(BJ148:BW148))</f>
        <v/>
      </c>
      <c r="BY148" s="5">
        <f>IF(A148="","",IFERROR(IF(ISNUMBER(U148),U148,VALUE(SUBSTITUTE(SUBSTITUTE(SUBSTITUTE(UPPER(TRIM(U148)),"M",""),",","")," ",""))),0))</f>
        <v/>
      </c>
      <c r="BZ148" s="5">
        <f>INDEX(Projects[Solution Type],147)&amp;""</f>
        <v/>
      </c>
      <c r="CA148" s="5">
        <f>INDEX(Projects[Client / Region],147)&amp;""</f>
        <v/>
      </c>
      <c r="CB148" s="5">
        <f>INDEX(Projects[Year],147)</f>
        <v/>
      </c>
      <c r="CC148" s="5">
        <f>INDEX(Projects[Won?],147)&amp;""</f>
        <v/>
      </c>
      <c r="CD148" s="5">
        <f>INDEX(Projects[Value (USD M)],147)</f>
        <v/>
      </c>
    </row>
    <row r="149" ht="15" customHeight="1" s="74">
      <c r="A149" s="66">
        <f>INDEX(Projects[Project ID *],148)&amp;""</f>
        <v/>
      </c>
      <c r="B149" s="66">
        <f>INDEX(Projects[Project Name *],148)&amp;""</f>
        <v/>
      </c>
      <c r="C149" s="66">
        <f>INDEX(Projects[MS Shuttles],148)</f>
        <v/>
      </c>
      <c r="D149" s="66">
        <f>INDEX(Projects[MS Tote Locations],148)</f>
        <v/>
      </c>
      <c r="E149" s="66">
        <f>INDEX(Projects[AS Robots],148)</f>
        <v/>
      </c>
      <c r="F149" s="66">
        <f>INDEX(Projects[AS Tote Locations],148)</f>
        <v/>
      </c>
      <c r="G149" s="66">
        <f>INDEX(Projects[PS Shuttles],148)</f>
        <v/>
      </c>
      <c r="H149" s="66">
        <f>INDEX(Projects[PS Pallet Locations],148)</f>
        <v/>
      </c>
      <c r="I149" s="66">
        <f>INDEX(Projects[SRM Cranes],148)</f>
        <v/>
      </c>
      <c r="J149" s="66">
        <f>INDEX(Projects[SRM Pallet Locations],148)</f>
        <v/>
      </c>
      <c r="K149" s="66">
        <f>INDEX(Projects[Case Conv (m)],148)</f>
        <v/>
      </c>
      <c r="L149" s="66">
        <f>INDEX(Projects[Pallet Conv (m)],148)</f>
        <v/>
      </c>
      <c r="M149" s="66">
        <f>INDEX(Projects[Mech Eng (wks)],148)</f>
        <v/>
      </c>
      <c r="N149" s="66">
        <f>INDEX(Projects[Controls Eng (wks)],148)</f>
        <v/>
      </c>
      <c r="O149" s="66">
        <f>INDEX(Projects[Systems Eng (wks)],148)</f>
        <v/>
      </c>
      <c r="P149" s="66">
        <f>INDEX(Projects[Software Eng (wks)],148)</f>
        <v/>
      </c>
      <c r="Q149" s="66">
        <f>INDEX(Projects[M&amp;E Installation (wks)],148)</f>
        <v/>
      </c>
      <c r="R149" s="66">
        <f>INDEX(Projects[Commissioning (wks)],148)</f>
        <v/>
      </c>
      <c r="S149" s="66">
        <f>INDEX(Projects[Total Timeline (wks)],148)</f>
        <v/>
      </c>
      <c r="T149" s="66">
        <f>INDEX(Projects[Currency],148)&amp;""</f>
        <v/>
      </c>
      <c r="U149" s="67">
        <f>INDEX(Projects[Value (M)],148)</f>
        <v/>
      </c>
      <c r="V149" s="66">
        <f>IF('Smart Search'!B13=1,IFERROR(1/'Smart Search'!H13,0),0)</f>
        <v/>
      </c>
      <c r="W149" s="66">
        <f>IF('Smart Search'!B13=1,IFERROR(1/'Smart Search'!H13,0),0)</f>
        <v/>
      </c>
      <c r="X149" s="66">
        <f>IF('Smart Search'!C13=1,IFERROR(1/'Smart Search'!H13,0),0)</f>
        <v/>
      </c>
      <c r="Y149" s="66">
        <f>IF('Smart Search'!C13=1,IFERROR(1/'Smart Search'!H13,0),0)</f>
        <v/>
      </c>
      <c r="Z149" s="66">
        <f>IF('Smart Search'!D13=1,IFERROR(1/'Smart Search'!H13,0),0)</f>
        <v/>
      </c>
      <c r="AA149" s="66">
        <f>IF('Smart Search'!D13=1,IFERROR(1/'Smart Search'!H13,0),0)</f>
        <v/>
      </c>
      <c r="AB149" s="66">
        <f>IF('Smart Search'!E13=1,IFERROR(1/'Smart Search'!H13,0),0)</f>
        <v/>
      </c>
      <c r="AC149" s="66">
        <f>IF('Smart Search'!E13=1,IFERROR(1/'Smart Search'!H13,0),0)</f>
        <v/>
      </c>
      <c r="AD149" s="66">
        <f>IF('Smart Search'!F13=1,IFERROR(1/'Smart Search'!H13,0),0)</f>
        <v/>
      </c>
      <c r="AE149" s="66">
        <f>IF('Smart Search'!F13=1,IFERROR(1/'Smart Search'!H13,0),0)</f>
        <v/>
      </c>
      <c r="AF149" s="66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66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66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66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66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66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66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66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66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66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66">
        <f>AF149*V149</f>
        <v/>
      </c>
      <c r="AQ149" s="66">
        <f>AG149*W149</f>
        <v/>
      </c>
      <c r="AR149" s="66">
        <f>AH149*X149</f>
        <v/>
      </c>
      <c r="AS149" s="66">
        <f>AI149*Y149</f>
        <v/>
      </c>
      <c r="AT149" s="66">
        <f>AJ149*Z149</f>
        <v/>
      </c>
      <c r="AU149" s="66">
        <f>AK149*AA149</f>
        <v/>
      </c>
      <c r="AV149" s="66">
        <f>AL149*AB149</f>
        <v/>
      </c>
      <c r="AW149" s="66">
        <f>AM149*AC149</f>
        <v/>
      </c>
      <c r="AX149" s="66">
        <f>AN149*AD149</f>
        <v/>
      </c>
      <c r="AY149" s="66">
        <f>AO149*AE149</f>
        <v/>
      </c>
      <c r="AZ149" s="66">
        <f>INDEX(Projects[Automation Equipment],148)&amp;""</f>
        <v/>
      </c>
      <c r="BA149" s="66">
        <f>IF(OR(A149="",'Smart Search'!H13=0),"",MAX(0,BE149*BF149*MAX(0,1-BG149)))</f>
        <v/>
      </c>
      <c r="BB149" s="66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66">
        <f>IF('Smart Search'!G13=1,IFERROR(1/'Smart Search'!H13,0),0)</f>
        <v/>
      </c>
      <c r="BD149" s="66">
        <f>BB149*BC149</f>
        <v/>
      </c>
      <c r="BE149" s="66">
        <f>AP149+AQ149+AR149+AS149+AT149+AU149+AV149+AW149+AX149+AY149+BD149</f>
        <v/>
      </c>
      <c r="BF149" s="5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5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5">
        <f>IF(AND(A149&lt;&gt;"",OR('Smart Search'!$L$5="",'Smart Search'!$L$5="All",TRIM(BZ149)=TRIM('Smart Search'!$L$5)),OR(TRIM('Smart Search'!$L$6)="",TRIM('Smart Search'!$L$6)="All",ISNUMBER(SEARCH(SUBSTITUTE(SUBSTITUTE(SUBSTITUTE(TRIM('Smart Search'!$L$6),"~","~~"),"*","~*"),"?","~?"),CA149))),OR('Smart Search'!$L$7="",AND(CB149&lt;&gt;0,CB149='Smart Search'!$L$7)),OR('Smart Search'!$L$8="",'Smart Search'!$L$8="All",TRIM(CC149)=TRIM('Smart Search'!$L$8))),IF(BA149="","",BA149+ROW()*0.0000000001),"")</f>
        <v/>
      </c>
      <c r="BI149" s="5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5">
        <f>IF(A149="","",N(INDEX(Projects[Mech Inst],148)))</f>
        <v/>
      </c>
      <c r="BK149" s="5">
        <f>IF(A149="","",N(INDEX(Projects[Elec Inst],148)))</f>
        <v/>
      </c>
      <c r="BL149" s="5">
        <f>IF(A149="","",N(INDEX(Projects[Project Management],148)))</f>
        <v/>
      </c>
      <c r="BM149" s="5">
        <f>IF(A149="","",N(INDEX(Projects[Systems Eng],148)))</f>
        <v/>
      </c>
      <c r="BN149" s="5">
        <f>IF(A149="","",N(INDEX(Projects[Mechanical Eng],148)))</f>
        <v/>
      </c>
      <c r="BO149" s="5">
        <f>IF(A149="","",N(INDEX(Projects[Structural Engineering],148)))</f>
        <v/>
      </c>
      <c r="BP149" s="5">
        <f>IF(A149="","",N(INDEX(Projects[Site Sup],148)))</f>
        <v/>
      </c>
      <c r="BQ149" s="5">
        <f>IF(A149="","",N(INDEX(Projects[Controls Commissioning],148)))</f>
        <v/>
      </c>
      <c r="BR149" s="5">
        <f>IF(A149="","",N(INDEX(Projects[Systems Commissioning],148)))</f>
        <v/>
      </c>
      <c r="BS149" s="5">
        <f>IF(A149="","",N(INDEX(Projects[Service Commissioning],148)))</f>
        <v/>
      </c>
      <c r="BT149" s="5">
        <f>IF(A149="","",N(INDEX(Projects[Controls Eng],148)))</f>
        <v/>
      </c>
      <c r="BU149" s="5">
        <f>IF(A149="","",N(INDEX(Projects[Controls Purchase],148)))</f>
        <v/>
      </c>
      <c r="BV149" s="5">
        <f>IF(A149="","",N(INDEX(Projects[Software Eng],148)))</f>
        <v/>
      </c>
      <c r="BW149" s="5">
        <f>IF(A149="","",N(INDEX(Projects[Misc],148)))</f>
        <v/>
      </c>
      <c r="BX149" s="5">
        <f>IF(A149="","",SUM(BJ149:BW149))</f>
        <v/>
      </c>
      <c r="BY149" s="5">
        <f>IF(A149="","",IFERROR(IF(ISNUMBER(U149),U149,VALUE(SUBSTITUTE(SUBSTITUTE(SUBSTITUTE(UPPER(TRIM(U149)),"M",""),",","")," ",""))),0))</f>
        <v/>
      </c>
      <c r="BZ149" s="5">
        <f>INDEX(Projects[Solution Type],148)&amp;""</f>
        <v/>
      </c>
      <c r="CA149" s="5">
        <f>INDEX(Projects[Client / Region],148)&amp;""</f>
        <v/>
      </c>
      <c r="CB149" s="5">
        <f>INDEX(Projects[Year],148)</f>
        <v/>
      </c>
      <c r="CC149" s="5">
        <f>INDEX(Projects[Won?],148)&amp;""</f>
        <v/>
      </c>
      <c r="CD149" s="5">
        <f>INDEX(Projects[Value (USD M)],148)</f>
        <v/>
      </c>
    </row>
    <row r="150" ht="15" customHeight="1" s="74">
      <c r="A150" s="66">
        <f>INDEX(Projects[Project ID *],149)&amp;""</f>
        <v/>
      </c>
      <c r="B150" s="66">
        <f>INDEX(Projects[Project Name *],149)&amp;""</f>
        <v/>
      </c>
      <c r="C150" s="66">
        <f>INDEX(Projects[MS Shuttles],149)</f>
        <v/>
      </c>
      <c r="D150" s="66">
        <f>INDEX(Projects[MS Tote Locations],149)</f>
        <v/>
      </c>
      <c r="E150" s="66">
        <f>INDEX(Projects[AS Robots],149)</f>
        <v/>
      </c>
      <c r="F150" s="66">
        <f>INDEX(Projects[AS Tote Locations],149)</f>
        <v/>
      </c>
      <c r="G150" s="66">
        <f>INDEX(Projects[PS Shuttles],149)</f>
        <v/>
      </c>
      <c r="H150" s="66">
        <f>INDEX(Projects[PS Pallet Locations],149)</f>
        <v/>
      </c>
      <c r="I150" s="66">
        <f>INDEX(Projects[SRM Cranes],149)</f>
        <v/>
      </c>
      <c r="J150" s="66">
        <f>INDEX(Projects[SRM Pallet Locations],149)</f>
        <v/>
      </c>
      <c r="K150" s="66">
        <f>INDEX(Projects[Case Conv (m)],149)</f>
        <v/>
      </c>
      <c r="L150" s="66">
        <f>INDEX(Projects[Pallet Conv (m)],149)</f>
        <v/>
      </c>
      <c r="M150" s="66">
        <f>INDEX(Projects[Mech Eng (wks)],149)</f>
        <v/>
      </c>
      <c r="N150" s="66">
        <f>INDEX(Projects[Controls Eng (wks)],149)</f>
        <v/>
      </c>
      <c r="O150" s="66">
        <f>INDEX(Projects[Systems Eng (wks)],149)</f>
        <v/>
      </c>
      <c r="P150" s="66">
        <f>INDEX(Projects[Software Eng (wks)],149)</f>
        <v/>
      </c>
      <c r="Q150" s="66">
        <f>INDEX(Projects[M&amp;E Installation (wks)],149)</f>
        <v/>
      </c>
      <c r="R150" s="66">
        <f>INDEX(Projects[Commissioning (wks)],149)</f>
        <v/>
      </c>
      <c r="S150" s="66">
        <f>INDEX(Projects[Total Timeline (wks)],149)</f>
        <v/>
      </c>
      <c r="T150" s="66">
        <f>INDEX(Projects[Currency],149)&amp;""</f>
        <v/>
      </c>
      <c r="U150" s="67">
        <f>INDEX(Projects[Value (M)],149)</f>
        <v/>
      </c>
      <c r="V150" s="66">
        <f>IF('Smart Search'!B13=1,IFERROR(1/'Smart Search'!H13,0),0)</f>
        <v/>
      </c>
      <c r="W150" s="66">
        <f>IF('Smart Search'!B13=1,IFERROR(1/'Smart Search'!H13,0),0)</f>
        <v/>
      </c>
      <c r="X150" s="66">
        <f>IF('Smart Search'!C13=1,IFERROR(1/'Smart Search'!H13,0),0)</f>
        <v/>
      </c>
      <c r="Y150" s="66">
        <f>IF('Smart Search'!C13=1,IFERROR(1/'Smart Search'!H13,0),0)</f>
        <v/>
      </c>
      <c r="Z150" s="66">
        <f>IF('Smart Search'!D13=1,IFERROR(1/'Smart Search'!H13,0),0)</f>
        <v/>
      </c>
      <c r="AA150" s="66">
        <f>IF('Smart Search'!D13=1,IFERROR(1/'Smart Search'!H13,0),0)</f>
        <v/>
      </c>
      <c r="AB150" s="66">
        <f>IF('Smart Search'!E13=1,IFERROR(1/'Smart Search'!H13,0),0)</f>
        <v/>
      </c>
      <c r="AC150" s="66">
        <f>IF('Smart Search'!E13=1,IFERROR(1/'Smart Search'!H13,0),0)</f>
        <v/>
      </c>
      <c r="AD150" s="66">
        <f>IF('Smart Search'!F13=1,IFERROR(1/'Smart Search'!H13,0),0)</f>
        <v/>
      </c>
      <c r="AE150" s="66">
        <f>IF('Smart Search'!F13=1,IFERROR(1/'Smart Search'!H13,0),0)</f>
        <v/>
      </c>
      <c r="AF150" s="66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66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66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66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66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66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66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66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66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66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66">
        <f>AF150*V150</f>
        <v/>
      </c>
      <c r="AQ150" s="66">
        <f>AG150*W150</f>
        <v/>
      </c>
      <c r="AR150" s="66">
        <f>AH150*X150</f>
        <v/>
      </c>
      <c r="AS150" s="66">
        <f>AI150*Y150</f>
        <v/>
      </c>
      <c r="AT150" s="66">
        <f>AJ150*Z150</f>
        <v/>
      </c>
      <c r="AU150" s="66">
        <f>AK150*AA150</f>
        <v/>
      </c>
      <c r="AV150" s="66">
        <f>AL150*AB150</f>
        <v/>
      </c>
      <c r="AW150" s="66">
        <f>AM150*AC150</f>
        <v/>
      </c>
      <c r="AX150" s="66">
        <f>AN150*AD150</f>
        <v/>
      </c>
      <c r="AY150" s="66">
        <f>AO150*AE150</f>
        <v/>
      </c>
      <c r="AZ150" s="66">
        <f>INDEX(Projects[Automation Equipment],149)&amp;""</f>
        <v/>
      </c>
      <c r="BA150" s="66">
        <f>IF(OR(A150="",'Smart Search'!H13=0),"",MAX(0,BE150*BF150*MAX(0,1-BG150)))</f>
        <v/>
      </c>
      <c r="BB150" s="66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66">
        <f>IF('Smart Search'!G13=1,IFERROR(1/'Smart Search'!H13,0),0)</f>
        <v/>
      </c>
      <c r="BD150" s="66">
        <f>BB150*BC150</f>
        <v/>
      </c>
      <c r="BE150" s="66">
        <f>AP150+AQ150+AR150+AS150+AT150+AU150+AV150+AW150+AX150+AY150+BD150</f>
        <v/>
      </c>
      <c r="BF150" s="5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5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5">
        <f>IF(AND(A150&lt;&gt;"",OR('Smart Search'!$L$5="",'Smart Search'!$L$5="All",TRIM(BZ150)=TRIM('Smart Search'!$L$5)),OR(TRIM('Smart Search'!$L$6)="",TRIM('Smart Search'!$L$6)="All",ISNUMBER(SEARCH(SUBSTITUTE(SUBSTITUTE(SUBSTITUTE(TRIM('Smart Search'!$L$6),"~","~~"),"*","~*"),"?","~?"),CA150))),OR('Smart Search'!$L$7="",AND(CB150&lt;&gt;0,CB150='Smart Search'!$L$7)),OR('Smart Search'!$L$8="",'Smart Search'!$L$8="All",TRIM(CC150)=TRIM('Smart Search'!$L$8))),IF(BA150="","",BA150+ROW()*0.0000000001),"")</f>
        <v/>
      </c>
      <c r="BI150" s="5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5">
        <f>IF(A150="","",N(INDEX(Projects[Mech Inst],149)))</f>
        <v/>
      </c>
      <c r="BK150" s="5">
        <f>IF(A150="","",N(INDEX(Projects[Elec Inst],149)))</f>
        <v/>
      </c>
      <c r="BL150" s="5">
        <f>IF(A150="","",N(INDEX(Projects[Project Management],149)))</f>
        <v/>
      </c>
      <c r="BM150" s="5">
        <f>IF(A150="","",N(INDEX(Projects[Systems Eng],149)))</f>
        <v/>
      </c>
      <c r="BN150" s="5">
        <f>IF(A150="","",N(INDEX(Projects[Mechanical Eng],149)))</f>
        <v/>
      </c>
      <c r="BO150" s="5">
        <f>IF(A150="","",N(INDEX(Projects[Structural Engineering],149)))</f>
        <v/>
      </c>
      <c r="BP150" s="5">
        <f>IF(A150="","",N(INDEX(Projects[Site Sup],149)))</f>
        <v/>
      </c>
      <c r="BQ150" s="5">
        <f>IF(A150="","",N(INDEX(Projects[Controls Commissioning],149)))</f>
        <v/>
      </c>
      <c r="BR150" s="5">
        <f>IF(A150="","",N(INDEX(Projects[Systems Commissioning],149)))</f>
        <v/>
      </c>
      <c r="BS150" s="5">
        <f>IF(A150="","",N(INDEX(Projects[Service Commissioning],149)))</f>
        <v/>
      </c>
      <c r="BT150" s="5">
        <f>IF(A150="","",N(INDEX(Projects[Controls Eng],149)))</f>
        <v/>
      </c>
      <c r="BU150" s="5">
        <f>IF(A150="","",N(INDEX(Projects[Controls Purchase],149)))</f>
        <v/>
      </c>
      <c r="BV150" s="5">
        <f>IF(A150="","",N(INDEX(Projects[Software Eng],149)))</f>
        <v/>
      </c>
      <c r="BW150" s="5">
        <f>IF(A150="","",N(INDEX(Projects[Misc],149)))</f>
        <v/>
      </c>
      <c r="BX150" s="5">
        <f>IF(A150="","",SUM(BJ150:BW150))</f>
        <v/>
      </c>
      <c r="BY150" s="5">
        <f>IF(A150="","",IFERROR(IF(ISNUMBER(U150),U150,VALUE(SUBSTITUTE(SUBSTITUTE(SUBSTITUTE(UPPER(TRIM(U150)),"M",""),",","")," ",""))),0))</f>
        <v/>
      </c>
      <c r="BZ150" s="5">
        <f>INDEX(Projects[Solution Type],149)&amp;""</f>
        <v/>
      </c>
      <c r="CA150" s="5">
        <f>INDEX(Projects[Client / Region],149)&amp;""</f>
        <v/>
      </c>
      <c r="CB150" s="5">
        <f>INDEX(Projects[Year],149)</f>
        <v/>
      </c>
      <c r="CC150" s="5">
        <f>INDEX(Projects[Won?],149)&amp;""</f>
        <v/>
      </c>
      <c r="CD150" s="5">
        <f>INDEX(Projects[Value (USD M)],149)</f>
        <v/>
      </c>
    </row>
    <row r="151" ht="15" customHeight="1" s="74">
      <c r="A151" s="66">
        <f>INDEX(Projects[Project ID *],150)&amp;""</f>
        <v/>
      </c>
      <c r="B151" s="66">
        <f>INDEX(Projects[Project Name *],150)&amp;""</f>
        <v/>
      </c>
      <c r="C151" s="66">
        <f>INDEX(Projects[MS Shuttles],150)</f>
        <v/>
      </c>
      <c r="D151" s="66">
        <f>INDEX(Projects[MS Tote Locations],150)</f>
        <v/>
      </c>
      <c r="E151" s="66">
        <f>INDEX(Projects[AS Robots],150)</f>
        <v/>
      </c>
      <c r="F151" s="66">
        <f>INDEX(Projects[AS Tote Locations],150)</f>
        <v/>
      </c>
      <c r="G151" s="66">
        <f>INDEX(Projects[PS Shuttles],150)</f>
        <v/>
      </c>
      <c r="H151" s="66">
        <f>INDEX(Projects[PS Pallet Locations],150)</f>
        <v/>
      </c>
      <c r="I151" s="66">
        <f>INDEX(Projects[SRM Cranes],150)</f>
        <v/>
      </c>
      <c r="J151" s="66">
        <f>INDEX(Projects[SRM Pallet Locations],150)</f>
        <v/>
      </c>
      <c r="K151" s="66">
        <f>INDEX(Projects[Case Conv (m)],150)</f>
        <v/>
      </c>
      <c r="L151" s="66">
        <f>INDEX(Projects[Pallet Conv (m)],150)</f>
        <v/>
      </c>
      <c r="M151" s="66">
        <f>INDEX(Projects[Mech Eng (wks)],150)</f>
        <v/>
      </c>
      <c r="N151" s="66">
        <f>INDEX(Projects[Controls Eng (wks)],150)</f>
        <v/>
      </c>
      <c r="O151" s="66">
        <f>INDEX(Projects[Systems Eng (wks)],150)</f>
        <v/>
      </c>
      <c r="P151" s="66">
        <f>INDEX(Projects[Software Eng (wks)],150)</f>
        <v/>
      </c>
      <c r="Q151" s="66">
        <f>INDEX(Projects[M&amp;E Installation (wks)],150)</f>
        <v/>
      </c>
      <c r="R151" s="66">
        <f>INDEX(Projects[Commissioning (wks)],150)</f>
        <v/>
      </c>
      <c r="S151" s="66">
        <f>INDEX(Projects[Total Timeline (wks)],150)</f>
        <v/>
      </c>
      <c r="T151" s="66">
        <f>INDEX(Projects[Currency],150)&amp;""</f>
        <v/>
      </c>
      <c r="U151" s="67">
        <f>INDEX(Projects[Value (M)],150)</f>
        <v/>
      </c>
      <c r="V151" s="66">
        <f>IF('Smart Search'!B13=1,IFERROR(1/'Smart Search'!H13,0),0)</f>
        <v/>
      </c>
      <c r="W151" s="66">
        <f>IF('Smart Search'!B13=1,IFERROR(1/'Smart Search'!H13,0),0)</f>
        <v/>
      </c>
      <c r="X151" s="66">
        <f>IF('Smart Search'!C13=1,IFERROR(1/'Smart Search'!H13,0),0)</f>
        <v/>
      </c>
      <c r="Y151" s="66">
        <f>IF('Smart Search'!C13=1,IFERROR(1/'Smart Search'!H13,0),0)</f>
        <v/>
      </c>
      <c r="Z151" s="66">
        <f>IF('Smart Search'!D13=1,IFERROR(1/'Smart Search'!H13,0),0)</f>
        <v/>
      </c>
      <c r="AA151" s="66">
        <f>IF('Smart Search'!D13=1,IFERROR(1/'Smart Search'!H13,0),0)</f>
        <v/>
      </c>
      <c r="AB151" s="66">
        <f>IF('Smart Search'!E13=1,IFERROR(1/'Smart Search'!H13,0),0)</f>
        <v/>
      </c>
      <c r="AC151" s="66">
        <f>IF('Smart Search'!E13=1,IFERROR(1/'Smart Search'!H13,0),0)</f>
        <v/>
      </c>
      <c r="AD151" s="66">
        <f>IF('Smart Search'!F13=1,IFERROR(1/'Smart Search'!H13,0),0)</f>
        <v/>
      </c>
      <c r="AE151" s="66">
        <f>IF('Smart Search'!F13=1,IFERROR(1/'Smart Search'!H13,0),0)</f>
        <v/>
      </c>
      <c r="AF151" s="66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66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66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66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66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66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66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66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66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66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66">
        <f>AF151*V151</f>
        <v/>
      </c>
      <c r="AQ151" s="66">
        <f>AG151*W151</f>
        <v/>
      </c>
      <c r="AR151" s="66">
        <f>AH151*X151</f>
        <v/>
      </c>
      <c r="AS151" s="66">
        <f>AI151*Y151</f>
        <v/>
      </c>
      <c r="AT151" s="66">
        <f>AJ151*Z151</f>
        <v/>
      </c>
      <c r="AU151" s="66">
        <f>AK151*AA151</f>
        <v/>
      </c>
      <c r="AV151" s="66">
        <f>AL151*AB151</f>
        <v/>
      </c>
      <c r="AW151" s="66">
        <f>AM151*AC151</f>
        <v/>
      </c>
      <c r="AX151" s="66">
        <f>AN151*AD151</f>
        <v/>
      </c>
      <c r="AY151" s="66">
        <f>AO151*AE151</f>
        <v/>
      </c>
      <c r="AZ151" s="66">
        <f>INDEX(Projects[Automation Equipment],150)&amp;""</f>
        <v/>
      </c>
      <c r="BA151" s="66">
        <f>IF(OR(A151="",'Smart Search'!H13=0),"",MAX(0,BE151*BF151*MAX(0,1-BG151)))</f>
        <v/>
      </c>
      <c r="BB151" s="66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66">
        <f>IF('Smart Search'!G13=1,IFERROR(1/'Smart Search'!H13,0),0)</f>
        <v/>
      </c>
      <c r="BD151" s="66">
        <f>BB151*BC151</f>
        <v/>
      </c>
      <c r="BE151" s="66">
        <f>AP151+AQ151+AR151+AS151+AT151+AU151+AV151+AW151+AX151+AY151+BD151</f>
        <v/>
      </c>
      <c r="BF151" s="5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5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5">
        <f>IF(AND(A151&lt;&gt;"",OR('Smart Search'!$L$5="",'Smart Search'!$L$5="All",TRIM(BZ151)=TRIM('Smart Search'!$L$5)),OR(TRIM('Smart Search'!$L$6)="",TRIM('Smart Search'!$L$6)="All",ISNUMBER(SEARCH(SUBSTITUTE(SUBSTITUTE(SUBSTITUTE(TRIM('Smart Search'!$L$6),"~","~~"),"*","~*"),"?","~?"),CA151))),OR('Smart Search'!$L$7="",AND(CB151&lt;&gt;0,CB151='Smart Search'!$L$7)),OR('Smart Search'!$L$8="",'Smart Search'!$L$8="All",TRIM(CC151)=TRIM('Smart Search'!$L$8))),IF(BA151="","",BA151+ROW()*0.0000000001),"")</f>
        <v/>
      </c>
      <c r="BI151" s="5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5">
        <f>IF(A151="","",N(INDEX(Projects[Mech Inst],150)))</f>
        <v/>
      </c>
      <c r="BK151" s="5">
        <f>IF(A151="","",N(INDEX(Projects[Elec Inst],150)))</f>
        <v/>
      </c>
      <c r="BL151" s="5">
        <f>IF(A151="","",N(INDEX(Projects[Project Management],150)))</f>
        <v/>
      </c>
      <c r="BM151" s="5">
        <f>IF(A151="","",N(INDEX(Projects[Systems Eng],150)))</f>
        <v/>
      </c>
      <c r="BN151" s="5">
        <f>IF(A151="","",N(INDEX(Projects[Mechanical Eng],150)))</f>
        <v/>
      </c>
      <c r="BO151" s="5">
        <f>IF(A151="","",N(INDEX(Projects[Structural Engineering],150)))</f>
        <v/>
      </c>
      <c r="BP151" s="5">
        <f>IF(A151="","",N(INDEX(Projects[Site Sup],150)))</f>
        <v/>
      </c>
      <c r="BQ151" s="5">
        <f>IF(A151="","",N(INDEX(Projects[Controls Commissioning],150)))</f>
        <v/>
      </c>
      <c r="BR151" s="5">
        <f>IF(A151="","",N(INDEX(Projects[Systems Commissioning],150)))</f>
        <v/>
      </c>
      <c r="BS151" s="5">
        <f>IF(A151="","",N(INDEX(Projects[Service Commissioning],150)))</f>
        <v/>
      </c>
      <c r="BT151" s="5">
        <f>IF(A151="","",N(INDEX(Projects[Controls Eng],150)))</f>
        <v/>
      </c>
      <c r="BU151" s="5">
        <f>IF(A151="","",N(INDEX(Projects[Controls Purchase],150)))</f>
        <v/>
      </c>
      <c r="BV151" s="5">
        <f>IF(A151="","",N(INDEX(Projects[Software Eng],150)))</f>
        <v/>
      </c>
      <c r="BW151" s="5">
        <f>IF(A151="","",N(INDEX(Projects[Misc],150)))</f>
        <v/>
      </c>
      <c r="BX151" s="5">
        <f>IF(A151="","",SUM(BJ151:BW151))</f>
        <v/>
      </c>
      <c r="BY151" s="5">
        <f>IF(A151="","",IFERROR(IF(ISNUMBER(U151),U151,VALUE(SUBSTITUTE(SUBSTITUTE(SUBSTITUTE(UPPER(TRIM(U151)),"M",""),",","")," ",""))),0))</f>
        <v/>
      </c>
      <c r="BZ151" s="5">
        <f>INDEX(Projects[Solution Type],150)&amp;""</f>
        <v/>
      </c>
      <c r="CA151" s="5">
        <f>INDEX(Projects[Client / Region],150)&amp;""</f>
        <v/>
      </c>
      <c r="CB151" s="5">
        <f>INDEX(Projects[Year],150)</f>
        <v/>
      </c>
      <c r="CC151" s="5">
        <f>INDEX(Projects[Won?],150)&amp;""</f>
        <v/>
      </c>
      <c r="CD151" s="5">
        <f>INDEX(Projects[Value (USD M)],150)</f>
        <v/>
      </c>
    </row>
    <row r="152" ht="15" customHeight="1" s="74">
      <c r="A152" s="66">
        <f>INDEX(Projects[Project ID *],151)&amp;""</f>
        <v/>
      </c>
      <c r="B152" s="66">
        <f>INDEX(Projects[Project Name *],151)&amp;""</f>
        <v/>
      </c>
      <c r="C152" s="66">
        <f>INDEX(Projects[MS Shuttles],151)</f>
        <v/>
      </c>
      <c r="D152" s="66">
        <f>INDEX(Projects[MS Tote Locations],151)</f>
        <v/>
      </c>
      <c r="E152" s="66">
        <f>INDEX(Projects[AS Robots],151)</f>
        <v/>
      </c>
      <c r="F152" s="66">
        <f>INDEX(Projects[AS Tote Locations],151)</f>
        <v/>
      </c>
      <c r="G152" s="66">
        <f>INDEX(Projects[PS Shuttles],151)</f>
        <v/>
      </c>
      <c r="H152" s="66">
        <f>INDEX(Projects[PS Pallet Locations],151)</f>
        <v/>
      </c>
      <c r="I152" s="66">
        <f>INDEX(Projects[SRM Cranes],151)</f>
        <v/>
      </c>
      <c r="J152" s="66">
        <f>INDEX(Projects[SRM Pallet Locations],151)</f>
        <v/>
      </c>
      <c r="K152" s="66">
        <f>INDEX(Projects[Case Conv (m)],151)</f>
        <v/>
      </c>
      <c r="L152" s="66">
        <f>INDEX(Projects[Pallet Conv (m)],151)</f>
        <v/>
      </c>
      <c r="M152" s="66">
        <f>INDEX(Projects[Mech Eng (wks)],151)</f>
        <v/>
      </c>
      <c r="N152" s="66">
        <f>INDEX(Projects[Controls Eng (wks)],151)</f>
        <v/>
      </c>
      <c r="O152" s="66">
        <f>INDEX(Projects[Systems Eng (wks)],151)</f>
        <v/>
      </c>
      <c r="P152" s="66">
        <f>INDEX(Projects[Software Eng (wks)],151)</f>
        <v/>
      </c>
      <c r="Q152" s="66">
        <f>INDEX(Projects[M&amp;E Installation (wks)],151)</f>
        <v/>
      </c>
      <c r="R152" s="66">
        <f>INDEX(Projects[Commissioning (wks)],151)</f>
        <v/>
      </c>
      <c r="S152" s="66">
        <f>INDEX(Projects[Total Timeline (wks)],151)</f>
        <v/>
      </c>
      <c r="T152" s="66">
        <f>INDEX(Projects[Currency],151)&amp;""</f>
        <v/>
      </c>
      <c r="U152" s="67">
        <f>INDEX(Projects[Value (M)],151)</f>
        <v/>
      </c>
      <c r="V152" s="66">
        <f>IF('Smart Search'!B13=1,IFERROR(1/'Smart Search'!H13,0),0)</f>
        <v/>
      </c>
      <c r="W152" s="66">
        <f>IF('Smart Search'!B13=1,IFERROR(1/'Smart Search'!H13,0),0)</f>
        <v/>
      </c>
      <c r="X152" s="66">
        <f>IF('Smart Search'!C13=1,IFERROR(1/'Smart Search'!H13,0),0)</f>
        <v/>
      </c>
      <c r="Y152" s="66">
        <f>IF('Smart Search'!C13=1,IFERROR(1/'Smart Search'!H13,0),0)</f>
        <v/>
      </c>
      <c r="Z152" s="66">
        <f>IF('Smart Search'!D13=1,IFERROR(1/'Smart Search'!H13,0),0)</f>
        <v/>
      </c>
      <c r="AA152" s="66">
        <f>IF('Smart Search'!D13=1,IFERROR(1/'Smart Search'!H13,0),0)</f>
        <v/>
      </c>
      <c r="AB152" s="66">
        <f>IF('Smart Search'!E13=1,IFERROR(1/'Smart Search'!H13,0),0)</f>
        <v/>
      </c>
      <c r="AC152" s="66">
        <f>IF('Smart Search'!E13=1,IFERROR(1/'Smart Search'!H13,0),0)</f>
        <v/>
      </c>
      <c r="AD152" s="66">
        <f>IF('Smart Search'!F13=1,IFERROR(1/'Smart Search'!H13,0),0)</f>
        <v/>
      </c>
      <c r="AE152" s="66">
        <f>IF('Smart Search'!F13=1,IFERROR(1/'Smart Search'!H13,0),0)</f>
        <v/>
      </c>
      <c r="AF152" s="66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66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66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66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66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66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66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66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66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66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66">
        <f>AF152*V152</f>
        <v/>
      </c>
      <c r="AQ152" s="66">
        <f>AG152*W152</f>
        <v/>
      </c>
      <c r="AR152" s="66">
        <f>AH152*X152</f>
        <v/>
      </c>
      <c r="AS152" s="66">
        <f>AI152*Y152</f>
        <v/>
      </c>
      <c r="AT152" s="66">
        <f>AJ152*Z152</f>
        <v/>
      </c>
      <c r="AU152" s="66">
        <f>AK152*AA152</f>
        <v/>
      </c>
      <c r="AV152" s="66">
        <f>AL152*AB152</f>
        <v/>
      </c>
      <c r="AW152" s="66">
        <f>AM152*AC152</f>
        <v/>
      </c>
      <c r="AX152" s="66">
        <f>AN152*AD152</f>
        <v/>
      </c>
      <c r="AY152" s="66">
        <f>AO152*AE152</f>
        <v/>
      </c>
      <c r="AZ152" s="66">
        <f>INDEX(Projects[Automation Equipment],151)&amp;""</f>
        <v/>
      </c>
      <c r="BA152" s="66">
        <f>IF(OR(A152="",'Smart Search'!H13=0),"",MAX(0,BE152*BF152*MAX(0,1-BG152)))</f>
        <v/>
      </c>
      <c r="BB152" s="66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66">
        <f>IF('Smart Search'!G13=1,IFERROR(1/'Smart Search'!H13,0),0)</f>
        <v/>
      </c>
      <c r="BD152" s="66">
        <f>BB152*BC152</f>
        <v/>
      </c>
      <c r="BE152" s="66">
        <f>AP152+AQ152+AR152+AS152+AT152+AU152+AV152+AW152+AX152+AY152+BD152</f>
        <v/>
      </c>
      <c r="BF152" s="5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5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5">
        <f>IF(AND(A152&lt;&gt;"",OR('Smart Search'!$L$5="",'Smart Search'!$L$5="All",TRIM(BZ152)=TRIM('Smart Search'!$L$5)),OR(TRIM('Smart Search'!$L$6)="",TRIM('Smart Search'!$L$6)="All",ISNUMBER(SEARCH(SUBSTITUTE(SUBSTITUTE(SUBSTITUTE(TRIM('Smart Search'!$L$6),"~","~~"),"*","~*"),"?","~?"),CA152))),OR('Smart Search'!$L$7="",AND(CB152&lt;&gt;0,CB152='Smart Search'!$L$7)),OR('Smart Search'!$L$8="",'Smart Search'!$L$8="All",TRIM(CC152)=TRIM('Smart Search'!$L$8))),IF(BA152="","",BA152+ROW()*0.0000000001),"")</f>
        <v/>
      </c>
      <c r="BI152" s="5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5">
        <f>IF(A152="","",N(INDEX(Projects[Mech Inst],151)))</f>
        <v/>
      </c>
      <c r="BK152" s="5">
        <f>IF(A152="","",N(INDEX(Projects[Elec Inst],151)))</f>
        <v/>
      </c>
      <c r="BL152" s="5">
        <f>IF(A152="","",N(INDEX(Projects[Project Management],151)))</f>
        <v/>
      </c>
      <c r="BM152" s="5">
        <f>IF(A152="","",N(INDEX(Projects[Systems Eng],151)))</f>
        <v/>
      </c>
      <c r="BN152" s="5">
        <f>IF(A152="","",N(INDEX(Projects[Mechanical Eng],151)))</f>
        <v/>
      </c>
      <c r="BO152" s="5">
        <f>IF(A152="","",N(INDEX(Projects[Structural Engineering],151)))</f>
        <v/>
      </c>
      <c r="BP152" s="5">
        <f>IF(A152="","",N(INDEX(Projects[Site Sup],151)))</f>
        <v/>
      </c>
      <c r="BQ152" s="5">
        <f>IF(A152="","",N(INDEX(Projects[Controls Commissioning],151)))</f>
        <v/>
      </c>
      <c r="BR152" s="5">
        <f>IF(A152="","",N(INDEX(Projects[Systems Commissioning],151)))</f>
        <v/>
      </c>
      <c r="BS152" s="5">
        <f>IF(A152="","",N(INDEX(Projects[Service Commissioning],151)))</f>
        <v/>
      </c>
      <c r="BT152" s="5">
        <f>IF(A152="","",N(INDEX(Projects[Controls Eng],151)))</f>
        <v/>
      </c>
      <c r="BU152" s="5">
        <f>IF(A152="","",N(INDEX(Projects[Controls Purchase],151)))</f>
        <v/>
      </c>
      <c r="BV152" s="5">
        <f>IF(A152="","",N(INDEX(Projects[Software Eng],151)))</f>
        <v/>
      </c>
      <c r="BW152" s="5">
        <f>IF(A152="","",N(INDEX(Projects[Misc],151)))</f>
        <v/>
      </c>
      <c r="BX152" s="5">
        <f>IF(A152="","",SUM(BJ152:BW152))</f>
        <v/>
      </c>
      <c r="BY152" s="5">
        <f>IF(A152="","",IFERROR(IF(ISNUMBER(U152),U152,VALUE(SUBSTITUTE(SUBSTITUTE(SUBSTITUTE(UPPER(TRIM(U152)),"M",""),",","")," ",""))),0))</f>
        <v/>
      </c>
      <c r="BZ152" s="5">
        <f>INDEX(Projects[Solution Type],151)&amp;""</f>
        <v/>
      </c>
      <c r="CA152" s="5">
        <f>INDEX(Projects[Client / Region],151)&amp;""</f>
        <v/>
      </c>
      <c r="CB152" s="5">
        <f>INDEX(Projects[Year],151)</f>
        <v/>
      </c>
      <c r="CC152" s="5">
        <f>INDEX(Projects[Won?],151)&amp;""</f>
        <v/>
      </c>
      <c r="CD152" s="5">
        <f>INDEX(Projects[Value (USD M)],151)</f>
        <v/>
      </c>
    </row>
    <row r="153" ht="15" customHeight="1" s="74">
      <c r="A153" s="66">
        <f>INDEX(Projects[Project ID *],152)&amp;""</f>
        <v/>
      </c>
      <c r="B153" s="66">
        <f>INDEX(Projects[Project Name *],152)&amp;""</f>
        <v/>
      </c>
      <c r="C153" s="66">
        <f>INDEX(Projects[MS Shuttles],152)</f>
        <v/>
      </c>
      <c r="D153" s="66">
        <f>INDEX(Projects[MS Tote Locations],152)</f>
        <v/>
      </c>
      <c r="E153" s="66">
        <f>INDEX(Projects[AS Robots],152)</f>
        <v/>
      </c>
      <c r="F153" s="66">
        <f>INDEX(Projects[AS Tote Locations],152)</f>
        <v/>
      </c>
      <c r="G153" s="66">
        <f>INDEX(Projects[PS Shuttles],152)</f>
        <v/>
      </c>
      <c r="H153" s="66">
        <f>INDEX(Projects[PS Pallet Locations],152)</f>
        <v/>
      </c>
      <c r="I153" s="66">
        <f>INDEX(Projects[SRM Cranes],152)</f>
        <v/>
      </c>
      <c r="J153" s="66">
        <f>INDEX(Projects[SRM Pallet Locations],152)</f>
        <v/>
      </c>
      <c r="K153" s="66">
        <f>INDEX(Projects[Case Conv (m)],152)</f>
        <v/>
      </c>
      <c r="L153" s="66">
        <f>INDEX(Projects[Pallet Conv (m)],152)</f>
        <v/>
      </c>
      <c r="M153" s="66">
        <f>INDEX(Projects[Mech Eng (wks)],152)</f>
        <v/>
      </c>
      <c r="N153" s="66">
        <f>INDEX(Projects[Controls Eng (wks)],152)</f>
        <v/>
      </c>
      <c r="O153" s="66">
        <f>INDEX(Projects[Systems Eng (wks)],152)</f>
        <v/>
      </c>
      <c r="P153" s="66">
        <f>INDEX(Projects[Software Eng (wks)],152)</f>
        <v/>
      </c>
      <c r="Q153" s="66">
        <f>INDEX(Projects[M&amp;E Installation (wks)],152)</f>
        <v/>
      </c>
      <c r="R153" s="66">
        <f>INDEX(Projects[Commissioning (wks)],152)</f>
        <v/>
      </c>
      <c r="S153" s="66">
        <f>INDEX(Projects[Total Timeline (wks)],152)</f>
        <v/>
      </c>
      <c r="T153" s="66">
        <f>INDEX(Projects[Currency],152)&amp;""</f>
        <v/>
      </c>
      <c r="U153" s="67">
        <f>INDEX(Projects[Value (M)],152)</f>
        <v/>
      </c>
      <c r="V153" s="66">
        <f>IF('Smart Search'!B13=1,IFERROR(1/'Smart Search'!H13,0),0)</f>
        <v/>
      </c>
      <c r="W153" s="66">
        <f>IF('Smart Search'!B13=1,IFERROR(1/'Smart Search'!H13,0),0)</f>
        <v/>
      </c>
      <c r="X153" s="66">
        <f>IF('Smart Search'!C13=1,IFERROR(1/'Smart Search'!H13,0),0)</f>
        <v/>
      </c>
      <c r="Y153" s="66">
        <f>IF('Smart Search'!C13=1,IFERROR(1/'Smart Search'!H13,0),0)</f>
        <v/>
      </c>
      <c r="Z153" s="66">
        <f>IF('Smart Search'!D13=1,IFERROR(1/'Smart Search'!H13,0),0)</f>
        <v/>
      </c>
      <c r="AA153" s="66">
        <f>IF('Smart Search'!D13=1,IFERROR(1/'Smart Search'!H13,0),0)</f>
        <v/>
      </c>
      <c r="AB153" s="66">
        <f>IF('Smart Search'!E13=1,IFERROR(1/'Smart Search'!H13,0),0)</f>
        <v/>
      </c>
      <c r="AC153" s="66">
        <f>IF('Smart Search'!E13=1,IFERROR(1/'Smart Search'!H13,0),0)</f>
        <v/>
      </c>
      <c r="AD153" s="66">
        <f>IF('Smart Search'!F13=1,IFERROR(1/'Smart Search'!H13,0),0)</f>
        <v/>
      </c>
      <c r="AE153" s="66">
        <f>IF('Smart Search'!F13=1,IFERROR(1/'Smart Search'!H13,0),0)</f>
        <v/>
      </c>
      <c r="AF153" s="66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66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66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66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66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66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66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66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66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66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66">
        <f>AF153*V153</f>
        <v/>
      </c>
      <c r="AQ153" s="66">
        <f>AG153*W153</f>
        <v/>
      </c>
      <c r="AR153" s="66">
        <f>AH153*X153</f>
        <v/>
      </c>
      <c r="AS153" s="66">
        <f>AI153*Y153</f>
        <v/>
      </c>
      <c r="AT153" s="66">
        <f>AJ153*Z153</f>
        <v/>
      </c>
      <c r="AU153" s="66">
        <f>AK153*AA153</f>
        <v/>
      </c>
      <c r="AV153" s="66">
        <f>AL153*AB153</f>
        <v/>
      </c>
      <c r="AW153" s="66">
        <f>AM153*AC153</f>
        <v/>
      </c>
      <c r="AX153" s="66">
        <f>AN153*AD153</f>
        <v/>
      </c>
      <c r="AY153" s="66">
        <f>AO153*AE153</f>
        <v/>
      </c>
      <c r="AZ153" s="66">
        <f>INDEX(Projects[Automation Equipment],152)&amp;""</f>
        <v/>
      </c>
      <c r="BA153" s="66">
        <f>IF(OR(A153="",'Smart Search'!H13=0),"",MAX(0,BE153*BF153*MAX(0,1-BG153)))</f>
        <v/>
      </c>
      <c r="BB153" s="66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66">
        <f>IF('Smart Search'!G13=1,IFERROR(1/'Smart Search'!H13,0),0)</f>
        <v/>
      </c>
      <c r="BD153" s="66">
        <f>BB153*BC153</f>
        <v/>
      </c>
      <c r="BE153" s="66">
        <f>AP153+AQ153+AR153+AS153+AT153+AU153+AV153+AW153+AX153+AY153+BD153</f>
        <v/>
      </c>
      <c r="BF153" s="5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5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5">
        <f>IF(AND(A153&lt;&gt;"",OR('Smart Search'!$L$5="",'Smart Search'!$L$5="All",TRIM(BZ153)=TRIM('Smart Search'!$L$5)),OR(TRIM('Smart Search'!$L$6)="",TRIM('Smart Search'!$L$6)="All",ISNUMBER(SEARCH(SUBSTITUTE(SUBSTITUTE(SUBSTITUTE(TRIM('Smart Search'!$L$6),"~","~~"),"*","~*"),"?","~?"),CA153))),OR('Smart Search'!$L$7="",AND(CB153&lt;&gt;0,CB153='Smart Search'!$L$7)),OR('Smart Search'!$L$8="",'Smart Search'!$L$8="All",TRIM(CC153)=TRIM('Smart Search'!$L$8))),IF(BA153="","",BA153+ROW()*0.0000000001),"")</f>
        <v/>
      </c>
      <c r="BI153" s="5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5">
        <f>IF(A153="","",N(INDEX(Projects[Mech Inst],152)))</f>
        <v/>
      </c>
      <c r="BK153" s="5">
        <f>IF(A153="","",N(INDEX(Projects[Elec Inst],152)))</f>
        <v/>
      </c>
      <c r="BL153" s="5">
        <f>IF(A153="","",N(INDEX(Projects[Project Management],152)))</f>
        <v/>
      </c>
      <c r="BM153" s="5">
        <f>IF(A153="","",N(INDEX(Projects[Systems Eng],152)))</f>
        <v/>
      </c>
      <c r="BN153" s="5">
        <f>IF(A153="","",N(INDEX(Projects[Mechanical Eng],152)))</f>
        <v/>
      </c>
      <c r="BO153" s="5">
        <f>IF(A153="","",N(INDEX(Projects[Structural Engineering],152)))</f>
        <v/>
      </c>
      <c r="BP153" s="5">
        <f>IF(A153="","",N(INDEX(Projects[Site Sup],152)))</f>
        <v/>
      </c>
      <c r="BQ153" s="5">
        <f>IF(A153="","",N(INDEX(Projects[Controls Commissioning],152)))</f>
        <v/>
      </c>
      <c r="BR153" s="5">
        <f>IF(A153="","",N(INDEX(Projects[Systems Commissioning],152)))</f>
        <v/>
      </c>
      <c r="BS153" s="5">
        <f>IF(A153="","",N(INDEX(Projects[Service Commissioning],152)))</f>
        <v/>
      </c>
      <c r="BT153" s="5">
        <f>IF(A153="","",N(INDEX(Projects[Controls Eng],152)))</f>
        <v/>
      </c>
      <c r="BU153" s="5">
        <f>IF(A153="","",N(INDEX(Projects[Controls Purchase],152)))</f>
        <v/>
      </c>
      <c r="BV153" s="5">
        <f>IF(A153="","",N(INDEX(Projects[Software Eng],152)))</f>
        <v/>
      </c>
      <c r="BW153" s="5">
        <f>IF(A153="","",N(INDEX(Projects[Misc],152)))</f>
        <v/>
      </c>
      <c r="BX153" s="5">
        <f>IF(A153="","",SUM(BJ153:BW153))</f>
        <v/>
      </c>
      <c r="BY153" s="5">
        <f>IF(A153="","",IFERROR(IF(ISNUMBER(U153),U153,VALUE(SUBSTITUTE(SUBSTITUTE(SUBSTITUTE(UPPER(TRIM(U153)),"M",""),",","")," ",""))),0))</f>
        <v/>
      </c>
      <c r="BZ153" s="5">
        <f>INDEX(Projects[Solution Type],152)&amp;""</f>
        <v/>
      </c>
      <c r="CA153" s="5">
        <f>INDEX(Projects[Client / Region],152)&amp;""</f>
        <v/>
      </c>
      <c r="CB153" s="5">
        <f>INDEX(Projects[Year],152)</f>
        <v/>
      </c>
      <c r="CC153" s="5">
        <f>INDEX(Projects[Won?],152)&amp;""</f>
        <v/>
      </c>
      <c r="CD153" s="5">
        <f>INDEX(Projects[Value (USD M)],152)</f>
        <v/>
      </c>
    </row>
    <row r="154" ht="15" customHeight="1" s="74">
      <c r="A154" s="66">
        <f>INDEX(Projects[Project ID *],153)&amp;""</f>
        <v/>
      </c>
      <c r="B154" s="66">
        <f>INDEX(Projects[Project Name *],153)&amp;""</f>
        <v/>
      </c>
      <c r="C154" s="66">
        <f>INDEX(Projects[MS Shuttles],153)</f>
        <v/>
      </c>
      <c r="D154" s="66">
        <f>INDEX(Projects[MS Tote Locations],153)</f>
        <v/>
      </c>
      <c r="E154" s="66">
        <f>INDEX(Projects[AS Robots],153)</f>
        <v/>
      </c>
      <c r="F154" s="66">
        <f>INDEX(Projects[AS Tote Locations],153)</f>
        <v/>
      </c>
      <c r="G154" s="66">
        <f>INDEX(Projects[PS Shuttles],153)</f>
        <v/>
      </c>
      <c r="H154" s="66">
        <f>INDEX(Projects[PS Pallet Locations],153)</f>
        <v/>
      </c>
      <c r="I154" s="66">
        <f>INDEX(Projects[SRM Cranes],153)</f>
        <v/>
      </c>
      <c r="J154" s="66">
        <f>INDEX(Projects[SRM Pallet Locations],153)</f>
        <v/>
      </c>
      <c r="K154" s="66">
        <f>INDEX(Projects[Case Conv (m)],153)</f>
        <v/>
      </c>
      <c r="L154" s="66">
        <f>INDEX(Projects[Pallet Conv (m)],153)</f>
        <v/>
      </c>
      <c r="M154" s="66">
        <f>INDEX(Projects[Mech Eng (wks)],153)</f>
        <v/>
      </c>
      <c r="N154" s="66">
        <f>INDEX(Projects[Controls Eng (wks)],153)</f>
        <v/>
      </c>
      <c r="O154" s="66">
        <f>INDEX(Projects[Systems Eng (wks)],153)</f>
        <v/>
      </c>
      <c r="P154" s="66">
        <f>INDEX(Projects[Software Eng (wks)],153)</f>
        <v/>
      </c>
      <c r="Q154" s="66">
        <f>INDEX(Projects[M&amp;E Installation (wks)],153)</f>
        <v/>
      </c>
      <c r="R154" s="66">
        <f>INDEX(Projects[Commissioning (wks)],153)</f>
        <v/>
      </c>
      <c r="S154" s="66">
        <f>INDEX(Projects[Total Timeline (wks)],153)</f>
        <v/>
      </c>
      <c r="T154" s="66">
        <f>INDEX(Projects[Currency],153)&amp;""</f>
        <v/>
      </c>
      <c r="U154" s="67">
        <f>INDEX(Projects[Value (M)],153)</f>
        <v/>
      </c>
      <c r="V154" s="66">
        <f>IF('Smart Search'!B13=1,IFERROR(1/'Smart Search'!H13,0),0)</f>
        <v/>
      </c>
      <c r="W154" s="66">
        <f>IF('Smart Search'!B13=1,IFERROR(1/'Smart Search'!H13,0),0)</f>
        <v/>
      </c>
      <c r="X154" s="66">
        <f>IF('Smart Search'!C13=1,IFERROR(1/'Smart Search'!H13,0),0)</f>
        <v/>
      </c>
      <c r="Y154" s="66">
        <f>IF('Smart Search'!C13=1,IFERROR(1/'Smart Search'!H13,0),0)</f>
        <v/>
      </c>
      <c r="Z154" s="66">
        <f>IF('Smart Search'!D13=1,IFERROR(1/'Smart Search'!H13,0),0)</f>
        <v/>
      </c>
      <c r="AA154" s="66">
        <f>IF('Smart Search'!D13=1,IFERROR(1/'Smart Search'!H13,0),0)</f>
        <v/>
      </c>
      <c r="AB154" s="66">
        <f>IF('Smart Search'!E13=1,IFERROR(1/'Smart Search'!H13,0),0)</f>
        <v/>
      </c>
      <c r="AC154" s="66">
        <f>IF('Smart Search'!E13=1,IFERROR(1/'Smart Search'!H13,0),0)</f>
        <v/>
      </c>
      <c r="AD154" s="66">
        <f>IF('Smart Search'!F13=1,IFERROR(1/'Smart Search'!H13,0),0)</f>
        <v/>
      </c>
      <c r="AE154" s="66">
        <f>IF('Smart Search'!F13=1,IFERROR(1/'Smart Search'!H13,0),0)</f>
        <v/>
      </c>
      <c r="AF154" s="66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66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66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66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66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66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66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66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66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66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66">
        <f>AF154*V154</f>
        <v/>
      </c>
      <c r="AQ154" s="66">
        <f>AG154*W154</f>
        <v/>
      </c>
      <c r="AR154" s="66">
        <f>AH154*X154</f>
        <v/>
      </c>
      <c r="AS154" s="66">
        <f>AI154*Y154</f>
        <v/>
      </c>
      <c r="AT154" s="66">
        <f>AJ154*Z154</f>
        <v/>
      </c>
      <c r="AU154" s="66">
        <f>AK154*AA154</f>
        <v/>
      </c>
      <c r="AV154" s="66">
        <f>AL154*AB154</f>
        <v/>
      </c>
      <c r="AW154" s="66">
        <f>AM154*AC154</f>
        <v/>
      </c>
      <c r="AX154" s="66">
        <f>AN154*AD154</f>
        <v/>
      </c>
      <c r="AY154" s="66">
        <f>AO154*AE154</f>
        <v/>
      </c>
      <c r="AZ154" s="66">
        <f>INDEX(Projects[Automation Equipment],153)&amp;""</f>
        <v/>
      </c>
      <c r="BA154" s="66">
        <f>IF(OR(A154="",'Smart Search'!H13=0),"",MAX(0,BE154*BF154*MAX(0,1-BG154)))</f>
        <v/>
      </c>
      <c r="BB154" s="66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66">
        <f>IF('Smart Search'!G13=1,IFERROR(1/'Smart Search'!H13,0),0)</f>
        <v/>
      </c>
      <c r="BD154" s="66">
        <f>BB154*BC154</f>
        <v/>
      </c>
      <c r="BE154" s="66">
        <f>AP154+AQ154+AR154+AS154+AT154+AU154+AV154+AW154+AX154+AY154+BD154</f>
        <v/>
      </c>
      <c r="BF154" s="5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5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5">
        <f>IF(AND(A154&lt;&gt;"",OR('Smart Search'!$L$5="",'Smart Search'!$L$5="All",TRIM(BZ154)=TRIM('Smart Search'!$L$5)),OR(TRIM('Smart Search'!$L$6)="",TRIM('Smart Search'!$L$6)="All",ISNUMBER(SEARCH(SUBSTITUTE(SUBSTITUTE(SUBSTITUTE(TRIM('Smart Search'!$L$6),"~","~~"),"*","~*"),"?","~?"),CA154))),OR('Smart Search'!$L$7="",AND(CB154&lt;&gt;0,CB154='Smart Search'!$L$7)),OR('Smart Search'!$L$8="",'Smart Search'!$L$8="All",TRIM(CC154)=TRIM('Smart Search'!$L$8))),IF(BA154="","",BA154+ROW()*0.0000000001),"")</f>
        <v/>
      </c>
      <c r="BI154" s="5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5">
        <f>IF(A154="","",N(INDEX(Projects[Mech Inst],153)))</f>
        <v/>
      </c>
      <c r="BK154" s="5">
        <f>IF(A154="","",N(INDEX(Projects[Elec Inst],153)))</f>
        <v/>
      </c>
      <c r="BL154" s="5">
        <f>IF(A154="","",N(INDEX(Projects[Project Management],153)))</f>
        <v/>
      </c>
      <c r="BM154" s="5">
        <f>IF(A154="","",N(INDEX(Projects[Systems Eng],153)))</f>
        <v/>
      </c>
      <c r="BN154" s="5">
        <f>IF(A154="","",N(INDEX(Projects[Mechanical Eng],153)))</f>
        <v/>
      </c>
      <c r="BO154" s="5">
        <f>IF(A154="","",N(INDEX(Projects[Structural Engineering],153)))</f>
        <v/>
      </c>
      <c r="BP154" s="5">
        <f>IF(A154="","",N(INDEX(Projects[Site Sup],153)))</f>
        <v/>
      </c>
      <c r="BQ154" s="5">
        <f>IF(A154="","",N(INDEX(Projects[Controls Commissioning],153)))</f>
        <v/>
      </c>
      <c r="BR154" s="5">
        <f>IF(A154="","",N(INDEX(Projects[Systems Commissioning],153)))</f>
        <v/>
      </c>
      <c r="BS154" s="5">
        <f>IF(A154="","",N(INDEX(Projects[Service Commissioning],153)))</f>
        <v/>
      </c>
      <c r="BT154" s="5">
        <f>IF(A154="","",N(INDEX(Projects[Controls Eng],153)))</f>
        <v/>
      </c>
      <c r="BU154" s="5">
        <f>IF(A154="","",N(INDEX(Projects[Controls Purchase],153)))</f>
        <v/>
      </c>
      <c r="BV154" s="5">
        <f>IF(A154="","",N(INDEX(Projects[Software Eng],153)))</f>
        <v/>
      </c>
      <c r="BW154" s="5">
        <f>IF(A154="","",N(INDEX(Projects[Misc],153)))</f>
        <v/>
      </c>
      <c r="BX154" s="5">
        <f>IF(A154="","",SUM(BJ154:BW154))</f>
        <v/>
      </c>
      <c r="BY154" s="5">
        <f>IF(A154="","",IFERROR(IF(ISNUMBER(U154),U154,VALUE(SUBSTITUTE(SUBSTITUTE(SUBSTITUTE(UPPER(TRIM(U154)),"M",""),",","")," ",""))),0))</f>
        <v/>
      </c>
      <c r="BZ154" s="5">
        <f>INDEX(Projects[Solution Type],153)&amp;""</f>
        <v/>
      </c>
      <c r="CA154" s="5">
        <f>INDEX(Projects[Client / Region],153)&amp;""</f>
        <v/>
      </c>
      <c r="CB154" s="5">
        <f>INDEX(Projects[Year],153)</f>
        <v/>
      </c>
      <c r="CC154" s="5">
        <f>INDEX(Projects[Won?],153)&amp;""</f>
        <v/>
      </c>
      <c r="CD154" s="5">
        <f>INDEX(Projects[Value (USD M)],153)</f>
        <v/>
      </c>
    </row>
    <row r="155" ht="15" customHeight="1" s="74">
      <c r="A155" s="66">
        <f>INDEX(Projects[Project ID *],154)&amp;""</f>
        <v/>
      </c>
      <c r="B155" s="66">
        <f>INDEX(Projects[Project Name *],154)&amp;""</f>
        <v/>
      </c>
      <c r="C155" s="66">
        <f>INDEX(Projects[MS Shuttles],154)</f>
        <v/>
      </c>
      <c r="D155" s="66">
        <f>INDEX(Projects[MS Tote Locations],154)</f>
        <v/>
      </c>
      <c r="E155" s="66">
        <f>INDEX(Projects[AS Robots],154)</f>
        <v/>
      </c>
      <c r="F155" s="66">
        <f>INDEX(Projects[AS Tote Locations],154)</f>
        <v/>
      </c>
      <c r="G155" s="66">
        <f>INDEX(Projects[PS Shuttles],154)</f>
        <v/>
      </c>
      <c r="H155" s="66">
        <f>INDEX(Projects[PS Pallet Locations],154)</f>
        <v/>
      </c>
      <c r="I155" s="66">
        <f>INDEX(Projects[SRM Cranes],154)</f>
        <v/>
      </c>
      <c r="J155" s="66">
        <f>INDEX(Projects[SRM Pallet Locations],154)</f>
        <v/>
      </c>
      <c r="K155" s="66">
        <f>INDEX(Projects[Case Conv (m)],154)</f>
        <v/>
      </c>
      <c r="L155" s="66">
        <f>INDEX(Projects[Pallet Conv (m)],154)</f>
        <v/>
      </c>
      <c r="M155" s="66">
        <f>INDEX(Projects[Mech Eng (wks)],154)</f>
        <v/>
      </c>
      <c r="N155" s="66">
        <f>INDEX(Projects[Controls Eng (wks)],154)</f>
        <v/>
      </c>
      <c r="O155" s="66">
        <f>INDEX(Projects[Systems Eng (wks)],154)</f>
        <v/>
      </c>
      <c r="P155" s="66">
        <f>INDEX(Projects[Software Eng (wks)],154)</f>
        <v/>
      </c>
      <c r="Q155" s="66">
        <f>INDEX(Projects[M&amp;E Installation (wks)],154)</f>
        <v/>
      </c>
      <c r="R155" s="66">
        <f>INDEX(Projects[Commissioning (wks)],154)</f>
        <v/>
      </c>
      <c r="S155" s="66">
        <f>INDEX(Projects[Total Timeline (wks)],154)</f>
        <v/>
      </c>
      <c r="T155" s="66">
        <f>INDEX(Projects[Currency],154)&amp;""</f>
        <v/>
      </c>
      <c r="U155" s="67">
        <f>INDEX(Projects[Value (M)],154)</f>
        <v/>
      </c>
      <c r="V155" s="66">
        <f>IF('Smart Search'!B13=1,IFERROR(1/'Smart Search'!H13,0),0)</f>
        <v/>
      </c>
      <c r="W155" s="66">
        <f>IF('Smart Search'!B13=1,IFERROR(1/'Smart Search'!H13,0),0)</f>
        <v/>
      </c>
      <c r="X155" s="66">
        <f>IF('Smart Search'!C13=1,IFERROR(1/'Smart Search'!H13,0),0)</f>
        <v/>
      </c>
      <c r="Y155" s="66">
        <f>IF('Smart Search'!C13=1,IFERROR(1/'Smart Search'!H13,0),0)</f>
        <v/>
      </c>
      <c r="Z155" s="66">
        <f>IF('Smart Search'!D13=1,IFERROR(1/'Smart Search'!H13,0),0)</f>
        <v/>
      </c>
      <c r="AA155" s="66">
        <f>IF('Smart Search'!D13=1,IFERROR(1/'Smart Search'!H13,0),0)</f>
        <v/>
      </c>
      <c r="AB155" s="66">
        <f>IF('Smart Search'!E13=1,IFERROR(1/'Smart Search'!H13,0),0)</f>
        <v/>
      </c>
      <c r="AC155" s="66">
        <f>IF('Smart Search'!E13=1,IFERROR(1/'Smart Search'!H13,0),0)</f>
        <v/>
      </c>
      <c r="AD155" s="66">
        <f>IF('Smart Search'!F13=1,IFERROR(1/'Smart Search'!H13,0),0)</f>
        <v/>
      </c>
      <c r="AE155" s="66">
        <f>IF('Smart Search'!F13=1,IFERROR(1/'Smart Search'!H13,0),0)</f>
        <v/>
      </c>
      <c r="AF155" s="66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66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66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66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66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66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66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66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66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66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66">
        <f>AF155*V155</f>
        <v/>
      </c>
      <c r="AQ155" s="66">
        <f>AG155*W155</f>
        <v/>
      </c>
      <c r="AR155" s="66">
        <f>AH155*X155</f>
        <v/>
      </c>
      <c r="AS155" s="66">
        <f>AI155*Y155</f>
        <v/>
      </c>
      <c r="AT155" s="66">
        <f>AJ155*Z155</f>
        <v/>
      </c>
      <c r="AU155" s="66">
        <f>AK155*AA155</f>
        <v/>
      </c>
      <c r="AV155" s="66">
        <f>AL155*AB155</f>
        <v/>
      </c>
      <c r="AW155" s="66">
        <f>AM155*AC155</f>
        <v/>
      </c>
      <c r="AX155" s="66">
        <f>AN155*AD155</f>
        <v/>
      </c>
      <c r="AY155" s="66">
        <f>AO155*AE155</f>
        <v/>
      </c>
      <c r="AZ155" s="66">
        <f>INDEX(Projects[Automation Equipment],154)&amp;""</f>
        <v/>
      </c>
      <c r="BA155" s="66">
        <f>IF(OR(A155="",'Smart Search'!H13=0),"",MAX(0,BE155*BF155*MAX(0,1-BG155)))</f>
        <v/>
      </c>
      <c r="BB155" s="66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66">
        <f>IF('Smart Search'!G13=1,IFERROR(1/'Smart Search'!H13,0),0)</f>
        <v/>
      </c>
      <c r="BD155" s="66">
        <f>BB155*BC155</f>
        <v/>
      </c>
      <c r="BE155" s="66">
        <f>AP155+AQ155+AR155+AS155+AT155+AU155+AV155+AW155+AX155+AY155+BD155</f>
        <v/>
      </c>
      <c r="BF155" s="5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5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5">
        <f>IF(AND(A155&lt;&gt;"",OR('Smart Search'!$L$5="",'Smart Search'!$L$5="All",TRIM(BZ155)=TRIM('Smart Search'!$L$5)),OR(TRIM('Smart Search'!$L$6)="",TRIM('Smart Search'!$L$6)="All",ISNUMBER(SEARCH(SUBSTITUTE(SUBSTITUTE(SUBSTITUTE(TRIM('Smart Search'!$L$6),"~","~~"),"*","~*"),"?","~?"),CA155))),OR('Smart Search'!$L$7="",AND(CB155&lt;&gt;0,CB155='Smart Search'!$L$7)),OR('Smart Search'!$L$8="",'Smart Search'!$L$8="All",TRIM(CC155)=TRIM('Smart Search'!$L$8))),IF(BA155="","",BA155+ROW()*0.0000000001),"")</f>
        <v/>
      </c>
      <c r="BI155" s="5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5">
        <f>IF(A155="","",N(INDEX(Projects[Mech Inst],154)))</f>
        <v/>
      </c>
      <c r="BK155" s="5">
        <f>IF(A155="","",N(INDEX(Projects[Elec Inst],154)))</f>
        <v/>
      </c>
      <c r="BL155" s="5">
        <f>IF(A155="","",N(INDEX(Projects[Project Management],154)))</f>
        <v/>
      </c>
      <c r="BM155" s="5">
        <f>IF(A155="","",N(INDEX(Projects[Systems Eng],154)))</f>
        <v/>
      </c>
      <c r="BN155" s="5">
        <f>IF(A155="","",N(INDEX(Projects[Mechanical Eng],154)))</f>
        <v/>
      </c>
      <c r="BO155" s="5">
        <f>IF(A155="","",N(INDEX(Projects[Structural Engineering],154)))</f>
        <v/>
      </c>
      <c r="BP155" s="5">
        <f>IF(A155="","",N(INDEX(Projects[Site Sup],154)))</f>
        <v/>
      </c>
      <c r="BQ155" s="5">
        <f>IF(A155="","",N(INDEX(Projects[Controls Commissioning],154)))</f>
        <v/>
      </c>
      <c r="BR155" s="5">
        <f>IF(A155="","",N(INDEX(Projects[Systems Commissioning],154)))</f>
        <v/>
      </c>
      <c r="BS155" s="5">
        <f>IF(A155="","",N(INDEX(Projects[Service Commissioning],154)))</f>
        <v/>
      </c>
      <c r="BT155" s="5">
        <f>IF(A155="","",N(INDEX(Projects[Controls Eng],154)))</f>
        <v/>
      </c>
      <c r="BU155" s="5">
        <f>IF(A155="","",N(INDEX(Projects[Controls Purchase],154)))</f>
        <v/>
      </c>
      <c r="BV155" s="5">
        <f>IF(A155="","",N(INDEX(Projects[Software Eng],154)))</f>
        <v/>
      </c>
      <c r="BW155" s="5">
        <f>IF(A155="","",N(INDEX(Projects[Misc],154)))</f>
        <v/>
      </c>
      <c r="BX155" s="5">
        <f>IF(A155="","",SUM(BJ155:BW155))</f>
        <v/>
      </c>
      <c r="BY155" s="5">
        <f>IF(A155="","",IFERROR(IF(ISNUMBER(U155),U155,VALUE(SUBSTITUTE(SUBSTITUTE(SUBSTITUTE(UPPER(TRIM(U155)),"M",""),",","")," ",""))),0))</f>
        <v/>
      </c>
      <c r="BZ155" s="5">
        <f>INDEX(Projects[Solution Type],154)&amp;""</f>
        <v/>
      </c>
      <c r="CA155" s="5">
        <f>INDEX(Projects[Client / Region],154)&amp;""</f>
        <v/>
      </c>
      <c r="CB155" s="5">
        <f>INDEX(Projects[Year],154)</f>
        <v/>
      </c>
      <c r="CC155" s="5">
        <f>INDEX(Projects[Won?],154)&amp;""</f>
        <v/>
      </c>
      <c r="CD155" s="5">
        <f>INDEX(Projects[Value (USD M)],154)</f>
        <v/>
      </c>
    </row>
    <row r="156" ht="15" customHeight="1" s="74">
      <c r="A156" s="66">
        <f>INDEX(Projects[Project ID *],155)&amp;""</f>
        <v/>
      </c>
      <c r="B156" s="66">
        <f>INDEX(Projects[Project Name *],155)&amp;""</f>
        <v/>
      </c>
      <c r="C156" s="66">
        <f>INDEX(Projects[MS Shuttles],155)</f>
        <v/>
      </c>
      <c r="D156" s="66">
        <f>INDEX(Projects[MS Tote Locations],155)</f>
        <v/>
      </c>
      <c r="E156" s="66">
        <f>INDEX(Projects[AS Robots],155)</f>
        <v/>
      </c>
      <c r="F156" s="66">
        <f>INDEX(Projects[AS Tote Locations],155)</f>
        <v/>
      </c>
      <c r="G156" s="66">
        <f>INDEX(Projects[PS Shuttles],155)</f>
        <v/>
      </c>
      <c r="H156" s="66">
        <f>INDEX(Projects[PS Pallet Locations],155)</f>
        <v/>
      </c>
      <c r="I156" s="66">
        <f>INDEX(Projects[SRM Cranes],155)</f>
        <v/>
      </c>
      <c r="J156" s="66">
        <f>INDEX(Projects[SRM Pallet Locations],155)</f>
        <v/>
      </c>
      <c r="K156" s="66">
        <f>INDEX(Projects[Case Conv (m)],155)</f>
        <v/>
      </c>
      <c r="L156" s="66">
        <f>INDEX(Projects[Pallet Conv (m)],155)</f>
        <v/>
      </c>
      <c r="M156" s="66">
        <f>INDEX(Projects[Mech Eng (wks)],155)</f>
        <v/>
      </c>
      <c r="N156" s="66">
        <f>INDEX(Projects[Controls Eng (wks)],155)</f>
        <v/>
      </c>
      <c r="O156" s="66">
        <f>INDEX(Projects[Systems Eng (wks)],155)</f>
        <v/>
      </c>
      <c r="P156" s="66">
        <f>INDEX(Projects[Software Eng (wks)],155)</f>
        <v/>
      </c>
      <c r="Q156" s="66">
        <f>INDEX(Projects[M&amp;E Installation (wks)],155)</f>
        <v/>
      </c>
      <c r="R156" s="66">
        <f>INDEX(Projects[Commissioning (wks)],155)</f>
        <v/>
      </c>
      <c r="S156" s="66">
        <f>INDEX(Projects[Total Timeline (wks)],155)</f>
        <v/>
      </c>
      <c r="T156" s="66">
        <f>INDEX(Projects[Currency],155)&amp;""</f>
        <v/>
      </c>
      <c r="U156" s="67">
        <f>INDEX(Projects[Value (M)],155)</f>
        <v/>
      </c>
      <c r="V156" s="66">
        <f>IF('Smart Search'!B13=1,IFERROR(1/'Smart Search'!H13,0),0)</f>
        <v/>
      </c>
      <c r="W156" s="66">
        <f>IF('Smart Search'!B13=1,IFERROR(1/'Smart Search'!H13,0),0)</f>
        <v/>
      </c>
      <c r="X156" s="66">
        <f>IF('Smart Search'!C13=1,IFERROR(1/'Smart Search'!H13,0),0)</f>
        <v/>
      </c>
      <c r="Y156" s="66">
        <f>IF('Smart Search'!C13=1,IFERROR(1/'Smart Search'!H13,0),0)</f>
        <v/>
      </c>
      <c r="Z156" s="66">
        <f>IF('Smart Search'!D13=1,IFERROR(1/'Smart Search'!H13,0),0)</f>
        <v/>
      </c>
      <c r="AA156" s="66">
        <f>IF('Smart Search'!D13=1,IFERROR(1/'Smart Search'!H13,0),0)</f>
        <v/>
      </c>
      <c r="AB156" s="66">
        <f>IF('Smart Search'!E13=1,IFERROR(1/'Smart Search'!H13,0),0)</f>
        <v/>
      </c>
      <c r="AC156" s="66">
        <f>IF('Smart Search'!E13=1,IFERROR(1/'Smart Search'!H13,0),0)</f>
        <v/>
      </c>
      <c r="AD156" s="66">
        <f>IF('Smart Search'!F13=1,IFERROR(1/'Smart Search'!H13,0),0)</f>
        <v/>
      </c>
      <c r="AE156" s="66">
        <f>IF('Smart Search'!F13=1,IFERROR(1/'Smart Search'!H13,0),0)</f>
        <v/>
      </c>
      <c r="AF156" s="66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66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66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66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66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66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66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66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66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66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66">
        <f>AF156*V156</f>
        <v/>
      </c>
      <c r="AQ156" s="66">
        <f>AG156*W156</f>
        <v/>
      </c>
      <c r="AR156" s="66">
        <f>AH156*X156</f>
        <v/>
      </c>
      <c r="AS156" s="66">
        <f>AI156*Y156</f>
        <v/>
      </c>
      <c r="AT156" s="66">
        <f>AJ156*Z156</f>
        <v/>
      </c>
      <c r="AU156" s="66">
        <f>AK156*AA156</f>
        <v/>
      </c>
      <c r="AV156" s="66">
        <f>AL156*AB156</f>
        <v/>
      </c>
      <c r="AW156" s="66">
        <f>AM156*AC156</f>
        <v/>
      </c>
      <c r="AX156" s="66">
        <f>AN156*AD156</f>
        <v/>
      </c>
      <c r="AY156" s="66">
        <f>AO156*AE156</f>
        <v/>
      </c>
      <c r="AZ156" s="66">
        <f>INDEX(Projects[Automation Equipment],155)&amp;""</f>
        <v/>
      </c>
      <c r="BA156" s="66">
        <f>IF(OR(A156="",'Smart Search'!H13=0),"",MAX(0,BE156*BF156*MAX(0,1-BG156)))</f>
        <v/>
      </c>
      <c r="BB156" s="66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66">
        <f>IF('Smart Search'!G13=1,IFERROR(1/'Smart Search'!H13,0),0)</f>
        <v/>
      </c>
      <c r="BD156" s="66">
        <f>BB156*BC156</f>
        <v/>
      </c>
      <c r="BE156" s="66">
        <f>AP156+AQ156+AR156+AS156+AT156+AU156+AV156+AW156+AX156+AY156+BD156</f>
        <v/>
      </c>
      <c r="BF156" s="5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5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5">
        <f>IF(AND(A156&lt;&gt;"",OR('Smart Search'!$L$5="",'Smart Search'!$L$5="All",TRIM(BZ156)=TRIM('Smart Search'!$L$5)),OR(TRIM('Smart Search'!$L$6)="",TRIM('Smart Search'!$L$6)="All",ISNUMBER(SEARCH(SUBSTITUTE(SUBSTITUTE(SUBSTITUTE(TRIM('Smart Search'!$L$6),"~","~~"),"*","~*"),"?","~?"),CA156))),OR('Smart Search'!$L$7="",AND(CB156&lt;&gt;0,CB156='Smart Search'!$L$7)),OR('Smart Search'!$L$8="",'Smart Search'!$L$8="All",TRIM(CC156)=TRIM('Smart Search'!$L$8))),IF(BA156="","",BA156+ROW()*0.0000000001),"")</f>
        <v/>
      </c>
      <c r="BI156" s="5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5">
        <f>IF(A156="","",N(INDEX(Projects[Mech Inst],155)))</f>
        <v/>
      </c>
      <c r="BK156" s="5">
        <f>IF(A156="","",N(INDEX(Projects[Elec Inst],155)))</f>
        <v/>
      </c>
      <c r="BL156" s="5">
        <f>IF(A156="","",N(INDEX(Projects[Project Management],155)))</f>
        <v/>
      </c>
      <c r="BM156" s="5">
        <f>IF(A156="","",N(INDEX(Projects[Systems Eng],155)))</f>
        <v/>
      </c>
      <c r="BN156" s="5">
        <f>IF(A156="","",N(INDEX(Projects[Mechanical Eng],155)))</f>
        <v/>
      </c>
      <c r="BO156" s="5">
        <f>IF(A156="","",N(INDEX(Projects[Structural Engineering],155)))</f>
        <v/>
      </c>
      <c r="BP156" s="5">
        <f>IF(A156="","",N(INDEX(Projects[Site Sup],155)))</f>
        <v/>
      </c>
      <c r="BQ156" s="5">
        <f>IF(A156="","",N(INDEX(Projects[Controls Commissioning],155)))</f>
        <v/>
      </c>
      <c r="BR156" s="5">
        <f>IF(A156="","",N(INDEX(Projects[Systems Commissioning],155)))</f>
        <v/>
      </c>
      <c r="BS156" s="5">
        <f>IF(A156="","",N(INDEX(Projects[Service Commissioning],155)))</f>
        <v/>
      </c>
      <c r="BT156" s="5">
        <f>IF(A156="","",N(INDEX(Projects[Controls Eng],155)))</f>
        <v/>
      </c>
      <c r="BU156" s="5">
        <f>IF(A156="","",N(INDEX(Projects[Controls Purchase],155)))</f>
        <v/>
      </c>
      <c r="BV156" s="5">
        <f>IF(A156="","",N(INDEX(Projects[Software Eng],155)))</f>
        <v/>
      </c>
      <c r="BW156" s="5">
        <f>IF(A156="","",N(INDEX(Projects[Misc],155)))</f>
        <v/>
      </c>
      <c r="BX156" s="5">
        <f>IF(A156="","",SUM(BJ156:BW156))</f>
        <v/>
      </c>
      <c r="BY156" s="5">
        <f>IF(A156="","",IFERROR(IF(ISNUMBER(U156),U156,VALUE(SUBSTITUTE(SUBSTITUTE(SUBSTITUTE(UPPER(TRIM(U156)),"M",""),",","")," ",""))),0))</f>
        <v/>
      </c>
      <c r="BZ156" s="5">
        <f>INDEX(Projects[Solution Type],155)&amp;""</f>
        <v/>
      </c>
      <c r="CA156" s="5">
        <f>INDEX(Projects[Client / Region],155)&amp;""</f>
        <v/>
      </c>
      <c r="CB156" s="5">
        <f>INDEX(Projects[Year],155)</f>
        <v/>
      </c>
      <c r="CC156" s="5">
        <f>INDEX(Projects[Won?],155)&amp;""</f>
        <v/>
      </c>
      <c r="CD156" s="5">
        <f>INDEX(Projects[Value (USD M)],155)</f>
        <v/>
      </c>
    </row>
    <row r="157" ht="15" customHeight="1" s="74">
      <c r="A157" s="66">
        <f>INDEX(Projects[Project ID *],156)&amp;""</f>
        <v/>
      </c>
      <c r="B157" s="66">
        <f>INDEX(Projects[Project Name *],156)&amp;""</f>
        <v/>
      </c>
      <c r="C157" s="66">
        <f>INDEX(Projects[MS Shuttles],156)</f>
        <v/>
      </c>
      <c r="D157" s="66">
        <f>INDEX(Projects[MS Tote Locations],156)</f>
        <v/>
      </c>
      <c r="E157" s="66">
        <f>INDEX(Projects[AS Robots],156)</f>
        <v/>
      </c>
      <c r="F157" s="66">
        <f>INDEX(Projects[AS Tote Locations],156)</f>
        <v/>
      </c>
      <c r="G157" s="66">
        <f>INDEX(Projects[PS Shuttles],156)</f>
        <v/>
      </c>
      <c r="H157" s="66">
        <f>INDEX(Projects[PS Pallet Locations],156)</f>
        <v/>
      </c>
      <c r="I157" s="66">
        <f>INDEX(Projects[SRM Cranes],156)</f>
        <v/>
      </c>
      <c r="J157" s="66">
        <f>INDEX(Projects[SRM Pallet Locations],156)</f>
        <v/>
      </c>
      <c r="K157" s="66">
        <f>INDEX(Projects[Case Conv (m)],156)</f>
        <v/>
      </c>
      <c r="L157" s="66">
        <f>INDEX(Projects[Pallet Conv (m)],156)</f>
        <v/>
      </c>
      <c r="M157" s="66">
        <f>INDEX(Projects[Mech Eng (wks)],156)</f>
        <v/>
      </c>
      <c r="N157" s="66">
        <f>INDEX(Projects[Controls Eng (wks)],156)</f>
        <v/>
      </c>
      <c r="O157" s="66">
        <f>INDEX(Projects[Systems Eng (wks)],156)</f>
        <v/>
      </c>
      <c r="P157" s="66">
        <f>INDEX(Projects[Software Eng (wks)],156)</f>
        <v/>
      </c>
      <c r="Q157" s="66">
        <f>INDEX(Projects[M&amp;E Installation (wks)],156)</f>
        <v/>
      </c>
      <c r="R157" s="66">
        <f>INDEX(Projects[Commissioning (wks)],156)</f>
        <v/>
      </c>
      <c r="S157" s="66">
        <f>INDEX(Projects[Total Timeline (wks)],156)</f>
        <v/>
      </c>
      <c r="T157" s="66">
        <f>INDEX(Projects[Currency],156)&amp;""</f>
        <v/>
      </c>
      <c r="U157" s="67">
        <f>INDEX(Projects[Value (M)],156)</f>
        <v/>
      </c>
      <c r="V157" s="66">
        <f>IF('Smart Search'!B13=1,IFERROR(1/'Smart Search'!H13,0),0)</f>
        <v/>
      </c>
      <c r="W157" s="66">
        <f>IF('Smart Search'!B13=1,IFERROR(1/'Smart Search'!H13,0),0)</f>
        <v/>
      </c>
      <c r="X157" s="66">
        <f>IF('Smart Search'!C13=1,IFERROR(1/'Smart Search'!H13,0),0)</f>
        <v/>
      </c>
      <c r="Y157" s="66">
        <f>IF('Smart Search'!C13=1,IFERROR(1/'Smart Search'!H13,0),0)</f>
        <v/>
      </c>
      <c r="Z157" s="66">
        <f>IF('Smart Search'!D13=1,IFERROR(1/'Smart Search'!H13,0),0)</f>
        <v/>
      </c>
      <c r="AA157" s="66">
        <f>IF('Smart Search'!D13=1,IFERROR(1/'Smart Search'!H13,0),0)</f>
        <v/>
      </c>
      <c r="AB157" s="66">
        <f>IF('Smart Search'!E13=1,IFERROR(1/'Smart Search'!H13,0),0)</f>
        <v/>
      </c>
      <c r="AC157" s="66">
        <f>IF('Smart Search'!E13=1,IFERROR(1/'Smart Search'!H13,0),0)</f>
        <v/>
      </c>
      <c r="AD157" s="66">
        <f>IF('Smart Search'!F13=1,IFERROR(1/'Smart Search'!H13,0),0)</f>
        <v/>
      </c>
      <c r="AE157" s="66">
        <f>IF('Smart Search'!F13=1,IFERROR(1/'Smart Search'!H13,0),0)</f>
        <v/>
      </c>
      <c r="AF157" s="66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66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66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66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66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66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66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66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66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66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66">
        <f>AF157*V157</f>
        <v/>
      </c>
      <c r="AQ157" s="66">
        <f>AG157*W157</f>
        <v/>
      </c>
      <c r="AR157" s="66">
        <f>AH157*X157</f>
        <v/>
      </c>
      <c r="AS157" s="66">
        <f>AI157*Y157</f>
        <v/>
      </c>
      <c r="AT157" s="66">
        <f>AJ157*Z157</f>
        <v/>
      </c>
      <c r="AU157" s="66">
        <f>AK157*AA157</f>
        <v/>
      </c>
      <c r="AV157" s="66">
        <f>AL157*AB157</f>
        <v/>
      </c>
      <c r="AW157" s="66">
        <f>AM157*AC157</f>
        <v/>
      </c>
      <c r="AX157" s="66">
        <f>AN157*AD157</f>
        <v/>
      </c>
      <c r="AY157" s="66">
        <f>AO157*AE157</f>
        <v/>
      </c>
      <c r="AZ157" s="66">
        <f>INDEX(Projects[Automation Equipment],156)&amp;""</f>
        <v/>
      </c>
      <c r="BA157" s="66">
        <f>IF(OR(A157="",'Smart Search'!H13=0),"",MAX(0,BE157*BF157*MAX(0,1-BG157)))</f>
        <v/>
      </c>
      <c r="BB157" s="66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66">
        <f>IF('Smart Search'!G13=1,IFERROR(1/'Smart Search'!H13,0),0)</f>
        <v/>
      </c>
      <c r="BD157" s="66">
        <f>BB157*BC157</f>
        <v/>
      </c>
      <c r="BE157" s="66">
        <f>AP157+AQ157+AR157+AS157+AT157+AU157+AV157+AW157+AX157+AY157+BD157</f>
        <v/>
      </c>
      <c r="BF157" s="5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5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5">
        <f>IF(AND(A157&lt;&gt;"",OR('Smart Search'!$L$5="",'Smart Search'!$L$5="All",TRIM(BZ157)=TRIM('Smart Search'!$L$5)),OR(TRIM('Smart Search'!$L$6)="",TRIM('Smart Search'!$L$6)="All",ISNUMBER(SEARCH(SUBSTITUTE(SUBSTITUTE(SUBSTITUTE(TRIM('Smart Search'!$L$6),"~","~~"),"*","~*"),"?","~?"),CA157))),OR('Smart Search'!$L$7="",AND(CB157&lt;&gt;0,CB157='Smart Search'!$L$7)),OR('Smart Search'!$L$8="",'Smart Search'!$L$8="All",TRIM(CC157)=TRIM('Smart Search'!$L$8))),IF(BA157="","",BA157+ROW()*0.0000000001),"")</f>
        <v/>
      </c>
      <c r="BI157" s="5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5">
        <f>IF(A157="","",N(INDEX(Projects[Mech Inst],156)))</f>
        <v/>
      </c>
      <c r="BK157" s="5">
        <f>IF(A157="","",N(INDEX(Projects[Elec Inst],156)))</f>
        <v/>
      </c>
      <c r="BL157" s="5">
        <f>IF(A157="","",N(INDEX(Projects[Project Management],156)))</f>
        <v/>
      </c>
      <c r="BM157" s="5">
        <f>IF(A157="","",N(INDEX(Projects[Systems Eng],156)))</f>
        <v/>
      </c>
      <c r="BN157" s="5">
        <f>IF(A157="","",N(INDEX(Projects[Mechanical Eng],156)))</f>
        <v/>
      </c>
      <c r="BO157" s="5">
        <f>IF(A157="","",N(INDEX(Projects[Structural Engineering],156)))</f>
        <v/>
      </c>
      <c r="BP157" s="5">
        <f>IF(A157="","",N(INDEX(Projects[Site Sup],156)))</f>
        <v/>
      </c>
      <c r="BQ157" s="5">
        <f>IF(A157="","",N(INDEX(Projects[Controls Commissioning],156)))</f>
        <v/>
      </c>
      <c r="BR157" s="5">
        <f>IF(A157="","",N(INDEX(Projects[Systems Commissioning],156)))</f>
        <v/>
      </c>
      <c r="BS157" s="5">
        <f>IF(A157="","",N(INDEX(Projects[Service Commissioning],156)))</f>
        <v/>
      </c>
      <c r="BT157" s="5">
        <f>IF(A157="","",N(INDEX(Projects[Controls Eng],156)))</f>
        <v/>
      </c>
      <c r="BU157" s="5">
        <f>IF(A157="","",N(INDEX(Projects[Controls Purchase],156)))</f>
        <v/>
      </c>
      <c r="BV157" s="5">
        <f>IF(A157="","",N(INDEX(Projects[Software Eng],156)))</f>
        <v/>
      </c>
      <c r="BW157" s="5">
        <f>IF(A157="","",N(INDEX(Projects[Misc],156)))</f>
        <v/>
      </c>
      <c r="BX157" s="5">
        <f>IF(A157="","",SUM(BJ157:BW157))</f>
        <v/>
      </c>
      <c r="BY157" s="5">
        <f>IF(A157="","",IFERROR(IF(ISNUMBER(U157),U157,VALUE(SUBSTITUTE(SUBSTITUTE(SUBSTITUTE(UPPER(TRIM(U157)),"M",""),",","")," ",""))),0))</f>
        <v/>
      </c>
      <c r="BZ157" s="5">
        <f>INDEX(Projects[Solution Type],156)&amp;""</f>
        <v/>
      </c>
      <c r="CA157" s="5">
        <f>INDEX(Projects[Client / Region],156)&amp;""</f>
        <v/>
      </c>
      <c r="CB157" s="5">
        <f>INDEX(Projects[Year],156)</f>
        <v/>
      </c>
      <c r="CC157" s="5">
        <f>INDEX(Projects[Won?],156)&amp;""</f>
        <v/>
      </c>
      <c r="CD157" s="5">
        <f>INDEX(Projects[Value (USD M)],156)</f>
        <v/>
      </c>
    </row>
    <row r="158" ht="15" customHeight="1" s="74">
      <c r="A158" s="66">
        <f>INDEX(Projects[Project ID *],157)&amp;""</f>
        <v/>
      </c>
      <c r="B158" s="66">
        <f>INDEX(Projects[Project Name *],157)&amp;""</f>
        <v/>
      </c>
      <c r="C158" s="66">
        <f>INDEX(Projects[MS Shuttles],157)</f>
        <v/>
      </c>
      <c r="D158" s="66">
        <f>INDEX(Projects[MS Tote Locations],157)</f>
        <v/>
      </c>
      <c r="E158" s="66">
        <f>INDEX(Projects[AS Robots],157)</f>
        <v/>
      </c>
      <c r="F158" s="66">
        <f>INDEX(Projects[AS Tote Locations],157)</f>
        <v/>
      </c>
      <c r="G158" s="66">
        <f>INDEX(Projects[PS Shuttles],157)</f>
        <v/>
      </c>
      <c r="H158" s="66">
        <f>INDEX(Projects[PS Pallet Locations],157)</f>
        <v/>
      </c>
      <c r="I158" s="66">
        <f>INDEX(Projects[SRM Cranes],157)</f>
        <v/>
      </c>
      <c r="J158" s="66">
        <f>INDEX(Projects[SRM Pallet Locations],157)</f>
        <v/>
      </c>
      <c r="K158" s="66">
        <f>INDEX(Projects[Case Conv (m)],157)</f>
        <v/>
      </c>
      <c r="L158" s="66">
        <f>INDEX(Projects[Pallet Conv (m)],157)</f>
        <v/>
      </c>
      <c r="M158" s="66">
        <f>INDEX(Projects[Mech Eng (wks)],157)</f>
        <v/>
      </c>
      <c r="N158" s="66">
        <f>INDEX(Projects[Controls Eng (wks)],157)</f>
        <v/>
      </c>
      <c r="O158" s="66">
        <f>INDEX(Projects[Systems Eng (wks)],157)</f>
        <v/>
      </c>
      <c r="P158" s="66">
        <f>INDEX(Projects[Software Eng (wks)],157)</f>
        <v/>
      </c>
      <c r="Q158" s="66">
        <f>INDEX(Projects[M&amp;E Installation (wks)],157)</f>
        <v/>
      </c>
      <c r="R158" s="66">
        <f>INDEX(Projects[Commissioning (wks)],157)</f>
        <v/>
      </c>
      <c r="S158" s="66">
        <f>INDEX(Projects[Total Timeline (wks)],157)</f>
        <v/>
      </c>
      <c r="T158" s="66">
        <f>INDEX(Projects[Currency],157)&amp;""</f>
        <v/>
      </c>
      <c r="U158" s="67">
        <f>INDEX(Projects[Value (M)],157)</f>
        <v/>
      </c>
      <c r="V158" s="66">
        <f>IF('Smart Search'!B13=1,IFERROR(1/'Smart Search'!H13,0),0)</f>
        <v/>
      </c>
      <c r="W158" s="66">
        <f>IF('Smart Search'!B13=1,IFERROR(1/'Smart Search'!H13,0),0)</f>
        <v/>
      </c>
      <c r="X158" s="66">
        <f>IF('Smart Search'!C13=1,IFERROR(1/'Smart Search'!H13,0),0)</f>
        <v/>
      </c>
      <c r="Y158" s="66">
        <f>IF('Smart Search'!C13=1,IFERROR(1/'Smart Search'!H13,0),0)</f>
        <v/>
      </c>
      <c r="Z158" s="66">
        <f>IF('Smart Search'!D13=1,IFERROR(1/'Smart Search'!H13,0),0)</f>
        <v/>
      </c>
      <c r="AA158" s="66">
        <f>IF('Smart Search'!D13=1,IFERROR(1/'Smart Search'!H13,0),0)</f>
        <v/>
      </c>
      <c r="AB158" s="66">
        <f>IF('Smart Search'!E13=1,IFERROR(1/'Smart Search'!H13,0),0)</f>
        <v/>
      </c>
      <c r="AC158" s="66">
        <f>IF('Smart Search'!E13=1,IFERROR(1/'Smart Search'!H13,0),0)</f>
        <v/>
      </c>
      <c r="AD158" s="66">
        <f>IF('Smart Search'!F13=1,IFERROR(1/'Smart Search'!H13,0),0)</f>
        <v/>
      </c>
      <c r="AE158" s="66">
        <f>IF('Smart Search'!F13=1,IFERROR(1/'Smart Search'!H13,0),0)</f>
        <v/>
      </c>
      <c r="AF158" s="66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66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66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66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66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66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66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66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66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66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66">
        <f>AF158*V158</f>
        <v/>
      </c>
      <c r="AQ158" s="66">
        <f>AG158*W158</f>
        <v/>
      </c>
      <c r="AR158" s="66">
        <f>AH158*X158</f>
        <v/>
      </c>
      <c r="AS158" s="66">
        <f>AI158*Y158</f>
        <v/>
      </c>
      <c r="AT158" s="66">
        <f>AJ158*Z158</f>
        <v/>
      </c>
      <c r="AU158" s="66">
        <f>AK158*AA158</f>
        <v/>
      </c>
      <c r="AV158" s="66">
        <f>AL158*AB158</f>
        <v/>
      </c>
      <c r="AW158" s="66">
        <f>AM158*AC158</f>
        <v/>
      </c>
      <c r="AX158" s="66">
        <f>AN158*AD158</f>
        <v/>
      </c>
      <c r="AY158" s="66">
        <f>AO158*AE158</f>
        <v/>
      </c>
      <c r="AZ158" s="66">
        <f>INDEX(Projects[Automation Equipment],157)&amp;""</f>
        <v/>
      </c>
      <c r="BA158" s="66">
        <f>IF(OR(A158="",'Smart Search'!H13=0),"",MAX(0,BE158*BF158*MAX(0,1-BG158)))</f>
        <v/>
      </c>
      <c r="BB158" s="66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66">
        <f>IF('Smart Search'!G13=1,IFERROR(1/'Smart Search'!H13,0),0)</f>
        <v/>
      </c>
      <c r="BD158" s="66">
        <f>BB158*BC158</f>
        <v/>
      </c>
      <c r="BE158" s="66">
        <f>AP158+AQ158+AR158+AS158+AT158+AU158+AV158+AW158+AX158+AY158+BD158</f>
        <v/>
      </c>
      <c r="BF158" s="5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5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5">
        <f>IF(AND(A158&lt;&gt;"",OR('Smart Search'!$L$5="",'Smart Search'!$L$5="All",TRIM(BZ158)=TRIM('Smart Search'!$L$5)),OR(TRIM('Smart Search'!$L$6)="",TRIM('Smart Search'!$L$6)="All",ISNUMBER(SEARCH(SUBSTITUTE(SUBSTITUTE(SUBSTITUTE(TRIM('Smart Search'!$L$6),"~","~~"),"*","~*"),"?","~?"),CA158))),OR('Smart Search'!$L$7="",AND(CB158&lt;&gt;0,CB158='Smart Search'!$L$7)),OR('Smart Search'!$L$8="",'Smart Search'!$L$8="All",TRIM(CC158)=TRIM('Smart Search'!$L$8))),IF(BA158="","",BA158+ROW()*0.0000000001),"")</f>
        <v/>
      </c>
      <c r="BI158" s="5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5">
        <f>IF(A158="","",N(INDEX(Projects[Mech Inst],157)))</f>
        <v/>
      </c>
      <c r="BK158" s="5">
        <f>IF(A158="","",N(INDEX(Projects[Elec Inst],157)))</f>
        <v/>
      </c>
      <c r="BL158" s="5">
        <f>IF(A158="","",N(INDEX(Projects[Project Management],157)))</f>
        <v/>
      </c>
      <c r="BM158" s="5">
        <f>IF(A158="","",N(INDEX(Projects[Systems Eng],157)))</f>
        <v/>
      </c>
      <c r="BN158" s="5">
        <f>IF(A158="","",N(INDEX(Projects[Mechanical Eng],157)))</f>
        <v/>
      </c>
      <c r="BO158" s="5">
        <f>IF(A158="","",N(INDEX(Projects[Structural Engineering],157)))</f>
        <v/>
      </c>
      <c r="BP158" s="5">
        <f>IF(A158="","",N(INDEX(Projects[Site Sup],157)))</f>
        <v/>
      </c>
      <c r="BQ158" s="5">
        <f>IF(A158="","",N(INDEX(Projects[Controls Commissioning],157)))</f>
        <v/>
      </c>
      <c r="BR158" s="5">
        <f>IF(A158="","",N(INDEX(Projects[Systems Commissioning],157)))</f>
        <v/>
      </c>
      <c r="BS158" s="5">
        <f>IF(A158="","",N(INDEX(Projects[Service Commissioning],157)))</f>
        <v/>
      </c>
      <c r="BT158" s="5">
        <f>IF(A158="","",N(INDEX(Projects[Controls Eng],157)))</f>
        <v/>
      </c>
      <c r="BU158" s="5">
        <f>IF(A158="","",N(INDEX(Projects[Controls Purchase],157)))</f>
        <v/>
      </c>
      <c r="BV158" s="5">
        <f>IF(A158="","",N(INDEX(Projects[Software Eng],157)))</f>
        <v/>
      </c>
      <c r="BW158" s="5">
        <f>IF(A158="","",N(INDEX(Projects[Misc],157)))</f>
        <v/>
      </c>
      <c r="BX158" s="5">
        <f>IF(A158="","",SUM(BJ158:BW158))</f>
        <v/>
      </c>
      <c r="BY158" s="5">
        <f>IF(A158="","",IFERROR(IF(ISNUMBER(U158),U158,VALUE(SUBSTITUTE(SUBSTITUTE(SUBSTITUTE(UPPER(TRIM(U158)),"M",""),",","")," ",""))),0))</f>
        <v/>
      </c>
      <c r="BZ158" s="5">
        <f>INDEX(Projects[Solution Type],157)&amp;""</f>
        <v/>
      </c>
      <c r="CA158" s="5">
        <f>INDEX(Projects[Client / Region],157)&amp;""</f>
        <v/>
      </c>
      <c r="CB158" s="5">
        <f>INDEX(Projects[Year],157)</f>
        <v/>
      </c>
      <c r="CC158" s="5">
        <f>INDEX(Projects[Won?],157)&amp;""</f>
        <v/>
      </c>
      <c r="CD158" s="5">
        <f>INDEX(Projects[Value (USD M)],157)</f>
        <v/>
      </c>
    </row>
    <row r="159" ht="15" customHeight="1" s="74">
      <c r="A159" s="66">
        <f>INDEX(Projects[Project ID *],158)&amp;""</f>
        <v/>
      </c>
      <c r="B159" s="66">
        <f>INDEX(Projects[Project Name *],158)&amp;""</f>
        <v/>
      </c>
      <c r="C159" s="66">
        <f>INDEX(Projects[MS Shuttles],158)</f>
        <v/>
      </c>
      <c r="D159" s="66">
        <f>INDEX(Projects[MS Tote Locations],158)</f>
        <v/>
      </c>
      <c r="E159" s="66">
        <f>INDEX(Projects[AS Robots],158)</f>
        <v/>
      </c>
      <c r="F159" s="66">
        <f>INDEX(Projects[AS Tote Locations],158)</f>
        <v/>
      </c>
      <c r="G159" s="66">
        <f>INDEX(Projects[PS Shuttles],158)</f>
        <v/>
      </c>
      <c r="H159" s="66">
        <f>INDEX(Projects[PS Pallet Locations],158)</f>
        <v/>
      </c>
      <c r="I159" s="66">
        <f>INDEX(Projects[SRM Cranes],158)</f>
        <v/>
      </c>
      <c r="J159" s="66">
        <f>INDEX(Projects[SRM Pallet Locations],158)</f>
        <v/>
      </c>
      <c r="K159" s="66">
        <f>INDEX(Projects[Case Conv (m)],158)</f>
        <v/>
      </c>
      <c r="L159" s="66">
        <f>INDEX(Projects[Pallet Conv (m)],158)</f>
        <v/>
      </c>
      <c r="M159" s="66">
        <f>INDEX(Projects[Mech Eng (wks)],158)</f>
        <v/>
      </c>
      <c r="N159" s="66">
        <f>INDEX(Projects[Controls Eng (wks)],158)</f>
        <v/>
      </c>
      <c r="O159" s="66">
        <f>INDEX(Projects[Systems Eng (wks)],158)</f>
        <v/>
      </c>
      <c r="P159" s="66">
        <f>INDEX(Projects[Software Eng (wks)],158)</f>
        <v/>
      </c>
      <c r="Q159" s="66">
        <f>INDEX(Projects[M&amp;E Installation (wks)],158)</f>
        <v/>
      </c>
      <c r="R159" s="66">
        <f>INDEX(Projects[Commissioning (wks)],158)</f>
        <v/>
      </c>
      <c r="S159" s="66">
        <f>INDEX(Projects[Total Timeline (wks)],158)</f>
        <v/>
      </c>
      <c r="T159" s="66">
        <f>INDEX(Projects[Currency],158)&amp;""</f>
        <v/>
      </c>
      <c r="U159" s="67">
        <f>INDEX(Projects[Value (M)],158)</f>
        <v/>
      </c>
      <c r="V159" s="66">
        <f>IF('Smart Search'!B13=1,IFERROR(1/'Smart Search'!H13,0),0)</f>
        <v/>
      </c>
      <c r="W159" s="66">
        <f>IF('Smart Search'!B13=1,IFERROR(1/'Smart Search'!H13,0),0)</f>
        <v/>
      </c>
      <c r="X159" s="66">
        <f>IF('Smart Search'!C13=1,IFERROR(1/'Smart Search'!H13,0),0)</f>
        <v/>
      </c>
      <c r="Y159" s="66">
        <f>IF('Smart Search'!C13=1,IFERROR(1/'Smart Search'!H13,0),0)</f>
        <v/>
      </c>
      <c r="Z159" s="66">
        <f>IF('Smart Search'!D13=1,IFERROR(1/'Smart Search'!H13,0),0)</f>
        <v/>
      </c>
      <c r="AA159" s="66">
        <f>IF('Smart Search'!D13=1,IFERROR(1/'Smart Search'!H13,0),0)</f>
        <v/>
      </c>
      <c r="AB159" s="66">
        <f>IF('Smart Search'!E13=1,IFERROR(1/'Smart Search'!H13,0),0)</f>
        <v/>
      </c>
      <c r="AC159" s="66">
        <f>IF('Smart Search'!E13=1,IFERROR(1/'Smart Search'!H13,0),0)</f>
        <v/>
      </c>
      <c r="AD159" s="66">
        <f>IF('Smart Search'!F13=1,IFERROR(1/'Smart Search'!H13,0),0)</f>
        <v/>
      </c>
      <c r="AE159" s="66">
        <f>IF('Smart Search'!F13=1,IFERROR(1/'Smart Search'!H13,0),0)</f>
        <v/>
      </c>
      <c r="AF159" s="66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66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66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66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66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66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66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66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66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66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66">
        <f>AF159*V159</f>
        <v/>
      </c>
      <c r="AQ159" s="66">
        <f>AG159*W159</f>
        <v/>
      </c>
      <c r="AR159" s="66">
        <f>AH159*X159</f>
        <v/>
      </c>
      <c r="AS159" s="66">
        <f>AI159*Y159</f>
        <v/>
      </c>
      <c r="AT159" s="66">
        <f>AJ159*Z159</f>
        <v/>
      </c>
      <c r="AU159" s="66">
        <f>AK159*AA159</f>
        <v/>
      </c>
      <c r="AV159" s="66">
        <f>AL159*AB159</f>
        <v/>
      </c>
      <c r="AW159" s="66">
        <f>AM159*AC159</f>
        <v/>
      </c>
      <c r="AX159" s="66">
        <f>AN159*AD159</f>
        <v/>
      </c>
      <c r="AY159" s="66">
        <f>AO159*AE159</f>
        <v/>
      </c>
      <c r="AZ159" s="66">
        <f>INDEX(Projects[Automation Equipment],158)&amp;""</f>
        <v/>
      </c>
      <c r="BA159" s="66">
        <f>IF(OR(A159="",'Smart Search'!H13=0),"",MAX(0,BE159*BF159*MAX(0,1-BG159)))</f>
        <v/>
      </c>
      <c r="BB159" s="66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66">
        <f>IF('Smart Search'!G13=1,IFERROR(1/'Smart Search'!H13,0),0)</f>
        <v/>
      </c>
      <c r="BD159" s="66">
        <f>BB159*BC159</f>
        <v/>
      </c>
      <c r="BE159" s="66">
        <f>AP159+AQ159+AR159+AS159+AT159+AU159+AV159+AW159+AX159+AY159+BD159</f>
        <v/>
      </c>
      <c r="BF159" s="5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5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5">
        <f>IF(AND(A159&lt;&gt;"",OR('Smart Search'!$L$5="",'Smart Search'!$L$5="All",TRIM(BZ159)=TRIM('Smart Search'!$L$5)),OR(TRIM('Smart Search'!$L$6)="",TRIM('Smart Search'!$L$6)="All",ISNUMBER(SEARCH(SUBSTITUTE(SUBSTITUTE(SUBSTITUTE(TRIM('Smart Search'!$L$6),"~","~~"),"*","~*"),"?","~?"),CA159))),OR('Smart Search'!$L$7="",AND(CB159&lt;&gt;0,CB159='Smart Search'!$L$7)),OR('Smart Search'!$L$8="",'Smart Search'!$L$8="All",TRIM(CC159)=TRIM('Smart Search'!$L$8))),IF(BA159="","",BA159+ROW()*0.0000000001),"")</f>
        <v/>
      </c>
      <c r="BI159" s="5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5">
        <f>IF(A159="","",N(INDEX(Projects[Mech Inst],158)))</f>
        <v/>
      </c>
      <c r="BK159" s="5">
        <f>IF(A159="","",N(INDEX(Projects[Elec Inst],158)))</f>
        <v/>
      </c>
      <c r="BL159" s="5">
        <f>IF(A159="","",N(INDEX(Projects[Project Management],158)))</f>
        <v/>
      </c>
      <c r="BM159" s="5">
        <f>IF(A159="","",N(INDEX(Projects[Systems Eng],158)))</f>
        <v/>
      </c>
      <c r="BN159" s="5">
        <f>IF(A159="","",N(INDEX(Projects[Mechanical Eng],158)))</f>
        <v/>
      </c>
      <c r="BO159" s="5">
        <f>IF(A159="","",N(INDEX(Projects[Structural Engineering],158)))</f>
        <v/>
      </c>
      <c r="BP159" s="5">
        <f>IF(A159="","",N(INDEX(Projects[Site Sup],158)))</f>
        <v/>
      </c>
      <c r="BQ159" s="5">
        <f>IF(A159="","",N(INDEX(Projects[Controls Commissioning],158)))</f>
        <v/>
      </c>
      <c r="BR159" s="5">
        <f>IF(A159="","",N(INDEX(Projects[Systems Commissioning],158)))</f>
        <v/>
      </c>
      <c r="BS159" s="5">
        <f>IF(A159="","",N(INDEX(Projects[Service Commissioning],158)))</f>
        <v/>
      </c>
      <c r="BT159" s="5">
        <f>IF(A159="","",N(INDEX(Projects[Controls Eng],158)))</f>
        <v/>
      </c>
      <c r="BU159" s="5">
        <f>IF(A159="","",N(INDEX(Projects[Controls Purchase],158)))</f>
        <v/>
      </c>
      <c r="BV159" s="5">
        <f>IF(A159="","",N(INDEX(Projects[Software Eng],158)))</f>
        <v/>
      </c>
      <c r="BW159" s="5">
        <f>IF(A159="","",N(INDEX(Projects[Misc],158)))</f>
        <v/>
      </c>
      <c r="BX159" s="5">
        <f>IF(A159="","",SUM(BJ159:BW159))</f>
        <v/>
      </c>
      <c r="BY159" s="5">
        <f>IF(A159="","",IFERROR(IF(ISNUMBER(U159),U159,VALUE(SUBSTITUTE(SUBSTITUTE(SUBSTITUTE(UPPER(TRIM(U159)),"M",""),",","")," ",""))),0))</f>
        <v/>
      </c>
      <c r="BZ159" s="5">
        <f>INDEX(Projects[Solution Type],158)&amp;""</f>
        <v/>
      </c>
      <c r="CA159" s="5">
        <f>INDEX(Projects[Client / Region],158)&amp;""</f>
        <v/>
      </c>
      <c r="CB159" s="5">
        <f>INDEX(Projects[Year],158)</f>
        <v/>
      </c>
      <c r="CC159" s="5">
        <f>INDEX(Projects[Won?],158)&amp;""</f>
        <v/>
      </c>
      <c r="CD159" s="5">
        <f>INDEX(Projects[Value (USD M)],158)</f>
        <v/>
      </c>
    </row>
    <row r="160" ht="15" customHeight="1" s="74">
      <c r="A160" s="66">
        <f>INDEX(Projects[Project ID *],159)&amp;""</f>
        <v/>
      </c>
      <c r="B160" s="66">
        <f>INDEX(Projects[Project Name *],159)&amp;""</f>
        <v/>
      </c>
      <c r="C160" s="66">
        <f>INDEX(Projects[MS Shuttles],159)</f>
        <v/>
      </c>
      <c r="D160" s="66">
        <f>INDEX(Projects[MS Tote Locations],159)</f>
        <v/>
      </c>
      <c r="E160" s="66">
        <f>INDEX(Projects[AS Robots],159)</f>
        <v/>
      </c>
      <c r="F160" s="66">
        <f>INDEX(Projects[AS Tote Locations],159)</f>
        <v/>
      </c>
      <c r="G160" s="66">
        <f>INDEX(Projects[PS Shuttles],159)</f>
        <v/>
      </c>
      <c r="H160" s="66">
        <f>INDEX(Projects[PS Pallet Locations],159)</f>
        <v/>
      </c>
      <c r="I160" s="66">
        <f>INDEX(Projects[SRM Cranes],159)</f>
        <v/>
      </c>
      <c r="J160" s="66">
        <f>INDEX(Projects[SRM Pallet Locations],159)</f>
        <v/>
      </c>
      <c r="K160" s="66">
        <f>INDEX(Projects[Case Conv (m)],159)</f>
        <v/>
      </c>
      <c r="L160" s="66">
        <f>INDEX(Projects[Pallet Conv (m)],159)</f>
        <v/>
      </c>
      <c r="M160" s="66">
        <f>INDEX(Projects[Mech Eng (wks)],159)</f>
        <v/>
      </c>
      <c r="N160" s="66">
        <f>INDEX(Projects[Controls Eng (wks)],159)</f>
        <v/>
      </c>
      <c r="O160" s="66">
        <f>INDEX(Projects[Systems Eng (wks)],159)</f>
        <v/>
      </c>
      <c r="P160" s="66">
        <f>INDEX(Projects[Software Eng (wks)],159)</f>
        <v/>
      </c>
      <c r="Q160" s="66">
        <f>INDEX(Projects[M&amp;E Installation (wks)],159)</f>
        <v/>
      </c>
      <c r="R160" s="66">
        <f>INDEX(Projects[Commissioning (wks)],159)</f>
        <v/>
      </c>
      <c r="S160" s="66">
        <f>INDEX(Projects[Total Timeline (wks)],159)</f>
        <v/>
      </c>
      <c r="T160" s="66">
        <f>INDEX(Projects[Currency],159)&amp;""</f>
        <v/>
      </c>
      <c r="U160" s="67">
        <f>INDEX(Projects[Value (M)],159)</f>
        <v/>
      </c>
      <c r="V160" s="66">
        <f>IF('Smart Search'!B13=1,IFERROR(1/'Smart Search'!H13,0),0)</f>
        <v/>
      </c>
      <c r="W160" s="66">
        <f>IF('Smart Search'!B13=1,IFERROR(1/'Smart Search'!H13,0),0)</f>
        <v/>
      </c>
      <c r="X160" s="66">
        <f>IF('Smart Search'!C13=1,IFERROR(1/'Smart Search'!H13,0),0)</f>
        <v/>
      </c>
      <c r="Y160" s="66">
        <f>IF('Smart Search'!C13=1,IFERROR(1/'Smart Search'!H13,0),0)</f>
        <v/>
      </c>
      <c r="Z160" s="66">
        <f>IF('Smart Search'!D13=1,IFERROR(1/'Smart Search'!H13,0),0)</f>
        <v/>
      </c>
      <c r="AA160" s="66">
        <f>IF('Smart Search'!D13=1,IFERROR(1/'Smart Search'!H13,0),0)</f>
        <v/>
      </c>
      <c r="AB160" s="66">
        <f>IF('Smart Search'!E13=1,IFERROR(1/'Smart Search'!H13,0),0)</f>
        <v/>
      </c>
      <c r="AC160" s="66">
        <f>IF('Smart Search'!E13=1,IFERROR(1/'Smart Search'!H13,0),0)</f>
        <v/>
      </c>
      <c r="AD160" s="66">
        <f>IF('Smart Search'!F13=1,IFERROR(1/'Smart Search'!H13,0),0)</f>
        <v/>
      </c>
      <c r="AE160" s="66">
        <f>IF('Smart Search'!F13=1,IFERROR(1/'Smart Search'!H13,0),0)</f>
        <v/>
      </c>
      <c r="AF160" s="66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66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66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66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66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66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66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66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66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66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66">
        <f>AF160*V160</f>
        <v/>
      </c>
      <c r="AQ160" s="66">
        <f>AG160*W160</f>
        <v/>
      </c>
      <c r="AR160" s="66">
        <f>AH160*X160</f>
        <v/>
      </c>
      <c r="AS160" s="66">
        <f>AI160*Y160</f>
        <v/>
      </c>
      <c r="AT160" s="66">
        <f>AJ160*Z160</f>
        <v/>
      </c>
      <c r="AU160" s="66">
        <f>AK160*AA160</f>
        <v/>
      </c>
      <c r="AV160" s="66">
        <f>AL160*AB160</f>
        <v/>
      </c>
      <c r="AW160" s="66">
        <f>AM160*AC160</f>
        <v/>
      </c>
      <c r="AX160" s="66">
        <f>AN160*AD160</f>
        <v/>
      </c>
      <c r="AY160" s="66">
        <f>AO160*AE160</f>
        <v/>
      </c>
      <c r="AZ160" s="66">
        <f>INDEX(Projects[Automation Equipment],159)&amp;""</f>
        <v/>
      </c>
      <c r="BA160" s="66">
        <f>IF(OR(A160="",'Smart Search'!H13=0),"",MAX(0,BE160*BF160*MAX(0,1-BG160)))</f>
        <v/>
      </c>
      <c r="BB160" s="66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66">
        <f>IF('Smart Search'!G13=1,IFERROR(1/'Smart Search'!H13,0),0)</f>
        <v/>
      </c>
      <c r="BD160" s="66">
        <f>BB160*BC160</f>
        <v/>
      </c>
      <c r="BE160" s="66">
        <f>AP160+AQ160+AR160+AS160+AT160+AU160+AV160+AW160+AX160+AY160+BD160</f>
        <v/>
      </c>
      <c r="BF160" s="5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5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5">
        <f>IF(AND(A160&lt;&gt;"",OR('Smart Search'!$L$5="",'Smart Search'!$L$5="All",TRIM(BZ160)=TRIM('Smart Search'!$L$5)),OR(TRIM('Smart Search'!$L$6)="",TRIM('Smart Search'!$L$6)="All",ISNUMBER(SEARCH(SUBSTITUTE(SUBSTITUTE(SUBSTITUTE(TRIM('Smart Search'!$L$6),"~","~~"),"*","~*"),"?","~?"),CA160))),OR('Smart Search'!$L$7="",AND(CB160&lt;&gt;0,CB160='Smart Search'!$L$7)),OR('Smart Search'!$L$8="",'Smart Search'!$L$8="All",TRIM(CC160)=TRIM('Smart Search'!$L$8))),IF(BA160="","",BA160+ROW()*0.0000000001),"")</f>
        <v/>
      </c>
      <c r="BI160" s="5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5">
        <f>IF(A160="","",N(INDEX(Projects[Mech Inst],159)))</f>
        <v/>
      </c>
      <c r="BK160" s="5">
        <f>IF(A160="","",N(INDEX(Projects[Elec Inst],159)))</f>
        <v/>
      </c>
      <c r="BL160" s="5">
        <f>IF(A160="","",N(INDEX(Projects[Project Management],159)))</f>
        <v/>
      </c>
      <c r="BM160" s="5">
        <f>IF(A160="","",N(INDEX(Projects[Systems Eng],159)))</f>
        <v/>
      </c>
      <c r="BN160" s="5">
        <f>IF(A160="","",N(INDEX(Projects[Mechanical Eng],159)))</f>
        <v/>
      </c>
      <c r="BO160" s="5">
        <f>IF(A160="","",N(INDEX(Projects[Structural Engineering],159)))</f>
        <v/>
      </c>
      <c r="BP160" s="5">
        <f>IF(A160="","",N(INDEX(Projects[Site Sup],159)))</f>
        <v/>
      </c>
      <c r="BQ160" s="5">
        <f>IF(A160="","",N(INDEX(Projects[Controls Commissioning],159)))</f>
        <v/>
      </c>
      <c r="BR160" s="5">
        <f>IF(A160="","",N(INDEX(Projects[Systems Commissioning],159)))</f>
        <v/>
      </c>
      <c r="BS160" s="5">
        <f>IF(A160="","",N(INDEX(Projects[Service Commissioning],159)))</f>
        <v/>
      </c>
      <c r="BT160" s="5">
        <f>IF(A160="","",N(INDEX(Projects[Controls Eng],159)))</f>
        <v/>
      </c>
      <c r="BU160" s="5">
        <f>IF(A160="","",N(INDEX(Projects[Controls Purchase],159)))</f>
        <v/>
      </c>
      <c r="BV160" s="5">
        <f>IF(A160="","",N(INDEX(Projects[Software Eng],159)))</f>
        <v/>
      </c>
      <c r="BW160" s="5">
        <f>IF(A160="","",N(INDEX(Projects[Misc],159)))</f>
        <v/>
      </c>
      <c r="BX160" s="5">
        <f>IF(A160="","",SUM(BJ160:BW160))</f>
        <v/>
      </c>
      <c r="BY160" s="5">
        <f>IF(A160="","",IFERROR(IF(ISNUMBER(U160),U160,VALUE(SUBSTITUTE(SUBSTITUTE(SUBSTITUTE(UPPER(TRIM(U160)),"M",""),",","")," ",""))),0))</f>
        <v/>
      </c>
      <c r="BZ160" s="5">
        <f>INDEX(Projects[Solution Type],159)&amp;""</f>
        <v/>
      </c>
      <c r="CA160" s="5">
        <f>INDEX(Projects[Client / Region],159)&amp;""</f>
        <v/>
      </c>
      <c r="CB160" s="5">
        <f>INDEX(Projects[Year],159)</f>
        <v/>
      </c>
      <c r="CC160" s="5">
        <f>INDEX(Projects[Won?],159)&amp;""</f>
        <v/>
      </c>
      <c r="CD160" s="5">
        <f>INDEX(Projects[Value (USD M)],159)</f>
        <v/>
      </c>
    </row>
    <row r="161" ht="15" customHeight="1" s="74">
      <c r="A161" s="66">
        <f>INDEX(Projects[Project ID *],160)&amp;""</f>
        <v/>
      </c>
      <c r="B161" s="66">
        <f>INDEX(Projects[Project Name *],160)&amp;""</f>
        <v/>
      </c>
      <c r="C161" s="66">
        <f>INDEX(Projects[MS Shuttles],160)</f>
        <v/>
      </c>
      <c r="D161" s="66">
        <f>INDEX(Projects[MS Tote Locations],160)</f>
        <v/>
      </c>
      <c r="E161" s="66">
        <f>INDEX(Projects[AS Robots],160)</f>
        <v/>
      </c>
      <c r="F161" s="66">
        <f>INDEX(Projects[AS Tote Locations],160)</f>
        <v/>
      </c>
      <c r="G161" s="66">
        <f>INDEX(Projects[PS Shuttles],160)</f>
        <v/>
      </c>
      <c r="H161" s="66">
        <f>INDEX(Projects[PS Pallet Locations],160)</f>
        <v/>
      </c>
      <c r="I161" s="66">
        <f>INDEX(Projects[SRM Cranes],160)</f>
        <v/>
      </c>
      <c r="J161" s="66">
        <f>INDEX(Projects[SRM Pallet Locations],160)</f>
        <v/>
      </c>
      <c r="K161" s="66">
        <f>INDEX(Projects[Case Conv (m)],160)</f>
        <v/>
      </c>
      <c r="L161" s="66">
        <f>INDEX(Projects[Pallet Conv (m)],160)</f>
        <v/>
      </c>
      <c r="M161" s="66">
        <f>INDEX(Projects[Mech Eng (wks)],160)</f>
        <v/>
      </c>
      <c r="N161" s="66">
        <f>INDEX(Projects[Controls Eng (wks)],160)</f>
        <v/>
      </c>
      <c r="O161" s="66">
        <f>INDEX(Projects[Systems Eng (wks)],160)</f>
        <v/>
      </c>
      <c r="P161" s="66">
        <f>INDEX(Projects[Software Eng (wks)],160)</f>
        <v/>
      </c>
      <c r="Q161" s="66">
        <f>INDEX(Projects[M&amp;E Installation (wks)],160)</f>
        <v/>
      </c>
      <c r="R161" s="66">
        <f>INDEX(Projects[Commissioning (wks)],160)</f>
        <v/>
      </c>
      <c r="S161" s="66">
        <f>INDEX(Projects[Total Timeline (wks)],160)</f>
        <v/>
      </c>
      <c r="T161" s="66">
        <f>INDEX(Projects[Currency],160)&amp;""</f>
        <v/>
      </c>
      <c r="U161" s="67">
        <f>INDEX(Projects[Value (M)],160)</f>
        <v/>
      </c>
      <c r="V161" s="66">
        <f>IF('Smart Search'!B13=1,IFERROR(1/'Smart Search'!H13,0),0)</f>
        <v/>
      </c>
      <c r="W161" s="66">
        <f>IF('Smart Search'!B13=1,IFERROR(1/'Smart Search'!H13,0),0)</f>
        <v/>
      </c>
      <c r="X161" s="66">
        <f>IF('Smart Search'!C13=1,IFERROR(1/'Smart Search'!H13,0),0)</f>
        <v/>
      </c>
      <c r="Y161" s="66">
        <f>IF('Smart Search'!C13=1,IFERROR(1/'Smart Search'!H13,0),0)</f>
        <v/>
      </c>
      <c r="Z161" s="66">
        <f>IF('Smart Search'!D13=1,IFERROR(1/'Smart Search'!H13,0),0)</f>
        <v/>
      </c>
      <c r="AA161" s="66">
        <f>IF('Smart Search'!D13=1,IFERROR(1/'Smart Search'!H13,0),0)</f>
        <v/>
      </c>
      <c r="AB161" s="66">
        <f>IF('Smart Search'!E13=1,IFERROR(1/'Smart Search'!H13,0),0)</f>
        <v/>
      </c>
      <c r="AC161" s="66">
        <f>IF('Smart Search'!E13=1,IFERROR(1/'Smart Search'!H13,0),0)</f>
        <v/>
      </c>
      <c r="AD161" s="66">
        <f>IF('Smart Search'!F13=1,IFERROR(1/'Smart Search'!H13,0),0)</f>
        <v/>
      </c>
      <c r="AE161" s="66">
        <f>IF('Smart Search'!F13=1,IFERROR(1/'Smart Search'!H13,0),0)</f>
        <v/>
      </c>
      <c r="AF161" s="66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66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66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66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66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66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66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66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66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66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66">
        <f>AF161*V161</f>
        <v/>
      </c>
      <c r="AQ161" s="66">
        <f>AG161*W161</f>
        <v/>
      </c>
      <c r="AR161" s="66">
        <f>AH161*X161</f>
        <v/>
      </c>
      <c r="AS161" s="66">
        <f>AI161*Y161</f>
        <v/>
      </c>
      <c r="AT161" s="66">
        <f>AJ161*Z161</f>
        <v/>
      </c>
      <c r="AU161" s="66">
        <f>AK161*AA161</f>
        <v/>
      </c>
      <c r="AV161" s="66">
        <f>AL161*AB161</f>
        <v/>
      </c>
      <c r="AW161" s="66">
        <f>AM161*AC161</f>
        <v/>
      </c>
      <c r="AX161" s="66">
        <f>AN161*AD161</f>
        <v/>
      </c>
      <c r="AY161" s="66">
        <f>AO161*AE161</f>
        <v/>
      </c>
      <c r="AZ161" s="66">
        <f>INDEX(Projects[Automation Equipment],160)&amp;""</f>
        <v/>
      </c>
      <c r="BA161" s="66">
        <f>IF(OR(A161="",'Smart Search'!H13=0),"",MAX(0,BE161*BF161*MAX(0,1-BG161)))</f>
        <v/>
      </c>
      <c r="BB161" s="66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66">
        <f>IF('Smart Search'!G13=1,IFERROR(1/'Smart Search'!H13,0),0)</f>
        <v/>
      </c>
      <c r="BD161" s="66">
        <f>BB161*BC161</f>
        <v/>
      </c>
      <c r="BE161" s="66">
        <f>AP161+AQ161+AR161+AS161+AT161+AU161+AV161+AW161+AX161+AY161+BD161</f>
        <v/>
      </c>
      <c r="BF161" s="5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5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5">
        <f>IF(AND(A161&lt;&gt;"",OR('Smart Search'!$L$5="",'Smart Search'!$L$5="All",TRIM(BZ161)=TRIM('Smart Search'!$L$5)),OR(TRIM('Smart Search'!$L$6)="",TRIM('Smart Search'!$L$6)="All",ISNUMBER(SEARCH(SUBSTITUTE(SUBSTITUTE(SUBSTITUTE(TRIM('Smart Search'!$L$6),"~","~~"),"*","~*"),"?","~?"),CA161))),OR('Smart Search'!$L$7="",AND(CB161&lt;&gt;0,CB161='Smart Search'!$L$7)),OR('Smart Search'!$L$8="",'Smart Search'!$L$8="All",TRIM(CC161)=TRIM('Smart Search'!$L$8))),IF(BA161="","",BA161+ROW()*0.0000000001),"")</f>
        <v/>
      </c>
      <c r="BI161" s="5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5">
        <f>IF(A161="","",N(INDEX(Projects[Mech Inst],160)))</f>
        <v/>
      </c>
      <c r="BK161" s="5">
        <f>IF(A161="","",N(INDEX(Projects[Elec Inst],160)))</f>
        <v/>
      </c>
      <c r="BL161" s="5">
        <f>IF(A161="","",N(INDEX(Projects[Project Management],160)))</f>
        <v/>
      </c>
      <c r="BM161" s="5">
        <f>IF(A161="","",N(INDEX(Projects[Systems Eng],160)))</f>
        <v/>
      </c>
      <c r="BN161" s="5">
        <f>IF(A161="","",N(INDEX(Projects[Mechanical Eng],160)))</f>
        <v/>
      </c>
      <c r="BO161" s="5">
        <f>IF(A161="","",N(INDEX(Projects[Structural Engineering],160)))</f>
        <v/>
      </c>
      <c r="BP161" s="5">
        <f>IF(A161="","",N(INDEX(Projects[Site Sup],160)))</f>
        <v/>
      </c>
      <c r="BQ161" s="5">
        <f>IF(A161="","",N(INDEX(Projects[Controls Commissioning],160)))</f>
        <v/>
      </c>
      <c r="BR161" s="5">
        <f>IF(A161="","",N(INDEX(Projects[Systems Commissioning],160)))</f>
        <v/>
      </c>
      <c r="BS161" s="5">
        <f>IF(A161="","",N(INDEX(Projects[Service Commissioning],160)))</f>
        <v/>
      </c>
      <c r="BT161" s="5">
        <f>IF(A161="","",N(INDEX(Projects[Controls Eng],160)))</f>
        <v/>
      </c>
      <c r="BU161" s="5">
        <f>IF(A161="","",N(INDEX(Projects[Controls Purchase],160)))</f>
        <v/>
      </c>
      <c r="BV161" s="5">
        <f>IF(A161="","",N(INDEX(Projects[Software Eng],160)))</f>
        <v/>
      </c>
      <c r="BW161" s="5">
        <f>IF(A161="","",N(INDEX(Projects[Misc],160)))</f>
        <v/>
      </c>
      <c r="BX161" s="5">
        <f>IF(A161="","",SUM(BJ161:BW161))</f>
        <v/>
      </c>
      <c r="BY161" s="5">
        <f>IF(A161="","",IFERROR(IF(ISNUMBER(U161),U161,VALUE(SUBSTITUTE(SUBSTITUTE(SUBSTITUTE(UPPER(TRIM(U161)),"M",""),",","")," ",""))),0))</f>
        <v/>
      </c>
      <c r="BZ161" s="5">
        <f>INDEX(Projects[Solution Type],160)&amp;""</f>
        <v/>
      </c>
      <c r="CA161" s="5">
        <f>INDEX(Projects[Client / Region],160)&amp;""</f>
        <v/>
      </c>
      <c r="CB161" s="5">
        <f>INDEX(Projects[Year],160)</f>
        <v/>
      </c>
      <c r="CC161" s="5">
        <f>INDEX(Projects[Won?],160)&amp;""</f>
        <v/>
      </c>
      <c r="CD161" s="5">
        <f>INDEX(Projects[Value (USD M)],160)</f>
        <v/>
      </c>
    </row>
    <row r="162" ht="15" customHeight="1" s="74">
      <c r="A162" s="66">
        <f>INDEX(Projects[Project ID *],161)&amp;""</f>
        <v/>
      </c>
      <c r="B162" s="66">
        <f>INDEX(Projects[Project Name *],161)&amp;""</f>
        <v/>
      </c>
      <c r="C162" s="66">
        <f>INDEX(Projects[MS Shuttles],161)</f>
        <v/>
      </c>
      <c r="D162" s="66">
        <f>INDEX(Projects[MS Tote Locations],161)</f>
        <v/>
      </c>
      <c r="E162" s="66">
        <f>INDEX(Projects[AS Robots],161)</f>
        <v/>
      </c>
      <c r="F162" s="66">
        <f>INDEX(Projects[AS Tote Locations],161)</f>
        <v/>
      </c>
      <c r="G162" s="66">
        <f>INDEX(Projects[PS Shuttles],161)</f>
        <v/>
      </c>
      <c r="H162" s="66">
        <f>INDEX(Projects[PS Pallet Locations],161)</f>
        <v/>
      </c>
      <c r="I162" s="66">
        <f>INDEX(Projects[SRM Cranes],161)</f>
        <v/>
      </c>
      <c r="J162" s="66">
        <f>INDEX(Projects[SRM Pallet Locations],161)</f>
        <v/>
      </c>
      <c r="K162" s="66">
        <f>INDEX(Projects[Case Conv (m)],161)</f>
        <v/>
      </c>
      <c r="L162" s="66">
        <f>INDEX(Projects[Pallet Conv (m)],161)</f>
        <v/>
      </c>
      <c r="M162" s="66">
        <f>INDEX(Projects[Mech Eng (wks)],161)</f>
        <v/>
      </c>
      <c r="N162" s="66">
        <f>INDEX(Projects[Controls Eng (wks)],161)</f>
        <v/>
      </c>
      <c r="O162" s="66">
        <f>INDEX(Projects[Systems Eng (wks)],161)</f>
        <v/>
      </c>
      <c r="P162" s="66">
        <f>INDEX(Projects[Software Eng (wks)],161)</f>
        <v/>
      </c>
      <c r="Q162" s="66">
        <f>INDEX(Projects[M&amp;E Installation (wks)],161)</f>
        <v/>
      </c>
      <c r="R162" s="66">
        <f>INDEX(Projects[Commissioning (wks)],161)</f>
        <v/>
      </c>
      <c r="S162" s="66">
        <f>INDEX(Projects[Total Timeline (wks)],161)</f>
        <v/>
      </c>
      <c r="T162" s="66">
        <f>INDEX(Projects[Currency],161)&amp;""</f>
        <v/>
      </c>
      <c r="U162" s="67">
        <f>INDEX(Projects[Value (M)],161)</f>
        <v/>
      </c>
      <c r="V162" s="66">
        <f>IF('Smart Search'!B13=1,IFERROR(1/'Smart Search'!H13,0),0)</f>
        <v/>
      </c>
      <c r="W162" s="66">
        <f>IF('Smart Search'!B13=1,IFERROR(1/'Smart Search'!H13,0),0)</f>
        <v/>
      </c>
      <c r="X162" s="66">
        <f>IF('Smart Search'!C13=1,IFERROR(1/'Smart Search'!H13,0),0)</f>
        <v/>
      </c>
      <c r="Y162" s="66">
        <f>IF('Smart Search'!C13=1,IFERROR(1/'Smart Search'!H13,0),0)</f>
        <v/>
      </c>
      <c r="Z162" s="66">
        <f>IF('Smart Search'!D13=1,IFERROR(1/'Smart Search'!H13,0),0)</f>
        <v/>
      </c>
      <c r="AA162" s="66">
        <f>IF('Smart Search'!D13=1,IFERROR(1/'Smart Search'!H13,0),0)</f>
        <v/>
      </c>
      <c r="AB162" s="66">
        <f>IF('Smart Search'!E13=1,IFERROR(1/'Smart Search'!H13,0),0)</f>
        <v/>
      </c>
      <c r="AC162" s="66">
        <f>IF('Smart Search'!E13=1,IFERROR(1/'Smart Search'!H13,0),0)</f>
        <v/>
      </c>
      <c r="AD162" s="66">
        <f>IF('Smart Search'!F13=1,IFERROR(1/'Smart Search'!H13,0),0)</f>
        <v/>
      </c>
      <c r="AE162" s="66">
        <f>IF('Smart Search'!F13=1,IFERROR(1/'Smart Search'!H13,0),0)</f>
        <v/>
      </c>
      <c r="AF162" s="66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66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66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66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66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66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66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66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66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66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66">
        <f>AF162*V162</f>
        <v/>
      </c>
      <c r="AQ162" s="66">
        <f>AG162*W162</f>
        <v/>
      </c>
      <c r="AR162" s="66">
        <f>AH162*X162</f>
        <v/>
      </c>
      <c r="AS162" s="66">
        <f>AI162*Y162</f>
        <v/>
      </c>
      <c r="AT162" s="66">
        <f>AJ162*Z162</f>
        <v/>
      </c>
      <c r="AU162" s="66">
        <f>AK162*AA162</f>
        <v/>
      </c>
      <c r="AV162" s="66">
        <f>AL162*AB162</f>
        <v/>
      </c>
      <c r="AW162" s="66">
        <f>AM162*AC162</f>
        <v/>
      </c>
      <c r="AX162" s="66">
        <f>AN162*AD162</f>
        <v/>
      </c>
      <c r="AY162" s="66">
        <f>AO162*AE162</f>
        <v/>
      </c>
      <c r="AZ162" s="66">
        <f>INDEX(Projects[Automation Equipment],161)&amp;""</f>
        <v/>
      </c>
      <c r="BA162" s="66">
        <f>IF(OR(A162="",'Smart Search'!H13=0),"",MAX(0,BE162*BF162*MAX(0,1-BG162)))</f>
        <v/>
      </c>
      <c r="BB162" s="66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66">
        <f>IF('Smart Search'!G13=1,IFERROR(1/'Smart Search'!H13,0),0)</f>
        <v/>
      </c>
      <c r="BD162" s="66">
        <f>BB162*BC162</f>
        <v/>
      </c>
      <c r="BE162" s="66">
        <f>AP162+AQ162+AR162+AS162+AT162+AU162+AV162+AW162+AX162+AY162+BD162</f>
        <v/>
      </c>
      <c r="BF162" s="5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5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5">
        <f>IF(AND(A162&lt;&gt;"",OR('Smart Search'!$L$5="",'Smart Search'!$L$5="All",TRIM(BZ162)=TRIM('Smart Search'!$L$5)),OR(TRIM('Smart Search'!$L$6)="",TRIM('Smart Search'!$L$6)="All",ISNUMBER(SEARCH(SUBSTITUTE(SUBSTITUTE(SUBSTITUTE(TRIM('Smart Search'!$L$6),"~","~~"),"*","~*"),"?","~?"),CA162))),OR('Smart Search'!$L$7="",AND(CB162&lt;&gt;0,CB162='Smart Search'!$L$7)),OR('Smart Search'!$L$8="",'Smart Search'!$L$8="All",TRIM(CC162)=TRIM('Smart Search'!$L$8))),IF(BA162="","",BA162+ROW()*0.0000000001),"")</f>
        <v/>
      </c>
      <c r="BI162" s="5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5">
        <f>IF(A162="","",N(INDEX(Projects[Mech Inst],161)))</f>
        <v/>
      </c>
      <c r="BK162" s="5">
        <f>IF(A162="","",N(INDEX(Projects[Elec Inst],161)))</f>
        <v/>
      </c>
      <c r="BL162" s="5">
        <f>IF(A162="","",N(INDEX(Projects[Project Management],161)))</f>
        <v/>
      </c>
      <c r="BM162" s="5">
        <f>IF(A162="","",N(INDEX(Projects[Systems Eng],161)))</f>
        <v/>
      </c>
      <c r="BN162" s="5">
        <f>IF(A162="","",N(INDEX(Projects[Mechanical Eng],161)))</f>
        <v/>
      </c>
      <c r="BO162" s="5">
        <f>IF(A162="","",N(INDEX(Projects[Structural Engineering],161)))</f>
        <v/>
      </c>
      <c r="BP162" s="5">
        <f>IF(A162="","",N(INDEX(Projects[Site Sup],161)))</f>
        <v/>
      </c>
      <c r="BQ162" s="5">
        <f>IF(A162="","",N(INDEX(Projects[Controls Commissioning],161)))</f>
        <v/>
      </c>
      <c r="BR162" s="5">
        <f>IF(A162="","",N(INDEX(Projects[Systems Commissioning],161)))</f>
        <v/>
      </c>
      <c r="BS162" s="5">
        <f>IF(A162="","",N(INDEX(Projects[Service Commissioning],161)))</f>
        <v/>
      </c>
      <c r="BT162" s="5">
        <f>IF(A162="","",N(INDEX(Projects[Controls Eng],161)))</f>
        <v/>
      </c>
      <c r="BU162" s="5">
        <f>IF(A162="","",N(INDEX(Projects[Controls Purchase],161)))</f>
        <v/>
      </c>
      <c r="BV162" s="5">
        <f>IF(A162="","",N(INDEX(Projects[Software Eng],161)))</f>
        <v/>
      </c>
      <c r="BW162" s="5">
        <f>IF(A162="","",N(INDEX(Projects[Misc],161)))</f>
        <v/>
      </c>
      <c r="BX162" s="5">
        <f>IF(A162="","",SUM(BJ162:BW162))</f>
        <v/>
      </c>
      <c r="BY162" s="5">
        <f>IF(A162="","",IFERROR(IF(ISNUMBER(U162),U162,VALUE(SUBSTITUTE(SUBSTITUTE(SUBSTITUTE(UPPER(TRIM(U162)),"M",""),",","")," ",""))),0))</f>
        <v/>
      </c>
      <c r="BZ162" s="5">
        <f>INDEX(Projects[Solution Type],161)&amp;""</f>
        <v/>
      </c>
      <c r="CA162" s="5">
        <f>INDEX(Projects[Client / Region],161)&amp;""</f>
        <v/>
      </c>
      <c r="CB162" s="5">
        <f>INDEX(Projects[Year],161)</f>
        <v/>
      </c>
      <c r="CC162" s="5">
        <f>INDEX(Projects[Won?],161)&amp;""</f>
        <v/>
      </c>
      <c r="CD162" s="5">
        <f>INDEX(Projects[Value (USD M)],161)</f>
        <v/>
      </c>
    </row>
    <row r="163" ht="15" customHeight="1" s="74">
      <c r="A163" s="66">
        <f>INDEX(Projects[Project ID *],162)&amp;""</f>
        <v/>
      </c>
      <c r="B163" s="66">
        <f>INDEX(Projects[Project Name *],162)&amp;""</f>
        <v/>
      </c>
      <c r="C163" s="66">
        <f>INDEX(Projects[MS Shuttles],162)</f>
        <v/>
      </c>
      <c r="D163" s="66">
        <f>INDEX(Projects[MS Tote Locations],162)</f>
        <v/>
      </c>
      <c r="E163" s="66">
        <f>INDEX(Projects[AS Robots],162)</f>
        <v/>
      </c>
      <c r="F163" s="66">
        <f>INDEX(Projects[AS Tote Locations],162)</f>
        <v/>
      </c>
      <c r="G163" s="66">
        <f>INDEX(Projects[PS Shuttles],162)</f>
        <v/>
      </c>
      <c r="H163" s="66">
        <f>INDEX(Projects[PS Pallet Locations],162)</f>
        <v/>
      </c>
      <c r="I163" s="66">
        <f>INDEX(Projects[SRM Cranes],162)</f>
        <v/>
      </c>
      <c r="J163" s="66">
        <f>INDEX(Projects[SRM Pallet Locations],162)</f>
        <v/>
      </c>
      <c r="K163" s="66">
        <f>INDEX(Projects[Case Conv (m)],162)</f>
        <v/>
      </c>
      <c r="L163" s="66">
        <f>INDEX(Projects[Pallet Conv (m)],162)</f>
        <v/>
      </c>
      <c r="M163" s="66">
        <f>INDEX(Projects[Mech Eng (wks)],162)</f>
        <v/>
      </c>
      <c r="N163" s="66">
        <f>INDEX(Projects[Controls Eng (wks)],162)</f>
        <v/>
      </c>
      <c r="O163" s="66">
        <f>INDEX(Projects[Systems Eng (wks)],162)</f>
        <v/>
      </c>
      <c r="P163" s="66">
        <f>INDEX(Projects[Software Eng (wks)],162)</f>
        <v/>
      </c>
      <c r="Q163" s="66">
        <f>INDEX(Projects[M&amp;E Installation (wks)],162)</f>
        <v/>
      </c>
      <c r="R163" s="66">
        <f>INDEX(Projects[Commissioning (wks)],162)</f>
        <v/>
      </c>
      <c r="S163" s="66">
        <f>INDEX(Projects[Total Timeline (wks)],162)</f>
        <v/>
      </c>
      <c r="T163" s="66">
        <f>INDEX(Projects[Currency],162)&amp;""</f>
        <v/>
      </c>
      <c r="U163" s="67">
        <f>INDEX(Projects[Value (M)],162)</f>
        <v/>
      </c>
      <c r="V163" s="66">
        <f>IF('Smart Search'!B13=1,IFERROR(1/'Smart Search'!H13,0),0)</f>
        <v/>
      </c>
      <c r="W163" s="66">
        <f>IF('Smart Search'!B13=1,IFERROR(1/'Smart Search'!H13,0),0)</f>
        <v/>
      </c>
      <c r="X163" s="66">
        <f>IF('Smart Search'!C13=1,IFERROR(1/'Smart Search'!H13,0),0)</f>
        <v/>
      </c>
      <c r="Y163" s="66">
        <f>IF('Smart Search'!C13=1,IFERROR(1/'Smart Search'!H13,0),0)</f>
        <v/>
      </c>
      <c r="Z163" s="66">
        <f>IF('Smart Search'!D13=1,IFERROR(1/'Smart Search'!H13,0),0)</f>
        <v/>
      </c>
      <c r="AA163" s="66">
        <f>IF('Smart Search'!D13=1,IFERROR(1/'Smart Search'!H13,0),0)</f>
        <v/>
      </c>
      <c r="AB163" s="66">
        <f>IF('Smart Search'!E13=1,IFERROR(1/'Smart Search'!H13,0),0)</f>
        <v/>
      </c>
      <c r="AC163" s="66">
        <f>IF('Smart Search'!E13=1,IFERROR(1/'Smart Search'!H13,0),0)</f>
        <v/>
      </c>
      <c r="AD163" s="66">
        <f>IF('Smart Search'!F13=1,IFERROR(1/'Smart Search'!H13,0),0)</f>
        <v/>
      </c>
      <c r="AE163" s="66">
        <f>IF('Smart Search'!F13=1,IFERROR(1/'Smart Search'!H13,0),0)</f>
        <v/>
      </c>
      <c r="AF163" s="66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66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66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66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66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66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66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66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66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66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66">
        <f>AF163*V163</f>
        <v/>
      </c>
      <c r="AQ163" s="66">
        <f>AG163*W163</f>
        <v/>
      </c>
      <c r="AR163" s="66">
        <f>AH163*X163</f>
        <v/>
      </c>
      <c r="AS163" s="66">
        <f>AI163*Y163</f>
        <v/>
      </c>
      <c r="AT163" s="66">
        <f>AJ163*Z163</f>
        <v/>
      </c>
      <c r="AU163" s="66">
        <f>AK163*AA163</f>
        <v/>
      </c>
      <c r="AV163" s="66">
        <f>AL163*AB163</f>
        <v/>
      </c>
      <c r="AW163" s="66">
        <f>AM163*AC163</f>
        <v/>
      </c>
      <c r="AX163" s="66">
        <f>AN163*AD163</f>
        <v/>
      </c>
      <c r="AY163" s="66">
        <f>AO163*AE163</f>
        <v/>
      </c>
      <c r="AZ163" s="66">
        <f>INDEX(Projects[Automation Equipment],162)&amp;""</f>
        <v/>
      </c>
      <c r="BA163" s="66">
        <f>IF(OR(A163="",'Smart Search'!H13=0),"",MAX(0,BE163*BF163*MAX(0,1-BG163)))</f>
        <v/>
      </c>
      <c r="BB163" s="66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66">
        <f>IF('Smart Search'!G13=1,IFERROR(1/'Smart Search'!H13,0),0)</f>
        <v/>
      </c>
      <c r="BD163" s="66">
        <f>BB163*BC163</f>
        <v/>
      </c>
      <c r="BE163" s="66">
        <f>AP163+AQ163+AR163+AS163+AT163+AU163+AV163+AW163+AX163+AY163+BD163</f>
        <v/>
      </c>
      <c r="BF163" s="5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5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5">
        <f>IF(AND(A163&lt;&gt;"",OR('Smart Search'!$L$5="",'Smart Search'!$L$5="All",TRIM(BZ163)=TRIM('Smart Search'!$L$5)),OR(TRIM('Smart Search'!$L$6)="",TRIM('Smart Search'!$L$6)="All",ISNUMBER(SEARCH(SUBSTITUTE(SUBSTITUTE(SUBSTITUTE(TRIM('Smart Search'!$L$6),"~","~~"),"*","~*"),"?","~?"),CA163))),OR('Smart Search'!$L$7="",AND(CB163&lt;&gt;0,CB163='Smart Search'!$L$7)),OR('Smart Search'!$L$8="",'Smart Search'!$L$8="All",TRIM(CC163)=TRIM('Smart Search'!$L$8))),IF(BA163="","",BA163+ROW()*0.0000000001),"")</f>
        <v/>
      </c>
      <c r="BI163" s="5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5">
        <f>IF(A163="","",N(INDEX(Projects[Mech Inst],162)))</f>
        <v/>
      </c>
      <c r="BK163" s="5">
        <f>IF(A163="","",N(INDEX(Projects[Elec Inst],162)))</f>
        <v/>
      </c>
      <c r="BL163" s="5">
        <f>IF(A163="","",N(INDEX(Projects[Project Management],162)))</f>
        <v/>
      </c>
      <c r="BM163" s="5">
        <f>IF(A163="","",N(INDEX(Projects[Systems Eng],162)))</f>
        <v/>
      </c>
      <c r="BN163" s="5">
        <f>IF(A163="","",N(INDEX(Projects[Mechanical Eng],162)))</f>
        <v/>
      </c>
      <c r="BO163" s="5">
        <f>IF(A163="","",N(INDEX(Projects[Structural Engineering],162)))</f>
        <v/>
      </c>
      <c r="BP163" s="5">
        <f>IF(A163="","",N(INDEX(Projects[Site Sup],162)))</f>
        <v/>
      </c>
      <c r="BQ163" s="5">
        <f>IF(A163="","",N(INDEX(Projects[Controls Commissioning],162)))</f>
        <v/>
      </c>
      <c r="BR163" s="5">
        <f>IF(A163="","",N(INDEX(Projects[Systems Commissioning],162)))</f>
        <v/>
      </c>
      <c r="BS163" s="5">
        <f>IF(A163="","",N(INDEX(Projects[Service Commissioning],162)))</f>
        <v/>
      </c>
      <c r="BT163" s="5">
        <f>IF(A163="","",N(INDEX(Projects[Controls Eng],162)))</f>
        <v/>
      </c>
      <c r="BU163" s="5">
        <f>IF(A163="","",N(INDEX(Projects[Controls Purchase],162)))</f>
        <v/>
      </c>
      <c r="BV163" s="5">
        <f>IF(A163="","",N(INDEX(Projects[Software Eng],162)))</f>
        <v/>
      </c>
      <c r="BW163" s="5">
        <f>IF(A163="","",N(INDEX(Projects[Misc],162)))</f>
        <v/>
      </c>
      <c r="BX163" s="5">
        <f>IF(A163="","",SUM(BJ163:BW163))</f>
        <v/>
      </c>
      <c r="BY163" s="5">
        <f>IF(A163="","",IFERROR(IF(ISNUMBER(U163),U163,VALUE(SUBSTITUTE(SUBSTITUTE(SUBSTITUTE(UPPER(TRIM(U163)),"M",""),",","")," ",""))),0))</f>
        <v/>
      </c>
      <c r="BZ163" s="5">
        <f>INDEX(Projects[Solution Type],162)&amp;""</f>
        <v/>
      </c>
      <c r="CA163" s="5">
        <f>INDEX(Projects[Client / Region],162)&amp;""</f>
        <v/>
      </c>
      <c r="CB163" s="5">
        <f>INDEX(Projects[Year],162)</f>
        <v/>
      </c>
      <c r="CC163" s="5">
        <f>INDEX(Projects[Won?],162)&amp;""</f>
        <v/>
      </c>
      <c r="CD163" s="5">
        <f>INDEX(Projects[Value (USD M)],162)</f>
        <v/>
      </c>
    </row>
    <row r="164" ht="15" customHeight="1" s="74">
      <c r="A164" s="66">
        <f>INDEX(Projects[Project ID *],163)&amp;""</f>
        <v/>
      </c>
      <c r="B164" s="66">
        <f>INDEX(Projects[Project Name *],163)&amp;""</f>
        <v/>
      </c>
      <c r="C164" s="66">
        <f>INDEX(Projects[MS Shuttles],163)</f>
        <v/>
      </c>
      <c r="D164" s="66">
        <f>INDEX(Projects[MS Tote Locations],163)</f>
        <v/>
      </c>
      <c r="E164" s="66">
        <f>INDEX(Projects[AS Robots],163)</f>
        <v/>
      </c>
      <c r="F164" s="66">
        <f>INDEX(Projects[AS Tote Locations],163)</f>
        <v/>
      </c>
      <c r="G164" s="66">
        <f>INDEX(Projects[PS Shuttles],163)</f>
        <v/>
      </c>
      <c r="H164" s="66">
        <f>INDEX(Projects[PS Pallet Locations],163)</f>
        <v/>
      </c>
      <c r="I164" s="66">
        <f>INDEX(Projects[SRM Cranes],163)</f>
        <v/>
      </c>
      <c r="J164" s="66">
        <f>INDEX(Projects[SRM Pallet Locations],163)</f>
        <v/>
      </c>
      <c r="K164" s="66">
        <f>INDEX(Projects[Case Conv (m)],163)</f>
        <v/>
      </c>
      <c r="L164" s="66">
        <f>INDEX(Projects[Pallet Conv (m)],163)</f>
        <v/>
      </c>
      <c r="M164" s="66">
        <f>INDEX(Projects[Mech Eng (wks)],163)</f>
        <v/>
      </c>
      <c r="N164" s="66">
        <f>INDEX(Projects[Controls Eng (wks)],163)</f>
        <v/>
      </c>
      <c r="O164" s="66">
        <f>INDEX(Projects[Systems Eng (wks)],163)</f>
        <v/>
      </c>
      <c r="P164" s="66">
        <f>INDEX(Projects[Software Eng (wks)],163)</f>
        <v/>
      </c>
      <c r="Q164" s="66">
        <f>INDEX(Projects[M&amp;E Installation (wks)],163)</f>
        <v/>
      </c>
      <c r="R164" s="66">
        <f>INDEX(Projects[Commissioning (wks)],163)</f>
        <v/>
      </c>
      <c r="S164" s="66">
        <f>INDEX(Projects[Total Timeline (wks)],163)</f>
        <v/>
      </c>
      <c r="T164" s="66">
        <f>INDEX(Projects[Currency],163)&amp;""</f>
        <v/>
      </c>
      <c r="U164" s="67">
        <f>INDEX(Projects[Value (M)],163)</f>
        <v/>
      </c>
      <c r="V164" s="66">
        <f>IF('Smart Search'!B13=1,IFERROR(1/'Smart Search'!H13,0),0)</f>
        <v/>
      </c>
      <c r="W164" s="66">
        <f>IF('Smart Search'!B13=1,IFERROR(1/'Smart Search'!H13,0),0)</f>
        <v/>
      </c>
      <c r="X164" s="66">
        <f>IF('Smart Search'!C13=1,IFERROR(1/'Smart Search'!H13,0),0)</f>
        <v/>
      </c>
      <c r="Y164" s="66">
        <f>IF('Smart Search'!C13=1,IFERROR(1/'Smart Search'!H13,0),0)</f>
        <v/>
      </c>
      <c r="Z164" s="66">
        <f>IF('Smart Search'!D13=1,IFERROR(1/'Smart Search'!H13,0),0)</f>
        <v/>
      </c>
      <c r="AA164" s="66">
        <f>IF('Smart Search'!D13=1,IFERROR(1/'Smart Search'!H13,0),0)</f>
        <v/>
      </c>
      <c r="AB164" s="66">
        <f>IF('Smart Search'!E13=1,IFERROR(1/'Smart Search'!H13,0),0)</f>
        <v/>
      </c>
      <c r="AC164" s="66">
        <f>IF('Smart Search'!E13=1,IFERROR(1/'Smart Search'!H13,0),0)</f>
        <v/>
      </c>
      <c r="AD164" s="66">
        <f>IF('Smart Search'!F13=1,IFERROR(1/'Smart Search'!H13,0),0)</f>
        <v/>
      </c>
      <c r="AE164" s="66">
        <f>IF('Smart Search'!F13=1,IFERROR(1/'Smart Search'!H13,0),0)</f>
        <v/>
      </c>
      <c r="AF164" s="66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66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66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66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66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66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66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66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66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66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66">
        <f>AF164*V164</f>
        <v/>
      </c>
      <c r="AQ164" s="66">
        <f>AG164*W164</f>
        <v/>
      </c>
      <c r="AR164" s="66">
        <f>AH164*X164</f>
        <v/>
      </c>
      <c r="AS164" s="66">
        <f>AI164*Y164</f>
        <v/>
      </c>
      <c r="AT164" s="66">
        <f>AJ164*Z164</f>
        <v/>
      </c>
      <c r="AU164" s="66">
        <f>AK164*AA164</f>
        <v/>
      </c>
      <c r="AV164" s="66">
        <f>AL164*AB164</f>
        <v/>
      </c>
      <c r="AW164" s="66">
        <f>AM164*AC164</f>
        <v/>
      </c>
      <c r="AX164" s="66">
        <f>AN164*AD164</f>
        <v/>
      </c>
      <c r="AY164" s="66">
        <f>AO164*AE164</f>
        <v/>
      </c>
      <c r="AZ164" s="66">
        <f>INDEX(Projects[Automation Equipment],163)&amp;""</f>
        <v/>
      </c>
      <c r="BA164" s="66">
        <f>IF(OR(A164="",'Smart Search'!H13=0),"",MAX(0,BE164*BF164*MAX(0,1-BG164)))</f>
        <v/>
      </c>
      <c r="BB164" s="66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66">
        <f>IF('Smart Search'!G13=1,IFERROR(1/'Smart Search'!H13,0),0)</f>
        <v/>
      </c>
      <c r="BD164" s="66">
        <f>BB164*BC164</f>
        <v/>
      </c>
      <c r="BE164" s="66">
        <f>AP164+AQ164+AR164+AS164+AT164+AU164+AV164+AW164+AX164+AY164+BD164</f>
        <v/>
      </c>
      <c r="BF164" s="5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5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5">
        <f>IF(AND(A164&lt;&gt;"",OR('Smart Search'!$L$5="",'Smart Search'!$L$5="All",TRIM(BZ164)=TRIM('Smart Search'!$L$5)),OR(TRIM('Smart Search'!$L$6)="",TRIM('Smart Search'!$L$6)="All",ISNUMBER(SEARCH(SUBSTITUTE(SUBSTITUTE(SUBSTITUTE(TRIM('Smart Search'!$L$6),"~","~~"),"*","~*"),"?","~?"),CA164))),OR('Smart Search'!$L$7="",AND(CB164&lt;&gt;0,CB164='Smart Search'!$L$7)),OR('Smart Search'!$L$8="",'Smart Search'!$L$8="All",TRIM(CC164)=TRIM('Smart Search'!$L$8))),IF(BA164="","",BA164+ROW()*0.0000000001),"")</f>
        <v/>
      </c>
      <c r="BI164" s="5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5">
        <f>IF(A164="","",N(INDEX(Projects[Mech Inst],163)))</f>
        <v/>
      </c>
      <c r="BK164" s="5">
        <f>IF(A164="","",N(INDEX(Projects[Elec Inst],163)))</f>
        <v/>
      </c>
      <c r="BL164" s="5">
        <f>IF(A164="","",N(INDEX(Projects[Project Management],163)))</f>
        <v/>
      </c>
      <c r="BM164" s="5">
        <f>IF(A164="","",N(INDEX(Projects[Systems Eng],163)))</f>
        <v/>
      </c>
      <c r="BN164" s="5">
        <f>IF(A164="","",N(INDEX(Projects[Mechanical Eng],163)))</f>
        <v/>
      </c>
      <c r="BO164" s="5">
        <f>IF(A164="","",N(INDEX(Projects[Structural Engineering],163)))</f>
        <v/>
      </c>
      <c r="BP164" s="5">
        <f>IF(A164="","",N(INDEX(Projects[Site Sup],163)))</f>
        <v/>
      </c>
      <c r="BQ164" s="5">
        <f>IF(A164="","",N(INDEX(Projects[Controls Commissioning],163)))</f>
        <v/>
      </c>
      <c r="BR164" s="5">
        <f>IF(A164="","",N(INDEX(Projects[Systems Commissioning],163)))</f>
        <v/>
      </c>
      <c r="BS164" s="5">
        <f>IF(A164="","",N(INDEX(Projects[Service Commissioning],163)))</f>
        <v/>
      </c>
      <c r="BT164" s="5">
        <f>IF(A164="","",N(INDEX(Projects[Controls Eng],163)))</f>
        <v/>
      </c>
      <c r="BU164" s="5">
        <f>IF(A164="","",N(INDEX(Projects[Controls Purchase],163)))</f>
        <v/>
      </c>
      <c r="BV164" s="5">
        <f>IF(A164="","",N(INDEX(Projects[Software Eng],163)))</f>
        <v/>
      </c>
      <c r="BW164" s="5">
        <f>IF(A164="","",N(INDEX(Projects[Misc],163)))</f>
        <v/>
      </c>
      <c r="BX164" s="5">
        <f>IF(A164="","",SUM(BJ164:BW164))</f>
        <v/>
      </c>
      <c r="BY164" s="5">
        <f>IF(A164="","",IFERROR(IF(ISNUMBER(U164),U164,VALUE(SUBSTITUTE(SUBSTITUTE(SUBSTITUTE(UPPER(TRIM(U164)),"M",""),",","")," ",""))),0))</f>
        <v/>
      </c>
      <c r="BZ164" s="5">
        <f>INDEX(Projects[Solution Type],163)&amp;""</f>
        <v/>
      </c>
      <c r="CA164" s="5">
        <f>INDEX(Projects[Client / Region],163)&amp;""</f>
        <v/>
      </c>
      <c r="CB164" s="5">
        <f>INDEX(Projects[Year],163)</f>
        <v/>
      </c>
      <c r="CC164" s="5">
        <f>INDEX(Projects[Won?],163)&amp;""</f>
        <v/>
      </c>
      <c r="CD164" s="5">
        <f>INDEX(Projects[Value (USD M)],163)</f>
        <v/>
      </c>
    </row>
    <row r="165" ht="15" customHeight="1" s="74">
      <c r="A165" s="66">
        <f>INDEX(Projects[Project ID *],164)&amp;""</f>
        <v/>
      </c>
      <c r="B165" s="66">
        <f>INDEX(Projects[Project Name *],164)&amp;""</f>
        <v/>
      </c>
      <c r="C165" s="66">
        <f>INDEX(Projects[MS Shuttles],164)</f>
        <v/>
      </c>
      <c r="D165" s="66">
        <f>INDEX(Projects[MS Tote Locations],164)</f>
        <v/>
      </c>
      <c r="E165" s="66">
        <f>INDEX(Projects[AS Robots],164)</f>
        <v/>
      </c>
      <c r="F165" s="66">
        <f>INDEX(Projects[AS Tote Locations],164)</f>
        <v/>
      </c>
      <c r="G165" s="66">
        <f>INDEX(Projects[PS Shuttles],164)</f>
        <v/>
      </c>
      <c r="H165" s="66">
        <f>INDEX(Projects[PS Pallet Locations],164)</f>
        <v/>
      </c>
      <c r="I165" s="66">
        <f>INDEX(Projects[SRM Cranes],164)</f>
        <v/>
      </c>
      <c r="J165" s="66">
        <f>INDEX(Projects[SRM Pallet Locations],164)</f>
        <v/>
      </c>
      <c r="K165" s="66">
        <f>INDEX(Projects[Case Conv (m)],164)</f>
        <v/>
      </c>
      <c r="L165" s="66">
        <f>INDEX(Projects[Pallet Conv (m)],164)</f>
        <v/>
      </c>
      <c r="M165" s="66">
        <f>INDEX(Projects[Mech Eng (wks)],164)</f>
        <v/>
      </c>
      <c r="N165" s="66">
        <f>INDEX(Projects[Controls Eng (wks)],164)</f>
        <v/>
      </c>
      <c r="O165" s="66">
        <f>INDEX(Projects[Systems Eng (wks)],164)</f>
        <v/>
      </c>
      <c r="P165" s="66">
        <f>INDEX(Projects[Software Eng (wks)],164)</f>
        <v/>
      </c>
      <c r="Q165" s="66">
        <f>INDEX(Projects[M&amp;E Installation (wks)],164)</f>
        <v/>
      </c>
      <c r="R165" s="66">
        <f>INDEX(Projects[Commissioning (wks)],164)</f>
        <v/>
      </c>
      <c r="S165" s="66">
        <f>INDEX(Projects[Total Timeline (wks)],164)</f>
        <v/>
      </c>
      <c r="T165" s="66">
        <f>INDEX(Projects[Currency],164)&amp;""</f>
        <v/>
      </c>
      <c r="U165" s="67">
        <f>INDEX(Projects[Value (M)],164)</f>
        <v/>
      </c>
      <c r="V165" s="66">
        <f>IF('Smart Search'!B13=1,IFERROR(1/'Smart Search'!H13,0),0)</f>
        <v/>
      </c>
      <c r="W165" s="66">
        <f>IF('Smart Search'!B13=1,IFERROR(1/'Smart Search'!H13,0),0)</f>
        <v/>
      </c>
      <c r="X165" s="66">
        <f>IF('Smart Search'!C13=1,IFERROR(1/'Smart Search'!H13,0),0)</f>
        <v/>
      </c>
      <c r="Y165" s="66">
        <f>IF('Smart Search'!C13=1,IFERROR(1/'Smart Search'!H13,0),0)</f>
        <v/>
      </c>
      <c r="Z165" s="66">
        <f>IF('Smart Search'!D13=1,IFERROR(1/'Smart Search'!H13,0),0)</f>
        <v/>
      </c>
      <c r="AA165" s="66">
        <f>IF('Smart Search'!D13=1,IFERROR(1/'Smart Search'!H13,0),0)</f>
        <v/>
      </c>
      <c r="AB165" s="66">
        <f>IF('Smart Search'!E13=1,IFERROR(1/'Smart Search'!H13,0),0)</f>
        <v/>
      </c>
      <c r="AC165" s="66">
        <f>IF('Smart Search'!E13=1,IFERROR(1/'Smart Search'!H13,0),0)</f>
        <v/>
      </c>
      <c r="AD165" s="66">
        <f>IF('Smart Search'!F13=1,IFERROR(1/'Smart Search'!H13,0),0)</f>
        <v/>
      </c>
      <c r="AE165" s="66">
        <f>IF('Smart Search'!F13=1,IFERROR(1/'Smart Search'!H13,0),0)</f>
        <v/>
      </c>
      <c r="AF165" s="66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66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66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66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66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66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66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66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66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66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66">
        <f>AF165*V165</f>
        <v/>
      </c>
      <c r="AQ165" s="66">
        <f>AG165*W165</f>
        <v/>
      </c>
      <c r="AR165" s="66">
        <f>AH165*X165</f>
        <v/>
      </c>
      <c r="AS165" s="66">
        <f>AI165*Y165</f>
        <v/>
      </c>
      <c r="AT165" s="66">
        <f>AJ165*Z165</f>
        <v/>
      </c>
      <c r="AU165" s="66">
        <f>AK165*AA165</f>
        <v/>
      </c>
      <c r="AV165" s="66">
        <f>AL165*AB165</f>
        <v/>
      </c>
      <c r="AW165" s="66">
        <f>AM165*AC165</f>
        <v/>
      </c>
      <c r="AX165" s="66">
        <f>AN165*AD165</f>
        <v/>
      </c>
      <c r="AY165" s="66">
        <f>AO165*AE165</f>
        <v/>
      </c>
      <c r="AZ165" s="66">
        <f>INDEX(Projects[Automation Equipment],164)&amp;""</f>
        <v/>
      </c>
      <c r="BA165" s="66">
        <f>IF(OR(A165="",'Smart Search'!H13=0),"",MAX(0,BE165*BF165*MAX(0,1-BG165)))</f>
        <v/>
      </c>
      <c r="BB165" s="66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66">
        <f>IF('Smart Search'!G13=1,IFERROR(1/'Smart Search'!H13,0),0)</f>
        <v/>
      </c>
      <c r="BD165" s="66">
        <f>BB165*BC165</f>
        <v/>
      </c>
      <c r="BE165" s="66">
        <f>AP165+AQ165+AR165+AS165+AT165+AU165+AV165+AW165+AX165+AY165+BD165</f>
        <v/>
      </c>
      <c r="BF165" s="5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5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5">
        <f>IF(AND(A165&lt;&gt;"",OR('Smart Search'!$L$5="",'Smart Search'!$L$5="All",TRIM(BZ165)=TRIM('Smart Search'!$L$5)),OR(TRIM('Smart Search'!$L$6)="",TRIM('Smart Search'!$L$6)="All",ISNUMBER(SEARCH(SUBSTITUTE(SUBSTITUTE(SUBSTITUTE(TRIM('Smart Search'!$L$6),"~","~~"),"*","~*"),"?","~?"),CA165))),OR('Smart Search'!$L$7="",AND(CB165&lt;&gt;0,CB165='Smart Search'!$L$7)),OR('Smart Search'!$L$8="",'Smart Search'!$L$8="All",TRIM(CC165)=TRIM('Smart Search'!$L$8))),IF(BA165="","",BA165+ROW()*0.0000000001),"")</f>
        <v/>
      </c>
      <c r="BI165" s="5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5">
        <f>IF(A165="","",N(INDEX(Projects[Mech Inst],164)))</f>
        <v/>
      </c>
      <c r="BK165" s="5">
        <f>IF(A165="","",N(INDEX(Projects[Elec Inst],164)))</f>
        <v/>
      </c>
      <c r="BL165" s="5">
        <f>IF(A165="","",N(INDEX(Projects[Project Management],164)))</f>
        <v/>
      </c>
      <c r="BM165" s="5">
        <f>IF(A165="","",N(INDEX(Projects[Systems Eng],164)))</f>
        <v/>
      </c>
      <c r="BN165" s="5">
        <f>IF(A165="","",N(INDEX(Projects[Mechanical Eng],164)))</f>
        <v/>
      </c>
      <c r="BO165" s="5">
        <f>IF(A165="","",N(INDEX(Projects[Structural Engineering],164)))</f>
        <v/>
      </c>
      <c r="BP165" s="5">
        <f>IF(A165="","",N(INDEX(Projects[Site Sup],164)))</f>
        <v/>
      </c>
      <c r="BQ165" s="5">
        <f>IF(A165="","",N(INDEX(Projects[Controls Commissioning],164)))</f>
        <v/>
      </c>
      <c r="BR165" s="5">
        <f>IF(A165="","",N(INDEX(Projects[Systems Commissioning],164)))</f>
        <v/>
      </c>
      <c r="BS165" s="5">
        <f>IF(A165="","",N(INDEX(Projects[Service Commissioning],164)))</f>
        <v/>
      </c>
      <c r="BT165" s="5">
        <f>IF(A165="","",N(INDEX(Projects[Controls Eng],164)))</f>
        <v/>
      </c>
      <c r="BU165" s="5">
        <f>IF(A165="","",N(INDEX(Projects[Controls Purchase],164)))</f>
        <v/>
      </c>
      <c r="BV165" s="5">
        <f>IF(A165="","",N(INDEX(Projects[Software Eng],164)))</f>
        <v/>
      </c>
      <c r="BW165" s="5">
        <f>IF(A165="","",N(INDEX(Projects[Misc],164)))</f>
        <v/>
      </c>
      <c r="BX165" s="5">
        <f>IF(A165="","",SUM(BJ165:BW165))</f>
        <v/>
      </c>
      <c r="BY165" s="5">
        <f>IF(A165="","",IFERROR(IF(ISNUMBER(U165),U165,VALUE(SUBSTITUTE(SUBSTITUTE(SUBSTITUTE(UPPER(TRIM(U165)),"M",""),",","")," ",""))),0))</f>
        <v/>
      </c>
      <c r="BZ165" s="5">
        <f>INDEX(Projects[Solution Type],164)&amp;""</f>
        <v/>
      </c>
      <c r="CA165" s="5">
        <f>INDEX(Projects[Client / Region],164)&amp;""</f>
        <v/>
      </c>
      <c r="CB165" s="5">
        <f>INDEX(Projects[Year],164)</f>
        <v/>
      </c>
      <c r="CC165" s="5">
        <f>INDEX(Projects[Won?],164)&amp;""</f>
        <v/>
      </c>
      <c r="CD165" s="5">
        <f>INDEX(Projects[Value (USD M)],164)</f>
        <v/>
      </c>
    </row>
    <row r="166" ht="15" customHeight="1" s="74">
      <c r="A166" s="66">
        <f>INDEX(Projects[Project ID *],165)&amp;""</f>
        <v/>
      </c>
      <c r="B166" s="66">
        <f>INDEX(Projects[Project Name *],165)&amp;""</f>
        <v/>
      </c>
      <c r="C166" s="66">
        <f>INDEX(Projects[MS Shuttles],165)</f>
        <v/>
      </c>
      <c r="D166" s="66">
        <f>INDEX(Projects[MS Tote Locations],165)</f>
        <v/>
      </c>
      <c r="E166" s="66">
        <f>INDEX(Projects[AS Robots],165)</f>
        <v/>
      </c>
      <c r="F166" s="66">
        <f>INDEX(Projects[AS Tote Locations],165)</f>
        <v/>
      </c>
      <c r="G166" s="66">
        <f>INDEX(Projects[PS Shuttles],165)</f>
        <v/>
      </c>
      <c r="H166" s="66">
        <f>INDEX(Projects[PS Pallet Locations],165)</f>
        <v/>
      </c>
      <c r="I166" s="66">
        <f>INDEX(Projects[SRM Cranes],165)</f>
        <v/>
      </c>
      <c r="J166" s="66">
        <f>INDEX(Projects[SRM Pallet Locations],165)</f>
        <v/>
      </c>
      <c r="K166" s="66">
        <f>INDEX(Projects[Case Conv (m)],165)</f>
        <v/>
      </c>
      <c r="L166" s="66">
        <f>INDEX(Projects[Pallet Conv (m)],165)</f>
        <v/>
      </c>
      <c r="M166" s="66">
        <f>INDEX(Projects[Mech Eng (wks)],165)</f>
        <v/>
      </c>
      <c r="N166" s="66">
        <f>INDEX(Projects[Controls Eng (wks)],165)</f>
        <v/>
      </c>
      <c r="O166" s="66">
        <f>INDEX(Projects[Systems Eng (wks)],165)</f>
        <v/>
      </c>
      <c r="P166" s="66">
        <f>INDEX(Projects[Software Eng (wks)],165)</f>
        <v/>
      </c>
      <c r="Q166" s="66">
        <f>INDEX(Projects[M&amp;E Installation (wks)],165)</f>
        <v/>
      </c>
      <c r="R166" s="66">
        <f>INDEX(Projects[Commissioning (wks)],165)</f>
        <v/>
      </c>
      <c r="S166" s="66">
        <f>INDEX(Projects[Total Timeline (wks)],165)</f>
        <v/>
      </c>
      <c r="T166" s="66">
        <f>INDEX(Projects[Currency],165)&amp;""</f>
        <v/>
      </c>
      <c r="U166" s="67">
        <f>INDEX(Projects[Value (M)],165)</f>
        <v/>
      </c>
      <c r="V166" s="66">
        <f>IF('Smart Search'!B13=1,IFERROR(1/'Smart Search'!H13,0),0)</f>
        <v/>
      </c>
      <c r="W166" s="66">
        <f>IF('Smart Search'!B13=1,IFERROR(1/'Smart Search'!H13,0),0)</f>
        <v/>
      </c>
      <c r="X166" s="66">
        <f>IF('Smart Search'!C13=1,IFERROR(1/'Smart Search'!H13,0),0)</f>
        <v/>
      </c>
      <c r="Y166" s="66">
        <f>IF('Smart Search'!C13=1,IFERROR(1/'Smart Search'!H13,0),0)</f>
        <v/>
      </c>
      <c r="Z166" s="66">
        <f>IF('Smart Search'!D13=1,IFERROR(1/'Smart Search'!H13,0),0)</f>
        <v/>
      </c>
      <c r="AA166" s="66">
        <f>IF('Smart Search'!D13=1,IFERROR(1/'Smart Search'!H13,0),0)</f>
        <v/>
      </c>
      <c r="AB166" s="66">
        <f>IF('Smart Search'!E13=1,IFERROR(1/'Smart Search'!H13,0),0)</f>
        <v/>
      </c>
      <c r="AC166" s="66">
        <f>IF('Smart Search'!E13=1,IFERROR(1/'Smart Search'!H13,0),0)</f>
        <v/>
      </c>
      <c r="AD166" s="66">
        <f>IF('Smart Search'!F13=1,IFERROR(1/'Smart Search'!H13,0),0)</f>
        <v/>
      </c>
      <c r="AE166" s="66">
        <f>IF('Smart Search'!F13=1,IFERROR(1/'Smart Search'!H13,0),0)</f>
        <v/>
      </c>
      <c r="AF166" s="66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66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66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66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66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66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66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66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66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66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66">
        <f>AF166*V166</f>
        <v/>
      </c>
      <c r="AQ166" s="66">
        <f>AG166*W166</f>
        <v/>
      </c>
      <c r="AR166" s="66">
        <f>AH166*X166</f>
        <v/>
      </c>
      <c r="AS166" s="66">
        <f>AI166*Y166</f>
        <v/>
      </c>
      <c r="AT166" s="66">
        <f>AJ166*Z166</f>
        <v/>
      </c>
      <c r="AU166" s="66">
        <f>AK166*AA166</f>
        <v/>
      </c>
      <c r="AV166" s="66">
        <f>AL166*AB166</f>
        <v/>
      </c>
      <c r="AW166" s="66">
        <f>AM166*AC166</f>
        <v/>
      </c>
      <c r="AX166" s="66">
        <f>AN166*AD166</f>
        <v/>
      </c>
      <c r="AY166" s="66">
        <f>AO166*AE166</f>
        <v/>
      </c>
      <c r="AZ166" s="66">
        <f>INDEX(Projects[Automation Equipment],165)&amp;""</f>
        <v/>
      </c>
      <c r="BA166" s="66">
        <f>IF(OR(A166="",'Smart Search'!H13=0),"",MAX(0,BE166*BF166*MAX(0,1-BG166)))</f>
        <v/>
      </c>
      <c r="BB166" s="66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66">
        <f>IF('Smart Search'!G13=1,IFERROR(1/'Smart Search'!H13,0),0)</f>
        <v/>
      </c>
      <c r="BD166" s="66">
        <f>BB166*BC166</f>
        <v/>
      </c>
      <c r="BE166" s="66">
        <f>AP166+AQ166+AR166+AS166+AT166+AU166+AV166+AW166+AX166+AY166+BD166</f>
        <v/>
      </c>
      <c r="BF166" s="5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5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5">
        <f>IF(AND(A166&lt;&gt;"",OR('Smart Search'!$L$5="",'Smart Search'!$L$5="All",TRIM(BZ166)=TRIM('Smart Search'!$L$5)),OR(TRIM('Smart Search'!$L$6)="",TRIM('Smart Search'!$L$6)="All",ISNUMBER(SEARCH(SUBSTITUTE(SUBSTITUTE(SUBSTITUTE(TRIM('Smart Search'!$L$6),"~","~~"),"*","~*"),"?","~?"),CA166))),OR('Smart Search'!$L$7="",AND(CB166&lt;&gt;0,CB166='Smart Search'!$L$7)),OR('Smart Search'!$L$8="",'Smart Search'!$L$8="All",TRIM(CC166)=TRIM('Smart Search'!$L$8))),IF(BA166="","",BA166+ROW()*0.0000000001),"")</f>
        <v/>
      </c>
      <c r="BI166" s="5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5">
        <f>IF(A166="","",N(INDEX(Projects[Mech Inst],165)))</f>
        <v/>
      </c>
      <c r="BK166" s="5">
        <f>IF(A166="","",N(INDEX(Projects[Elec Inst],165)))</f>
        <v/>
      </c>
      <c r="BL166" s="5">
        <f>IF(A166="","",N(INDEX(Projects[Project Management],165)))</f>
        <v/>
      </c>
      <c r="BM166" s="5">
        <f>IF(A166="","",N(INDEX(Projects[Systems Eng],165)))</f>
        <v/>
      </c>
      <c r="BN166" s="5">
        <f>IF(A166="","",N(INDEX(Projects[Mechanical Eng],165)))</f>
        <v/>
      </c>
      <c r="BO166" s="5">
        <f>IF(A166="","",N(INDEX(Projects[Structural Engineering],165)))</f>
        <v/>
      </c>
      <c r="BP166" s="5">
        <f>IF(A166="","",N(INDEX(Projects[Site Sup],165)))</f>
        <v/>
      </c>
      <c r="BQ166" s="5">
        <f>IF(A166="","",N(INDEX(Projects[Controls Commissioning],165)))</f>
        <v/>
      </c>
      <c r="BR166" s="5">
        <f>IF(A166="","",N(INDEX(Projects[Systems Commissioning],165)))</f>
        <v/>
      </c>
      <c r="BS166" s="5">
        <f>IF(A166="","",N(INDEX(Projects[Service Commissioning],165)))</f>
        <v/>
      </c>
      <c r="BT166" s="5">
        <f>IF(A166="","",N(INDEX(Projects[Controls Eng],165)))</f>
        <v/>
      </c>
      <c r="BU166" s="5">
        <f>IF(A166="","",N(INDEX(Projects[Controls Purchase],165)))</f>
        <v/>
      </c>
      <c r="BV166" s="5">
        <f>IF(A166="","",N(INDEX(Projects[Software Eng],165)))</f>
        <v/>
      </c>
      <c r="BW166" s="5">
        <f>IF(A166="","",N(INDEX(Projects[Misc],165)))</f>
        <v/>
      </c>
      <c r="BX166" s="5">
        <f>IF(A166="","",SUM(BJ166:BW166))</f>
        <v/>
      </c>
      <c r="BY166" s="5">
        <f>IF(A166="","",IFERROR(IF(ISNUMBER(U166),U166,VALUE(SUBSTITUTE(SUBSTITUTE(SUBSTITUTE(UPPER(TRIM(U166)),"M",""),",","")," ",""))),0))</f>
        <v/>
      </c>
      <c r="BZ166" s="5">
        <f>INDEX(Projects[Solution Type],165)&amp;""</f>
        <v/>
      </c>
      <c r="CA166" s="5">
        <f>INDEX(Projects[Client / Region],165)&amp;""</f>
        <v/>
      </c>
      <c r="CB166" s="5">
        <f>INDEX(Projects[Year],165)</f>
        <v/>
      </c>
      <c r="CC166" s="5">
        <f>INDEX(Projects[Won?],165)&amp;""</f>
        <v/>
      </c>
      <c r="CD166" s="5">
        <f>INDEX(Projects[Value (USD M)],165)</f>
        <v/>
      </c>
    </row>
    <row r="167" ht="15" customHeight="1" s="74">
      <c r="A167" s="66">
        <f>INDEX(Projects[Project ID *],166)&amp;""</f>
        <v/>
      </c>
      <c r="B167" s="66">
        <f>INDEX(Projects[Project Name *],166)&amp;""</f>
        <v/>
      </c>
      <c r="C167" s="66">
        <f>INDEX(Projects[MS Shuttles],166)</f>
        <v/>
      </c>
      <c r="D167" s="66">
        <f>INDEX(Projects[MS Tote Locations],166)</f>
        <v/>
      </c>
      <c r="E167" s="66">
        <f>INDEX(Projects[AS Robots],166)</f>
        <v/>
      </c>
      <c r="F167" s="66">
        <f>INDEX(Projects[AS Tote Locations],166)</f>
        <v/>
      </c>
      <c r="G167" s="66">
        <f>INDEX(Projects[PS Shuttles],166)</f>
        <v/>
      </c>
      <c r="H167" s="66">
        <f>INDEX(Projects[PS Pallet Locations],166)</f>
        <v/>
      </c>
      <c r="I167" s="66">
        <f>INDEX(Projects[SRM Cranes],166)</f>
        <v/>
      </c>
      <c r="J167" s="66">
        <f>INDEX(Projects[SRM Pallet Locations],166)</f>
        <v/>
      </c>
      <c r="K167" s="66">
        <f>INDEX(Projects[Case Conv (m)],166)</f>
        <v/>
      </c>
      <c r="L167" s="66">
        <f>INDEX(Projects[Pallet Conv (m)],166)</f>
        <v/>
      </c>
      <c r="M167" s="66">
        <f>INDEX(Projects[Mech Eng (wks)],166)</f>
        <v/>
      </c>
      <c r="N167" s="66">
        <f>INDEX(Projects[Controls Eng (wks)],166)</f>
        <v/>
      </c>
      <c r="O167" s="66">
        <f>INDEX(Projects[Systems Eng (wks)],166)</f>
        <v/>
      </c>
      <c r="P167" s="66">
        <f>INDEX(Projects[Software Eng (wks)],166)</f>
        <v/>
      </c>
      <c r="Q167" s="66">
        <f>INDEX(Projects[M&amp;E Installation (wks)],166)</f>
        <v/>
      </c>
      <c r="R167" s="66">
        <f>INDEX(Projects[Commissioning (wks)],166)</f>
        <v/>
      </c>
      <c r="S167" s="66">
        <f>INDEX(Projects[Total Timeline (wks)],166)</f>
        <v/>
      </c>
      <c r="T167" s="66">
        <f>INDEX(Projects[Currency],166)&amp;""</f>
        <v/>
      </c>
      <c r="U167" s="67">
        <f>INDEX(Projects[Value (M)],166)</f>
        <v/>
      </c>
      <c r="V167" s="66">
        <f>IF('Smart Search'!B13=1,IFERROR(1/'Smart Search'!H13,0),0)</f>
        <v/>
      </c>
      <c r="W167" s="66">
        <f>IF('Smart Search'!B13=1,IFERROR(1/'Smart Search'!H13,0),0)</f>
        <v/>
      </c>
      <c r="X167" s="66">
        <f>IF('Smart Search'!C13=1,IFERROR(1/'Smart Search'!H13,0),0)</f>
        <v/>
      </c>
      <c r="Y167" s="66">
        <f>IF('Smart Search'!C13=1,IFERROR(1/'Smart Search'!H13,0),0)</f>
        <v/>
      </c>
      <c r="Z167" s="66">
        <f>IF('Smart Search'!D13=1,IFERROR(1/'Smart Search'!H13,0),0)</f>
        <v/>
      </c>
      <c r="AA167" s="66">
        <f>IF('Smart Search'!D13=1,IFERROR(1/'Smart Search'!H13,0),0)</f>
        <v/>
      </c>
      <c r="AB167" s="66">
        <f>IF('Smart Search'!E13=1,IFERROR(1/'Smart Search'!H13,0),0)</f>
        <v/>
      </c>
      <c r="AC167" s="66">
        <f>IF('Smart Search'!E13=1,IFERROR(1/'Smart Search'!H13,0),0)</f>
        <v/>
      </c>
      <c r="AD167" s="66">
        <f>IF('Smart Search'!F13=1,IFERROR(1/'Smart Search'!H13,0),0)</f>
        <v/>
      </c>
      <c r="AE167" s="66">
        <f>IF('Smart Search'!F13=1,IFERROR(1/'Smart Search'!H13,0),0)</f>
        <v/>
      </c>
      <c r="AF167" s="66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66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66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66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66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66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66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66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66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66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66">
        <f>AF167*V167</f>
        <v/>
      </c>
      <c r="AQ167" s="66">
        <f>AG167*W167</f>
        <v/>
      </c>
      <c r="AR167" s="66">
        <f>AH167*X167</f>
        <v/>
      </c>
      <c r="AS167" s="66">
        <f>AI167*Y167</f>
        <v/>
      </c>
      <c r="AT167" s="66">
        <f>AJ167*Z167</f>
        <v/>
      </c>
      <c r="AU167" s="66">
        <f>AK167*AA167</f>
        <v/>
      </c>
      <c r="AV167" s="66">
        <f>AL167*AB167</f>
        <v/>
      </c>
      <c r="AW167" s="66">
        <f>AM167*AC167</f>
        <v/>
      </c>
      <c r="AX167" s="66">
        <f>AN167*AD167</f>
        <v/>
      </c>
      <c r="AY167" s="66">
        <f>AO167*AE167</f>
        <v/>
      </c>
      <c r="AZ167" s="66">
        <f>INDEX(Projects[Automation Equipment],166)&amp;""</f>
        <v/>
      </c>
      <c r="BA167" s="66">
        <f>IF(OR(A167="",'Smart Search'!H13=0),"",MAX(0,BE167*BF167*MAX(0,1-BG167)))</f>
        <v/>
      </c>
      <c r="BB167" s="66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66">
        <f>IF('Smart Search'!G13=1,IFERROR(1/'Smart Search'!H13,0),0)</f>
        <v/>
      </c>
      <c r="BD167" s="66">
        <f>BB167*BC167</f>
        <v/>
      </c>
      <c r="BE167" s="66">
        <f>AP167+AQ167+AR167+AS167+AT167+AU167+AV167+AW167+AX167+AY167+BD167</f>
        <v/>
      </c>
      <c r="BF167" s="5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5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5">
        <f>IF(AND(A167&lt;&gt;"",OR('Smart Search'!$L$5="",'Smart Search'!$L$5="All",TRIM(BZ167)=TRIM('Smart Search'!$L$5)),OR(TRIM('Smart Search'!$L$6)="",TRIM('Smart Search'!$L$6)="All",ISNUMBER(SEARCH(SUBSTITUTE(SUBSTITUTE(SUBSTITUTE(TRIM('Smart Search'!$L$6),"~","~~"),"*","~*"),"?","~?"),CA167))),OR('Smart Search'!$L$7="",AND(CB167&lt;&gt;0,CB167='Smart Search'!$L$7)),OR('Smart Search'!$L$8="",'Smart Search'!$L$8="All",TRIM(CC167)=TRIM('Smart Search'!$L$8))),IF(BA167="","",BA167+ROW()*0.0000000001),"")</f>
        <v/>
      </c>
      <c r="BI167" s="5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5">
        <f>IF(A167="","",N(INDEX(Projects[Mech Inst],166)))</f>
        <v/>
      </c>
      <c r="BK167" s="5">
        <f>IF(A167="","",N(INDEX(Projects[Elec Inst],166)))</f>
        <v/>
      </c>
      <c r="BL167" s="5">
        <f>IF(A167="","",N(INDEX(Projects[Project Management],166)))</f>
        <v/>
      </c>
      <c r="BM167" s="5">
        <f>IF(A167="","",N(INDEX(Projects[Systems Eng],166)))</f>
        <v/>
      </c>
      <c r="BN167" s="5">
        <f>IF(A167="","",N(INDEX(Projects[Mechanical Eng],166)))</f>
        <v/>
      </c>
      <c r="BO167" s="5">
        <f>IF(A167="","",N(INDEX(Projects[Structural Engineering],166)))</f>
        <v/>
      </c>
      <c r="BP167" s="5">
        <f>IF(A167="","",N(INDEX(Projects[Site Sup],166)))</f>
        <v/>
      </c>
      <c r="BQ167" s="5">
        <f>IF(A167="","",N(INDEX(Projects[Controls Commissioning],166)))</f>
        <v/>
      </c>
      <c r="BR167" s="5">
        <f>IF(A167="","",N(INDEX(Projects[Systems Commissioning],166)))</f>
        <v/>
      </c>
      <c r="BS167" s="5">
        <f>IF(A167="","",N(INDEX(Projects[Service Commissioning],166)))</f>
        <v/>
      </c>
      <c r="BT167" s="5">
        <f>IF(A167="","",N(INDEX(Projects[Controls Eng],166)))</f>
        <v/>
      </c>
      <c r="BU167" s="5">
        <f>IF(A167="","",N(INDEX(Projects[Controls Purchase],166)))</f>
        <v/>
      </c>
      <c r="BV167" s="5">
        <f>IF(A167="","",N(INDEX(Projects[Software Eng],166)))</f>
        <v/>
      </c>
      <c r="BW167" s="5">
        <f>IF(A167="","",N(INDEX(Projects[Misc],166)))</f>
        <v/>
      </c>
      <c r="BX167" s="5">
        <f>IF(A167="","",SUM(BJ167:BW167))</f>
        <v/>
      </c>
      <c r="BY167" s="5">
        <f>IF(A167="","",IFERROR(IF(ISNUMBER(U167),U167,VALUE(SUBSTITUTE(SUBSTITUTE(SUBSTITUTE(UPPER(TRIM(U167)),"M",""),",","")," ",""))),0))</f>
        <v/>
      </c>
      <c r="BZ167" s="5">
        <f>INDEX(Projects[Solution Type],166)&amp;""</f>
        <v/>
      </c>
      <c r="CA167" s="5">
        <f>INDEX(Projects[Client / Region],166)&amp;""</f>
        <v/>
      </c>
      <c r="CB167" s="5">
        <f>INDEX(Projects[Year],166)</f>
        <v/>
      </c>
      <c r="CC167" s="5">
        <f>INDEX(Projects[Won?],166)&amp;""</f>
        <v/>
      </c>
      <c r="CD167" s="5">
        <f>INDEX(Projects[Value (USD M)],166)</f>
        <v/>
      </c>
    </row>
    <row r="168" ht="15" customHeight="1" s="74">
      <c r="A168" s="66">
        <f>INDEX(Projects[Project ID *],167)&amp;""</f>
        <v/>
      </c>
      <c r="B168" s="66">
        <f>INDEX(Projects[Project Name *],167)&amp;""</f>
        <v/>
      </c>
      <c r="C168" s="66">
        <f>INDEX(Projects[MS Shuttles],167)</f>
        <v/>
      </c>
      <c r="D168" s="66">
        <f>INDEX(Projects[MS Tote Locations],167)</f>
        <v/>
      </c>
      <c r="E168" s="66">
        <f>INDEX(Projects[AS Robots],167)</f>
        <v/>
      </c>
      <c r="F168" s="66">
        <f>INDEX(Projects[AS Tote Locations],167)</f>
        <v/>
      </c>
      <c r="G168" s="66">
        <f>INDEX(Projects[PS Shuttles],167)</f>
        <v/>
      </c>
      <c r="H168" s="66">
        <f>INDEX(Projects[PS Pallet Locations],167)</f>
        <v/>
      </c>
      <c r="I168" s="66">
        <f>INDEX(Projects[SRM Cranes],167)</f>
        <v/>
      </c>
      <c r="J168" s="66">
        <f>INDEX(Projects[SRM Pallet Locations],167)</f>
        <v/>
      </c>
      <c r="K168" s="66">
        <f>INDEX(Projects[Case Conv (m)],167)</f>
        <v/>
      </c>
      <c r="L168" s="66">
        <f>INDEX(Projects[Pallet Conv (m)],167)</f>
        <v/>
      </c>
      <c r="M168" s="66">
        <f>INDEX(Projects[Mech Eng (wks)],167)</f>
        <v/>
      </c>
      <c r="N168" s="66">
        <f>INDEX(Projects[Controls Eng (wks)],167)</f>
        <v/>
      </c>
      <c r="O168" s="66">
        <f>INDEX(Projects[Systems Eng (wks)],167)</f>
        <v/>
      </c>
      <c r="P168" s="66">
        <f>INDEX(Projects[Software Eng (wks)],167)</f>
        <v/>
      </c>
      <c r="Q168" s="66">
        <f>INDEX(Projects[M&amp;E Installation (wks)],167)</f>
        <v/>
      </c>
      <c r="R168" s="66">
        <f>INDEX(Projects[Commissioning (wks)],167)</f>
        <v/>
      </c>
      <c r="S168" s="66">
        <f>INDEX(Projects[Total Timeline (wks)],167)</f>
        <v/>
      </c>
      <c r="T168" s="66">
        <f>INDEX(Projects[Currency],167)&amp;""</f>
        <v/>
      </c>
      <c r="U168" s="67">
        <f>INDEX(Projects[Value (M)],167)</f>
        <v/>
      </c>
      <c r="V168" s="66">
        <f>IF('Smart Search'!B13=1,IFERROR(1/'Smart Search'!H13,0),0)</f>
        <v/>
      </c>
      <c r="W168" s="66">
        <f>IF('Smart Search'!B13=1,IFERROR(1/'Smart Search'!H13,0),0)</f>
        <v/>
      </c>
      <c r="X168" s="66">
        <f>IF('Smart Search'!C13=1,IFERROR(1/'Smart Search'!H13,0),0)</f>
        <v/>
      </c>
      <c r="Y168" s="66">
        <f>IF('Smart Search'!C13=1,IFERROR(1/'Smart Search'!H13,0),0)</f>
        <v/>
      </c>
      <c r="Z168" s="66">
        <f>IF('Smart Search'!D13=1,IFERROR(1/'Smart Search'!H13,0),0)</f>
        <v/>
      </c>
      <c r="AA168" s="66">
        <f>IF('Smart Search'!D13=1,IFERROR(1/'Smart Search'!H13,0),0)</f>
        <v/>
      </c>
      <c r="AB168" s="66">
        <f>IF('Smart Search'!E13=1,IFERROR(1/'Smart Search'!H13,0),0)</f>
        <v/>
      </c>
      <c r="AC168" s="66">
        <f>IF('Smart Search'!E13=1,IFERROR(1/'Smart Search'!H13,0),0)</f>
        <v/>
      </c>
      <c r="AD168" s="66">
        <f>IF('Smart Search'!F13=1,IFERROR(1/'Smart Search'!H13,0),0)</f>
        <v/>
      </c>
      <c r="AE168" s="66">
        <f>IF('Smart Search'!F13=1,IFERROR(1/'Smart Search'!H13,0),0)</f>
        <v/>
      </c>
      <c r="AF168" s="66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66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66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66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66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66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66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66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66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66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66">
        <f>AF168*V168</f>
        <v/>
      </c>
      <c r="AQ168" s="66">
        <f>AG168*W168</f>
        <v/>
      </c>
      <c r="AR168" s="66">
        <f>AH168*X168</f>
        <v/>
      </c>
      <c r="AS168" s="66">
        <f>AI168*Y168</f>
        <v/>
      </c>
      <c r="AT168" s="66">
        <f>AJ168*Z168</f>
        <v/>
      </c>
      <c r="AU168" s="66">
        <f>AK168*AA168</f>
        <v/>
      </c>
      <c r="AV168" s="66">
        <f>AL168*AB168</f>
        <v/>
      </c>
      <c r="AW168" s="66">
        <f>AM168*AC168</f>
        <v/>
      </c>
      <c r="AX168" s="66">
        <f>AN168*AD168</f>
        <v/>
      </c>
      <c r="AY168" s="66">
        <f>AO168*AE168</f>
        <v/>
      </c>
      <c r="AZ168" s="66">
        <f>INDEX(Projects[Automation Equipment],167)&amp;""</f>
        <v/>
      </c>
      <c r="BA168" s="66">
        <f>IF(OR(A168="",'Smart Search'!H13=0),"",MAX(0,BE168*BF168*MAX(0,1-BG168)))</f>
        <v/>
      </c>
      <c r="BB168" s="66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66">
        <f>IF('Smart Search'!G13=1,IFERROR(1/'Smart Search'!H13,0),0)</f>
        <v/>
      </c>
      <c r="BD168" s="66">
        <f>BB168*BC168</f>
        <v/>
      </c>
      <c r="BE168" s="66">
        <f>AP168+AQ168+AR168+AS168+AT168+AU168+AV168+AW168+AX168+AY168+BD168</f>
        <v/>
      </c>
      <c r="BF168" s="5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5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5">
        <f>IF(AND(A168&lt;&gt;"",OR('Smart Search'!$L$5="",'Smart Search'!$L$5="All",TRIM(BZ168)=TRIM('Smart Search'!$L$5)),OR(TRIM('Smart Search'!$L$6)="",TRIM('Smart Search'!$L$6)="All",ISNUMBER(SEARCH(SUBSTITUTE(SUBSTITUTE(SUBSTITUTE(TRIM('Smart Search'!$L$6),"~","~~"),"*","~*"),"?","~?"),CA168))),OR('Smart Search'!$L$7="",AND(CB168&lt;&gt;0,CB168='Smart Search'!$L$7)),OR('Smart Search'!$L$8="",'Smart Search'!$L$8="All",TRIM(CC168)=TRIM('Smart Search'!$L$8))),IF(BA168="","",BA168+ROW()*0.0000000001),"")</f>
        <v/>
      </c>
      <c r="BI168" s="5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5">
        <f>IF(A168="","",N(INDEX(Projects[Mech Inst],167)))</f>
        <v/>
      </c>
      <c r="BK168" s="5">
        <f>IF(A168="","",N(INDEX(Projects[Elec Inst],167)))</f>
        <v/>
      </c>
      <c r="BL168" s="5">
        <f>IF(A168="","",N(INDEX(Projects[Project Management],167)))</f>
        <v/>
      </c>
      <c r="BM168" s="5">
        <f>IF(A168="","",N(INDEX(Projects[Systems Eng],167)))</f>
        <v/>
      </c>
      <c r="BN168" s="5">
        <f>IF(A168="","",N(INDEX(Projects[Mechanical Eng],167)))</f>
        <v/>
      </c>
      <c r="BO168" s="5">
        <f>IF(A168="","",N(INDEX(Projects[Structural Engineering],167)))</f>
        <v/>
      </c>
      <c r="BP168" s="5">
        <f>IF(A168="","",N(INDEX(Projects[Site Sup],167)))</f>
        <v/>
      </c>
      <c r="BQ168" s="5">
        <f>IF(A168="","",N(INDEX(Projects[Controls Commissioning],167)))</f>
        <v/>
      </c>
      <c r="BR168" s="5">
        <f>IF(A168="","",N(INDEX(Projects[Systems Commissioning],167)))</f>
        <v/>
      </c>
      <c r="BS168" s="5">
        <f>IF(A168="","",N(INDEX(Projects[Service Commissioning],167)))</f>
        <v/>
      </c>
      <c r="BT168" s="5">
        <f>IF(A168="","",N(INDEX(Projects[Controls Eng],167)))</f>
        <v/>
      </c>
      <c r="BU168" s="5">
        <f>IF(A168="","",N(INDEX(Projects[Controls Purchase],167)))</f>
        <v/>
      </c>
      <c r="BV168" s="5">
        <f>IF(A168="","",N(INDEX(Projects[Software Eng],167)))</f>
        <v/>
      </c>
      <c r="BW168" s="5">
        <f>IF(A168="","",N(INDEX(Projects[Misc],167)))</f>
        <v/>
      </c>
      <c r="BX168" s="5">
        <f>IF(A168="","",SUM(BJ168:BW168))</f>
        <v/>
      </c>
      <c r="BY168" s="5">
        <f>IF(A168="","",IFERROR(IF(ISNUMBER(U168),U168,VALUE(SUBSTITUTE(SUBSTITUTE(SUBSTITUTE(UPPER(TRIM(U168)),"M",""),",","")," ",""))),0))</f>
        <v/>
      </c>
      <c r="BZ168" s="5">
        <f>INDEX(Projects[Solution Type],167)&amp;""</f>
        <v/>
      </c>
      <c r="CA168" s="5">
        <f>INDEX(Projects[Client / Region],167)&amp;""</f>
        <v/>
      </c>
      <c r="CB168" s="5">
        <f>INDEX(Projects[Year],167)</f>
        <v/>
      </c>
      <c r="CC168" s="5">
        <f>INDEX(Projects[Won?],167)&amp;""</f>
        <v/>
      </c>
      <c r="CD168" s="5">
        <f>INDEX(Projects[Value (USD M)],167)</f>
        <v/>
      </c>
    </row>
    <row r="169" ht="15" customHeight="1" s="74">
      <c r="A169" s="66">
        <f>INDEX(Projects[Project ID *],168)&amp;""</f>
        <v/>
      </c>
      <c r="B169" s="66">
        <f>INDEX(Projects[Project Name *],168)&amp;""</f>
        <v/>
      </c>
      <c r="C169" s="66">
        <f>INDEX(Projects[MS Shuttles],168)</f>
        <v/>
      </c>
      <c r="D169" s="66">
        <f>INDEX(Projects[MS Tote Locations],168)</f>
        <v/>
      </c>
      <c r="E169" s="66">
        <f>INDEX(Projects[AS Robots],168)</f>
        <v/>
      </c>
      <c r="F169" s="66">
        <f>INDEX(Projects[AS Tote Locations],168)</f>
        <v/>
      </c>
      <c r="G169" s="66">
        <f>INDEX(Projects[PS Shuttles],168)</f>
        <v/>
      </c>
      <c r="H169" s="66">
        <f>INDEX(Projects[PS Pallet Locations],168)</f>
        <v/>
      </c>
      <c r="I169" s="66">
        <f>INDEX(Projects[SRM Cranes],168)</f>
        <v/>
      </c>
      <c r="J169" s="66">
        <f>INDEX(Projects[SRM Pallet Locations],168)</f>
        <v/>
      </c>
      <c r="K169" s="66">
        <f>INDEX(Projects[Case Conv (m)],168)</f>
        <v/>
      </c>
      <c r="L169" s="66">
        <f>INDEX(Projects[Pallet Conv (m)],168)</f>
        <v/>
      </c>
      <c r="M169" s="66">
        <f>INDEX(Projects[Mech Eng (wks)],168)</f>
        <v/>
      </c>
      <c r="N169" s="66">
        <f>INDEX(Projects[Controls Eng (wks)],168)</f>
        <v/>
      </c>
      <c r="O169" s="66">
        <f>INDEX(Projects[Systems Eng (wks)],168)</f>
        <v/>
      </c>
      <c r="P169" s="66">
        <f>INDEX(Projects[Software Eng (wks)],168)</f>
        <v/>
      </c>
      <c r="Q169" s="66">
        <f>INDEX(Projects[M&amp;E Installation (wks)],168)</f>
        <v/>
      </c>
      <c r="R169" s="66">
        <f>INDEX(Projects[Commissioning (wks)],168)</f>
        <v/>
      </c>
      <c r="S169" s="66">
        <f>INDEX(Projects[Total Timeline (wks)],168)</f>
        <v/>
      </c>
      <c r="T169" s="66">
        <f>INDEX(Projects[Currency],168)&amp;""</f>
        <v/>
      </c>
      <c r="U169" s="67">
        <f>INDEX(Projects[Value (M)],168)</f>
        <v/>
      </c>
      <c r="V169" s="66">
        <f>IF('Smart Search'!B13=1,IFERROR(1/'Smart Search'!H13,0),0)</f>
        <v/>
      </c>
      <c r="W169" s="66">
        <f>IF('Smart Search'!B13=1,IFERROR(1/'Smart Search'!H13,0),0)</f>
        <v/>
      </c>
      <c r="X169" s="66">
        <f>IF('Smart Search'!C13=1,IFERROR(1/'Smart Search'!H13,0),0)</f>
        <v/>
      </c>
      <c r="Y169" s="66">
        <f>IF('Smart Search'!C13=1,IFERROR(1/'Smart Search'!H13,0),0)</f>
        <v/>
      </c>
      <c r="Z169" s="66">
        <f>IF('Smart Search'!D13=1,IFERROR(1/'Smart Search'!H13,0),0)</f>
        <v/>
      </c>
      <c r="AA169" s="66">
        <f>IF('Smart Search'!D13=1,IFERROR(1/'Smart Search'!H13,0),0)</f>
        <v/>
      </c>
      <c r="AB169" s="66">
        <f>IF('Smart Search'!E13=1,IFERROR(1/'Smart Search'!H13,0),0)</f>
        <v/>
      </c>
      <c r="AC169" s="66">
        <f>IF('Smart Search'!E13=1,IFERROR(1/'Smart Search'!H13,0),0)</f>
        <v/>
      </c>
      <c r="AD169" s="66">
        <f>IF('Smart Search'!F13=1,IFERROR(1/'Smart Search'!H13,0),0)</f>
        <v/>
      </c>
      <c r="AE169" s="66">
        <f>IF('Smart Search'!F13=1,IFERROR(1/'Smart Search'!H13,0),0)</f>
        <v/>
      </c>
      <c r="AF169" s="66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66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66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66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66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66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66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66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66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66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66">
        <f>AF169*V169</f>
        <v/>
      </c>
      <c r="AQ169" s="66">
        <f>AG169*W169</f>
        <v/>
      </c>
      <c r="AR169" s="66">
        <f>AH169*X169</f>
        <v/>
      </c>
      <c r="AS169" s="66">
        <f>AI169*Y169</f>
        <v/>
      </c>
      <c r="AT169" s="66">
        <f>AJ169*Z169</f>
        <v/>
      </c>
      <c r="AU169" s="66">
        <f>AK169*AA169</f>
        <v/>
      </c>
      <c r="AV169" s="66">
        <f>AL169*AB169</f>
        <v/>
      </c>
      <c r="AW169" s="66">
        <f>AM169*AC169</f>
        <v/>
      </c>
      <c r="AX169" s="66">
        <f>AN169*AD169</f>
        <v/>
      </c>
      <c r="AY169" s="66">
        <f>AO169*AE169</f>
        <v/>
      </c>
      <c r="AZ169" s="66">
        <f>INDEX(Projects[Automation Equipment],168)&amp;""</f>
        <v/>
      </c>
      <c r="BA169" s="66">
        <f>IF(OR(A169="",'Smart Search'!H13=0),"",MAX(0,BE169*BF169*MAX(0,1-BG169)))</f>
        <v/>
      </c>
      <c r="BB169" s="66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66">
        <f>IF('Smart Search'!G13=1,IFERROR(1/'Smart Search'!H13,0),0)</f>
        <v/>
      </c>
      <c r="BD169" s="66">
        <f>BB169*BC169</f>
        <v/>
      </c>
      <c r="BE169" s="66">
        <f>AP169+AQ169+AR169+AS169+AT169+AU169+AV169+AW169+AX169+AY169+BD169</f>
        <v/>
      </c>
      <c r="BF169" s="5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5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5">
        <f>IF(AND(A169&lt;&gt;"",OR('Smart Search'!$L$5="",'Smart Search'!$L$5="All",TRIM(BZ169)=TRIM('Smart Search'!$L$5)),OR(TRIM('Smart Search'!$L$6)="",TRIM('Smart Search'!$L$6)="All",ISNUMBER(SEARCH(SUBSTITUTE(SUBSTITUTE(SUBSTITUTE(TRIM('Smart Search'!$L$6),"~","~~"),"*","~*"),"?","~?"),CA169))),OR('Smart Search'!$L$7="",AND(CB169&lt;&gt;0,CB169='Smart Search'!$L$7)),OR('Smart Search'!$L$8="",'Smart Search'!$L$8="All",TRIM(CC169)=TRIM('Smart Search'!$L$8))),IF(BA169="","",BA169+ROW()*0.0000000001),"")</f>
        <v/>
      </c>
      <c r="BI169" s="5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5">
        <f>IF(A169="","",N(INDEX(Projects[Mech Inst],168)))</f>
        <v/>
      </c>
      <c r="BK169" s="5">
        <f>IF(A169="","",N(INDEX(Projects[Elec Inst],168)))</f>
        <v/>
      </c>
      <c r="BL169" s="5">
        <f>IF(A169="","",N(INDEX(Projects[Project Management],168)))</f>
        <v/>
      </c>
      <c r="BM169" s="5">
        <f>IF(A169="","",N(INDEX(Projects[Systems Eng],168)))</f>
        <v/>
      </c>
      <c r="BN169" s="5">
        <f>IF(A169="","",N(INDEX(Projects[Mechanical Eng],168)))</f>
        <v/>
      </c>
      <c r="BO169" s="5">
        <f>IF(A169="","",N(INDEX(Projects[Structural Engineering],168)))</f>
        <v/>
      </c>
      <c r="BP169" s="5">
        <f>IF(A169="","",N(INDEX(Projects[Site Sup],168)))</f>
        <v/>
      </c>
      <c r="BQ169" s="5">
        <f>IF(A169="","",N(INDEX(Projects[Controls Commissioning],168)))</f>
        <v/>
      </c>
      <c r="BR169" s="5">
        <f>IF(A169="","",N(INDEX(Projects[Systems Commissioning],168)))</f>
        <v/>
      </c>
      <c r="BS169" s="5">
        <f>IF(A169="","",N(INDEX(Projects[Service Commissioning],168)))</f>
        <v/>
      </c>
      <c r="BT169" s="5">
        <f>IF(A169="","",N(INDEX(Projects[Controls Eng],168)))</f>
        <v/>
      </c>
      <c r="BU169" s="5">
        <f>IF(A169="","",N(INDEX(Projects[Controls Purchase],168)))</f>
        <v/>
      </c>
      <c r="BV169" s="5">
        <f>IF(A169="","",N(INDEX(Projects[Software Eng],168)))</f>
        <v/>
      </c>
      <c r="BW169" s="5">
        <f>IF(A169="","",N(INDEX(Projects[Misc],168)))</f>
        <v/>
      </c>
      <c r="BX169" s="5">
        <f>IF(A169="","",SUM(BJ169:BW169))</f>
        <v/>
      </c>
      <c r="BY169" s="5">
        <f>IF(A169="","",IFERROR(IF(ISNUMBER(U169),U169,VALUE(SUBSTITUTE(SUBSTITUTE(SUBSTITUTE(UPPER(TRIM(U169)),"M",""),",","")," ",""))),0))</f>
        <v/>
      </c>
      <c r="BZ169" s="5">
        <f>INDEX(Projects[Solution Type],168)&amp;""</f>
        <v/>
      </c>
      <c r="CA169" s="5">
        <f>INDEX(Projects[Client / Region],168)&amp;""</f>
        <v/>
      </c>
      <c r="CB169" s="5">
        <f>INDEX(Projects[Year],168)</f>
        <v/>
      </c>
      <c r="CC169" s="5">
        <f>INDEX(Projects[Won?],168)&amp;""</f>
        <v/>
      </c>
      <c r="CD169" s="5">
        <f>INDEX(Projects[Value (USD M)],168)</f>
        <v/>
      </c>
    </row>
    <row r="170" ht="15" customHeight="1" s="74">
      <c r="A170" s="66">
        <f>INDEX(Projects[Project ID *],169)&amp;""</f>
        <v/>
      </c>
      <c r="B170" s="66">
        <f>INDEX(Projects[Project Name *],169)&amp;""</f>
        <v/>
      </c>
      <c r="C170" s="66">
        <f>INDEX(Projects[MS Shuttles],169)</f>
        <v/>
      </c>
      <c r="D170" s="66">
        <f>INDEX(Projects[MS Tote Locations],169)</f>
        <v/>
      </c>
      <c r="E170" s="66">
        <f>INDEX(Projects[AS Robots],169)</f>
        <v/>
      </c>
      <c r="F170" s="66">
        <f>INDEX(Projects[AS Tote Locations],169)</f>
        <v/>
      </c>
      <c r="G170" s="66">
        <f>INDEX(Projects[PS Shuttles],169)</f>
        <v/>
      </c>
      <c r="H170" s="66">
        <f>INDEX(Projects[PS Pallet Locations],169)</f>
        <v/>
      </c>
      <c r="I170" s="66">
        <f>INDEX(Projects[SRM Cranes],169)</f>
        <v/>
      </c>
      <c r="J170" s="66">
        <f>INDEX(Projects[SRM Pallet Locations],169)</f>
        <v/>
      </c>
      <c r="K170" s="66">
        <f>INDEX(Projects[Case Conv (m)],169)</f>
        <v/>
      </c>
      <c r="L170" s="66">
        <f>INDEX(Projects[Pallet Conv (m)],169)</f>
        <v/>
      </c>
      <c r="M170" s="66">
        <f>INDEX(Projects[Mech Eng (wks)],169)</f>
        <v/>
      </c>
      <c r="N170" s="66">
        <f>INDEX(Projects[Controls Eng (wks)],169)</f>
        <v/>
      </c>
      <c r="O170" s="66">
        <f>INDEX(Projects[Systems Eng (wks)],169)</f>
        <v/>
      </c>
      <c r="P170" s="66">
        <f>INDEX(Projects[Software Eng (wks)],169)</f>
        <v/>
      </c>
      <c r="Q170" s="66">
        <f>INDEX(Projects[M&amp;E Installation (wks)],169)</f>
        <v/>
      </c>
      <c r="R170" s="66">
        <f>INDEX(Projects[Commissioning (wks)],169)</f>
        <v/>
      </c>
      <c r="S170" s="66">
        <f>INDEX(Projects[Total Timeline (wks)],169)</f>
        <v/>
      </c>
      <c r="T170" s="66">
        <f>INDEX(Projects[Currency],169)&amp;""</f>
        <v/>
      </c>
      <c r="U170" s="67">
        <f>INDEX(Projects[Value (M)],169)</f>
        <v/>
      </c>
      <c r="V170" s="66">
        <f>IF('Smart Search'!B13=1,IFERROR(1/'Smart Search'!H13,0),0)</f>
        <v/>
      </c>
      <c r="W170" s="66">
        <f>IF('Smart Search'!B13=1,IFERROR(1/'Smart Search'!H13,0),0)</f>
        <v/>
      </c>
      <c r="X170" s="66">
        <f>IF('Smart Search'!C13=1,IFERROR(1/'Smart Search'!H13,0),0)</f>
        <v/>
      </c>
      <c r="Y170" s="66">
        <f>IF('Smart Search'!C13=1,IFERROR(1/'Smart Search'!H13,0),0)</f>
        <v/>
      </c>
      <c r="Z170" s="66">
        <f>IF('Smart Search'!D13=1,IFERROR(1/'Smart Search'!H13,0),0)</f>
        <v/>
      </c>
      <c r="AA170" s="66">
        <f>IF('Smart Search'!D13=1,IFERROR(1/'Smart Search'!H13,0),0)</f>
        <v/>
      </c>
      <c r="AB170" s="66">
        <f>IF('Smart Search'!E13=1,IFERROR(1/'Smart Search'!H13,0),0)</f>
        <v/>
      </c>
      <c r="AC170" s="66">
        <f>IF('Smart Search'!E13=1,IFERROR(1/'Smart Search'!H13,0),0)</f>
        <v/>
      </c>
      <c r="AD170" s="66">
        <f>IF('Smart Search'!F13=1,IFERROR(1/'Smart Search'!H13,0),0)</f>
        <v/>
      </c>
      <c r="AE170" s="66">
        <f>IF('Smart Search'!F13=1,IFERROR(1/'Smart Search'!H13,0),0)</f>
        <v/>
      </c>
      <c r="AF170" s="66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66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66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66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66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66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66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66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66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66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66">
        <f>AF170*V170</f>
        <v/>
      </c>
      <c r="AQ170" s="66">
        <f>AG170*W170</f>
        <v/>
      </c>
      <c r="AR170" s="66">
        <f>AH170*X170</f>
        <v/>
      </c>
      <c r="AS170" s="66">
        <f>AI170*Y170</f>
        <v/>
      </c>
      <c r="AT170" s="66">
        <f>AJ170*Z170</f>
        <v/>
      </c>
      <c r="AU170" s="66">
        <f>AK170*AA170</f>
        <v/>
      </c>
      <c r="AV170" s="66">
        <f>AL170*AB170</f>
        <v/>
      </c>
      <c r="AW170" s="66">
        <f>AM170*AC170</f>
        <v/>
      </c>
      <c r="AX170" s="66">
        <f>AN170*AD170</f>
        <v/>
      </c>
      <c r="AY170" s="66">
        <f>AO170*AE170</f>
        <v/>
      </c>
      <c r="AZ170" s="66">
        <f>INDEX(Projects[Automation Equipment],169)&amp;""</f>
        <v/>
      </c>
      <c r="BA170" s="66">
        <f>IF(OR(A170="",'Smart Search'!H13=0),"",MAX(0,BE170*BF170*MAX(0,1-BG170)))</f>
        <v/>
      </c>
      <c r="BB170" s="66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66">
        <f>IF('Smart Search'!G13=1,IFERROR(1/'Smart Search'!H13,0),0)</f>
        <v/>
      </c>
      <c r="BD170" s="66">
        <f>BB170*BC170</f>
        <v/>
      </c>
      <c r="BE170" s="66">
        <f>AP170+AQ170+AR170+AS170+AT170+AU170+AV170+AW170+AX170+AY170+BD170</f>
        <v/>
      </c>
      <c r="BF170" s="5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5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5">
        <f>IF(AND(A170&lt;&gt;"",OR('Smart Search'!$L$5="",'Smart Search'!$L$5="All",TRIM(BZ170)=TRIM('Smart Search'!$L$5)),OR(TRIM('Smart Search'!$L$6)="",TRIM('Smart Search'!$L$6)="All",ISNUMBER(SEARCH(SUBSTITUTE(SUBSTITUTE(SUBSTITUTE(TRIM('Smart Search'!$L$6),"~","~~"),"*","~*"),"?","~?"),CA170))),OR('Smart Search'!$L$7="",AND(CB170&lt;&gt;0,CB170='Smart Search'!$L$7)),OR('Smart Search'!$L$8="",'Smart Search'!$L$8="All",TRIM(CC170)=TRIM('Smart Search'!$L$8))),IF(BA170="","",BA170+ROW()*0.0000000001),"")</f>
        <v/>
      </c>
      <c r="BI170" s="5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5">
        <f>IF(A170="","",N(INDEX(Projects[Mech Inst],169)))</f>
        <v/>
      </c>
      <c r="BK170" s="5">
        <f>IF(A170="","",N(INDEX(Projects[Elec Inst],169)))</f>
        <v/>
      </c>
      <c r="BL170" s="5">
        <f>IF(A170="","",N(INDEX(Projects[Project Management],169)))</f>
        <v/>
      </c>
      <c r="BM170" s="5">
        <f>IF(A170="","",N(INDEX(Projects[Systems Eng],169)))</f>
        <v/>
      </c>
      <c r="BN170" s="5">
        <f>IF(A170="","",N(INDEX(Projects[Mechanical Eng],169)))</f>
        <v/>
      </c>
      <c r="BO170" s="5">
        <f>IF(A170="","",N(INDEX(Projects[Structural Engineering],169)))</f>
        <v/>
      </c>
      <c r="BP170" s="5">
        <f>IF(A170="","",N(INDEX(Projects[Site Sup],169)))</f>
        <v/>
      </c>
      <c r="BQ170" s="5">
        <f>IF(A170="","",N(INDEX(Projects[Controls Commissioning],169)))</f>
        <v/>
      </c>
      <c r="BR170" s="5">
        <f>IF(A170="","",N(INDEX(Projects[Systems Commissioning],169)))</f>
        <v/>
      </c>
      <c r="BS170" s="5">
        <f>IF(A170="","",N(INDEX(Projects[Service Commissioning],169)))</f>
        <v/>
      </c>
      <c r="BT170" s="5">
        <f>IF(A170="","",N(INDEX(Projects[Controls Eng],169)))</f>
        <v/>
      </c>
      <c r="BU170" s="5">
        <f>IF(A170="","",N(INDEX(Projects[Controls Purchase],169)))</f>
        <v/>
      </c>
      <c r="BV170" s="5">
        <f>IF(A170="","",N(INDEX(Projects[Software Eng],169)))</f>
        <v/>
      </c>
      <c r="BW170" s="5">
        <f>IF(A170="","",N(INDEX(Projects[Misc],169)))</f>
        <v/>
      </c>
      <c r="BX170" s="5">
        <f>IF(A170="","",SUM(BJ170:BW170))</f>
        <v/>
      </c>
      <c r="BY170" s="5">
        <f>IF(A170="","",IFERROR(IF(ISNUMBER(U170),U170,VALUE(SUBSTITUTE(SUBSTITUTE(SUBSTITUTE(UPPER(TRIM(U170)),"M",""),",","")," ",""))),0))</f>
        <v/>
      </c>
      <c r="BZ170" s="5">
        <f>INDEX(Projects[Solution Type],169)&amp;""</f>
        <v/>
      </c>
      <c r="CA170" s="5">
        <f>INDEX(Projects[Client / Region],169)&amp;""</f>
        <v/>
      </c>
      <c r="CB170" s="5">
        <f>INDEX(Projects[Year],169)</f>
        <v/>
      </c>
      <c r="CC170" s="5">
        <f>INDEX(Projects[Won?],169)&amp;""</f>
        <v/>
      </c>
      <c r="CD170" s="5">
        <f>INDEX(Projects[Value (USD M)],169)</f>
        <v/>
      </c>
    </row>
    <row r="171" ht="15" customHeight="1" s="74">
      <c r="A171" s="66">
        <f>INDEX(Projects[Project ID *],170)&amp;""</f>
        <v/>
      </c>
      <c r="B171" s="66">
        <f>INDEX(Projects[Project Name *],170)&amp;""</f>
        <v/>
      </c>
      <c r="C171" s="66">
        <f>INDEX(Projects[MS Shuttles],170)</f>
        <v/>
      </c>
      <c r="D171" s="66">
        <f>INDEX(Projects[MS Tote Locations],170)</f>
        <v/>
      </c>
      <c r="E171" s="66">
        <f>INDEX(Projects[AS Robots],170)</f>
        <v/>
      </c>
      <c r="F171" s="66">
        <f>INDEX(Projects[AS Tote Locations],170)</f>
        <v/>
      </c>
      <c r="G171" s="66">
        <f>INDEX(Projects[PS Shuttles],170)</f>
        <v/>
      </c>
      <c r="H171" s="66">
        <f>INDEX(Projects[PS Pallet Locations],170)</f>
        <v/>
      </c>
      <c r="I171" s="66">
        <f>INDEX(Projects[SRM Cranes],170)</f>
        <v/>
      </c>
      <c r="J171" s="66">
        <f>INDEX(Projects[SRM Pallet Locations],170)</f>
        <v/>
      </c>
      <c r="K171" s="66">
        <f>INDEX(Projects[Case Conv (m)],170)</f>
        <v/>
      </c>
      <c r="L171" s="66">
        <f>INDEX(Projects[Pallet Conv (m)],170)</f>
        <v/>
      </c>
      <c r="M171" s="66">
        <f>INDEX(Projects[Mech Eng (wks)],170)</f>
        <v/>
      </c>
      <c r="N171" s="66">
        <f>INDEX(Projects[Controls Eng (wks)],170)</f>
        <v/>
      </c>
      <c r="O171" s="66">
        <f>INDEX(Projects[Systems Eng (wks)],170)</f>
        <v/>
      </c>
      <c r="P171" s="66">
        <f>INDEX(Projects[Software Eng (wks)],170)</f>
        <v/>
      </c>
      <c r="Q171" s="66">
        <f>INDEX(Projects[M&amp;E Installation (wks)],170)</f>
        <v/>
      </c>
      <c r="R171" s="66">
        <f>INDEX(Projects[Commissioning (wks)],170)</f>
        <v/>
      </c>
      <c r="S171" s="66">
        <f>INDEX(Projects[Total Timeline (wks)],170)</f>
        <v/>
      </c>
      <c r="T171" s="66">
        <f>INDEX(Projects[Currency],170)&amp;""</f>
        <v/>
      </c>
      <c r="U171" s="67">
        <f>INDEX(Projects[Value (M)],170)</f>
        <v/>
      </c>
      <c r="V171" s="66">
        <f>IF('Smart Search'!B13=1,IFERROR(1/'Smart Search'!H13,0),0)</f>
        <v/>
      </c>
      <c r="W171" s="66">
        <f>IF('Smart Search'!B13=1,IFERROR(1/'Smart Search'!H13,0),0)</f>
        <v/>
      </c>
      <c r="X171" s="66">
        <f>IF('Smart Search'!C13=1,IFERROR(1/'Smart Search'!H13,0),0)</f>
        <v/>
      </c>
      <c r="Y171" s="66">
        <f>IF('Smart Search'!C13=1,IFERROR(1/'Smart Search'!H13,0),0)</f>
        <v/>
      </c>
      <c r="Z171" s="66">
        <f>IF('Smart Search'!D13=1,IFERROR(1/'Smart Search'!H13,0),0)</f>
        <v/>
      </c>
      <c r="AA171" s="66">
        <f>IF('Smart Search'!D13=1,IFERROR(1/'Smart Search'!H13,0),0)</f>
        <v/>
      </c>
      <c r="AB171" s="66">
        <f>IF('Smart Search'!E13=1,IFERROR(1/'Smart Search'!H13,0),0)</f>
        <v/>
      </c>
      <c r="AC171" s="66">
        <f>IF('Smart Search'!E13=1,IFERROR(1/'Smart Search'!H13,0),0)</f>
        <v/>
      </c>
      <c r="AD171" s="66">
        <f>IF('Smart Search'!F13=1,IFERROR(1/'Smart Search'!H13,0),0)</f>
        <v/>
      </c>
      <c r="AE171" s="66">
        <f>IF('Smart Search'!F13=1,IFERROR(1/'Smart Search'!H13,0),0)</f>
        <v/>
      </c>
      <c r="AF171" s="66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66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66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66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66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66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66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66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66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66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66">
        <f>AF171*V171</f>
        <v/>
      </c>
      <c r="AQ171" s="66">
        <f>AG171*W171</f>
        <v/>
      </c>
      <c r="AR171" s="66">
        <f>AH171*X171</f>
        <v/>
      </c>
      <c r="AS171" s="66">
        <f>AI171*Y171</f>
        <v/>
      </c>
      <c r="AT171" s="66">
        <f>AJ171*Z171</f>
        <v/>
      </c>
      <c r="AU171" s="66">
        <f>AK171*AA171</f>
        <v/>
      </c>
      <c r="AV171" s="66">
        <f>AL171*AB171</f>
        <v/>
      </c>
      <c r="AW171" s="66">
        <f>AM171*AC171</f>
        <v/>
      </c>
      <c r="AX171" s="66">
        <f>AN171*AD171</f>
        <v/>
      </c>
      <c r="AY171" s="66">
        <f>AO171*AE171</f>
        <v/>
      </c>
      <c r="AZ171" s="66">
        <f>INDEX(Projects[Automation Equipment],170)&amp;""</f>
        <v/>
      </c>
      <c r="BA171" s="66">
        <f>IF(OR(A171="",'Smart Search'!H13=0),"",MAX(0,BE171*BF171*MAX(0,1-BG171)))</f>
        <v/>
      </c>
      <c r="BB171" s="66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66">
        <f>IF('Smart Search'!G13=1,IFERROR(1/'Smart Search'!H13,0),0)</f>
        <v/>
      </c>
      <c r="BD171" s="66">
        <f>BB171*BC171</f>
        <v/>
      </c>
      <c r="BE171" s="66">
        <f>AP171+AQ171+AR171+AS171+AT171+AU171+AV171+AW171+AX171+AY171+BD171</f>
        <v/>
      </c>
      <c r="BF171" s="5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5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5">
        <f>IF(AND(A171&lt;&gt;"",OR('Smart Search'!$L$5="",'Smart Search'!$L$5="All",TRIM(BZ171)=TRIM('Smart Search'!$L$5)),OR(TRIM('Smart Search'!$L$6)="",TRIM('Smart Search'!$L$6)="All",ISNUMBER(SEARCH(SUBSTITUTE(SUBSTITUTE(SUBSTITUTE(TRIM('Smart Search'!$L$6),"~","~~"),"*","~*"),"?","~?"),CA171))),OR('Smart Search'!$L$7="",AND(CB171&lt;&gt;0,CB171='Smart Search'!$L$7)),OR('Smart Search'!$L$8="",'Smart Search'!$L$8="All",TRIM(CC171)=TRIM('Smart Search'!$L$8))),IF(BA171="","",BA171+ROW()*0.0000000001),"")</f>
        <v/>
      </c>
      <c r="BI171" s="5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5">
        <f>IF(A171="","",N(INDEX(Projects[Mech Inst],170)))</f>
        <v/>
      </c>
      <c r="BK171" s="5">
        <f>IF(A171="","",N(INDEX(Projects[Elec Inst],170)))</f>
        <v/>
      </c>
      <c r="BL171" s="5">
        <f>IF(A171="","",N(INDEX(Projects[Project Management],170)))</f>
        <v/>
      </c>
      <c r="BM171" s="5">
        <f>IF(A171="","",N(INDEX(Projects[Systems Eng],170)))</f>
        <v/>
      </c>
      <c r="BN171" s="5">
        <f>IF(A171="","",N(INDEX(Projects[Mechanical Eng],170)))</f>
        <v/>
      </c>
      <c r="BO171" s="5">
        <f>IF(A171="","",N(INDEX(Projects[Structural Engineering],170)))</f>
        <v/>
      </c>
      <c r="BP171" s="5">
        <f>IF(A171="","",N(INDEX(Projects[Site Sup],170)))</f>
        <v/>
      </c>
      <c r="BQ171" s="5">
        <f>IF(A171="","",N(INDEX(Projects[Controls Commissioning],170)))</f>
        <v/>
      </c>
      <c r="BR171" s="5">
        <f>IF(A171="","",N(INDEX(Projects[Systems Commissioning],170)))</f>
        <v/>
      </c>
      <c r="BS171" s="5">
        <f>IF(A171="","",N(INDEX(Projects[Service Commissioning],170)))</f>
        <v/>
      </c>
      <c r="BT171" s="5">
        <f>IF(A171="","",N(INDEX(Projects[Controls Eng],170)))</f>
        <v/>
      </c>
      <c r="BU171" s="5">
        <f>IF(A171="","",N(INDEX(Projects[Controls Purchase],170)))</f>
        <v/>
      </c>
      <c r="BV171" s="5">
        <f>IF(A171="","",N(INDEX(Projects[Software Eng],170)))</f>
        <v/>
      </c>
      <c r="BW171" s="5">
        <f>IF(A171="","",N(INDEX(Projects[Misc],170)))</f>
        <v/>
      </c>
      <c r="BX171" s="5">
        <f>IF(A171="","",SUM(BJ171:BW171))</f>
        <v/>
      </c>
      <c r="BY171" s="5">
        <f>IF(A171="","",IFERROR(IF(ISNUMBER(U171),U171,VALUE(SUBSTITUTE(SUBSTITUTE(SUBSTITUTE(UPPER(TRIM(U171)),"M",""),",","")," ",""))),0))</f>
        <v/>
      </c>
      <c r="BZ171" s="5">
        <f>INDEX(Projects[Solution Type],170)&amp;""</f>
        <v/>
      </c>
      <c r="CA171" s="5">
        <f>INDEX(Projects[Client / Region],170)&amp;""</f>
        <v/>
      </c>
      <c r="CB171" s="5">
        <f>INDEX(Projects[Year],170)</f>
        <v/>
      </c>
      <c r="CC171" s="5">
        <f>INDEX(Projects[Won?],170)&amp;""</f>
        <v/>
      </c>
      <c r="CD171" s="5">
        <f>INDEX(Projects[Value (USD M)],170)</f>
        <v/>
      </c>
    </row>
    <row r="172" ht="15" customHeight="1" s="74">
      <c r="A172" s="66">
        <f>INDEX(Projects[Project ID *],171)&amp;""</f>
        <v/>
      </c>
      <c r="B172" s="66">
        <f>INDEX(Projects[Project Name *],171)&amp;""</f>
        <v/>
      </c>
      <c r="C172" s="66">
        <f>INDEX(Projects[MS Shuttles],171)</f>
        <v/>
      </c>
      <c r="D172" s="66">
        <f>INDEX(Projects[MS Tote Locations],171)</f>
        <v/>
      </c>
      <c r="E172" s="66">
        <f>INDEX(Projects[AS Robots],171)</f>
        <v/>
      </c>
      <c r="F172" s="66">
        <f>INDEX(Projects[AS Tote Locations],171)</f>
        <v/>
      </c>
      <c r="G172" s="66">
        <f>INDEX(Projects[PS Shuttles],171)</f>
        <v/>
      </c>
      <c r="H172" s="66">
        <f>INDEX(Projects[PS Pallet Locations],171)</f>
        <v/>
      </c>
      <c r="I172" s="66">
        <f>INDEX(Projects[SRM Cranes],171)</f>
        <v/>
      </c>
      <c r="J172" s="66">
        <f>INDEX(Projects[SRM Pallet Locations],171)</f>
        <v/>
      </c>
      <c r="K172" s="66">
        <f>INDEX(Projects[Case Conv (m)],171)</f>
        <v/>
      </c>
      <c r="L172" s="66">
        <f>INDEX(Projects[Pallet Conv (m)],171)</f>
        <v/>
      </c>
      <c r="M172" s="66">
        <f>INDEX(Projects[Mech Eng (wks)],171)</f>
        <v/>
      </c>
      <c r="N172" s="66">
        <f>INDEX(Projects[Controls Eng (wks)],171)</f>
        <v/>
      </c>
      <c r="O172" s="66">
        <f>INDEX(Projects[Systems Eng (wks)],171)</f>
        <v/>
      </c>
      <c r="P172" s="66">
        <f>INDEX(Projects[Software Eng (wks)],171)</f>
        <v/>
      </c>
      <c r="Q172" s="66">
        <f>INDEX(Projects[M&amp;E Installation (wks)],171)</f>
        <v/>
      </c>
      <c r="R172" s="66">
        <f>INDEX(Projects[Commissioning (wks)],171)</f>
        <v/>
      </c>
      <c r="S172" s="66">
        <f>INDEX(Projects[Total Timeline (wks)],171)</f>
        <v/>
      </c>
      <c r="T172" s="66">
        <f>INDEX(Projects[Currency],171)&amp;""</f>
        <v/>
      </c>
      <c r="U172" s="67">
        <f>INDEX(Projects[Value (M)],171)</f>
        <v/>
      </c>
      <c r="V172" s="66">
        <f>IF('Smart Search'!B13=1,IFERROR(1/'Smart Search'!H13,0),0)</f>
        <v/>
      </c>
      <c r="W172" s="66">
        <f>IF('Smart Search'!B13=1,IFERROR(1/'Smart Search'!H13,0),0)</f>
        <v/>
      </c>
      <c r="X172" s="66">
        <f>IF('Smart Search'!C13=1,IFERROR(1/'Smart Search'!H13,0),0)</f>
        <v/>
      </c>
      <c r="Y172" s="66">
        <f>IF('Smart Search'!C13=1,IFERROR(1/'Smart Search'!H13,0),0)</f>
        <v/>
      </c>
      <c r="Z172" s="66">
        <f>IF('Smart Search'!D13=1,IFERROR(1/'Smart Search'!H13,0),0)</f>
        <v/>
      </c>
      <c r="AA172" s="66">
        <f>IF('Smart Search'!D13=1,IFERROR(1/'Smart Search'!H13,0),0)</f>
        <v/>
      </c>
      <c r="AB172" s="66">
        <f>IF('Smart Search'!E13=1,IFERROR(1/'Smart Search'!H13,0),0)</f>
        <v/>
      </c>
      <c r="AC172" s="66">
        <f>IF('Smart Search'!E13=1,IFERROR(1/'Smart Search'!H13,0),0)</f>
        <v/>
      </c>
      <c r="AD172" s="66">
        <f>IF('Smart Search'!F13=1,IFERROR(1/'Smart Search'!H13,0),0)</f>
        <v/>
      </c>
      <c r="AE172" s="66">
        <f>IF('Smart Search'!F13=1,IFERROR(1/'Smart Search'!H13,0),0)</f>
        <v/>
      </c>
      <c r="AF172" s="66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66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66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66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66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66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66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66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66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66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66">
        <f>AF172*V172</f>
        <v/>
      </c>
      <c r="AQ172" s="66">
        <f>AG172*W172</f>
        <v/>
      </c>
      <c r="AR172" s="66">
        <f>AH172*X172</f>
        <v/>
      </c>
      <c r="AS172" s="66">
        <f>AI172*Y172</f>
        <v/>
      </c>
      <c r="AT172" s="66">
        <f>AJ172*Z172</f>
        <v/>
      </c>
      <c r="AU172" s="66">
        <f>AK172*AA172</f>
        <v/>
      </c>
      <c r="AV172" s="66">
        <f>AL172*AB172</f>
        <v/>
      </c>
      <c r="AW172" s="66">
        <f>AM172*AC172</f>
        <v/>
      </c>
      <c r="AX172" s="66">
        <f>AN172*AD172</f>
        <v/>
      </c>
      <c r="AY172" s="66">
        <f>AO172*AE172</f>
        <v/>
      </c>
      <c r="AZ172" s="66">
        <f>INDEX(Projects[Automation Equipment],171)&amp;""</f>
        <v/>
      </c>
      <c r="BA172" s="66">
        <f>IF(OR(A172="",'Smart Search'!H13=0),"",MAX(0,BE172*BF172*MAX(0,1-BG172)))</f>
        <v/>
      </c>
      <c r="BB172" s="66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66">
        <f>IF('Smart Search'!G13=1,IFERROR(1/'Smart Search'!H13,0),0)</f>
        <v/>
      </c>
      <c r="BD172" s="66">
        <f>BB172*BC172</f>
        <v/>
      </c>
      <c r="BE172" s="66">
        <f>AP172+AQ172+AR172+AS172+AT172+AU172+AV172+AW172+AX172+AY172+BD172</f>
        <v/>
      </c>
      <c r="BF172" s="5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5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5">
        <f>IF(AND(A172&lt;&gt;"",OR('Smart Search'!$L$5="",'Smart Search'!$L$5="All",TRIM(BZ172)=TRIM('Smart Search'!$L$5)),OR(TRIM('Smart Search'!$L$6)="",TRIM('Smart Search'!$L$6)="All",ISNUMBER(SEARCH(SUBSTITUTE(SUBSTITUTE(SUBSTITUTE(TRIM('Smart Search'!$L$6),"~","~~"),"*","~*"),"?","~?"),CA172))),OR('Smart Search'!$L$7="",AND(CB172&lt;&gt;0,CB172='Smart Search'!$L$7)),OR('Smart Search'!$L$8="",'Smart Search'!$L$8="All",TRIM(CC172)=TRIM('Smart Search'!$L$8))),IF(BA172="","",BA172+ROW()*0.0000000001),"")</f>
        <v/>
      </c>
      <c r="BI172" s="5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5">
        <f>IF(A172="","",N(INDEX(Projects[Mech Inst],171)))</f>
        <v/>
      </c>
      <c r="BK172" s="5">
        <f>IF(A172="","",N(INDEX(Projects[Elec Inst],171)))</f>
        <v/>
      </c>
      <c r="BL172" s="5">
        <f>IF(A172="","",N(INDEX(Projects[Project Management],171)))</f>
        <v/>
      </c>
      <c r="BM172" s="5">
        <f>IF(A172="","",N(INDEX(Projects[Systems Eng],171)))</f>
        <v/>
      </c>
      <c r="BN172" s="5">
        <f>IF(A172="","",N(INDEX(Projects[Mechanical Eng],171)))</f>
        <v/>
      </c>
      <c r="BO172" s="5">
        <f>IF(A172="","",N(INDEX(Projects[Structural Engineering],171)))</f>
        <v/>
      </c>
      <c r="BP172" s="5">
        <f>IF(A172="","",N(INDEX(Projects[Site Sup],171)))</f>
        <v/>
      </c>
      <c r="BQ172" s="5">
        <f>IF(A172="","",N(INDEX(Projects[Controls Commissioning],171)))</f>
        <v/>
      </c>
      <c r="BR172" s="5">
        <f>IF(A172="","",N(INDEX(Projects[Systems Commissioning],171)))</f>
        <v/>
      </c>
      <c r="BS172" s="5">
        <f>IF(A172="","",N(INDEX(Projects[Service Commissioning],171)))</f>
        <v/>
      </c>
      <c r="BT172" s="5">
        <f>IF(A172="","",N(INDEX(Projects[Controls Eng],171)))</f>
        <v/>
      </c>
      <c r="BU172" s="5">
        <f>IF(A172="","",N(INDEX(Projects[Controls Purchase],171)))</f>
        <v/>
      </c>
      <c r="BV172" s="5">
        <f>IF(A172="","",N(INDEX(Projects[Software Eng],171)))</f>
        <v/>
      </c>
      <c r="BW172" s="5">
        <f>IF(A172="","",N(INDEX(Projects[Misc],171)))</f>
        <v/>
      </c>
      <c r="BX172" s="5">
        <f>IF(A172="","",SUM(BJ172:BW172))</f>
        <v/>
      </c>
      <c r="BY172" s="5">
        <f>IF(A172="","",IFERROR(IF(ISNUMBER(U172),U172,VALUE(SUBSTITUTE(SUBSTITUTE(SUBSTITUTE(UPPER(TRIM(U172)),"M",""),",","")," ",""))),0))</f>
        <v/>
      </c>
      <c r="BZ172" s="5">
        <f>INDEX(Projects[Solution Type],171)&amp;""</f>
        <v/>
      </c>
      <c r="CA172" s="5">
        <f>INDEX(Projects[Client / Region],171)&amp;""</f>
        <v/>
      </c>
      <c r="CB172" s="5">
        <f>INDEX(Projects[Year],171)</f>
        <v/>
      </c>
      <c r="CC172" s="5">
        <f>INDEX(Projects[Won?],171)&amp;""</f>
        <v/>
      </c>
      <c r="CD172" s="5">
        <f>INDEX(Projects[Value (USD M)],171)</f>
        <v/>
      </c>
    </row>
    <row r="173" ht="15" customHeight="1" s="74">
      <c r="A173" s="66">
        <f>INDEX(Projects[Project ID *],172)&amp;""</f>
        <v/>
      </c>
      <c r="B173" s="66">
        <f>INDEX(Projects[Project Name *],172)&amp;""</f>
        <v/>
      </c>
      <c r="C173" s="66">
        <f>INDEX(Projects[MS Shuttles],172)</f>
        <v/>
      </c>
      <c r="D173" s="66">
        <f>INDEX(Projects[MS Tote Locations],172)</f>
        <v/>
      </c>
      <c r="E173" s="66">
        <f>INDEX(Projects[AS Robots],172)</f>
        <v/>
      </c>
      <c r="F173" s="66">
        <f>INDEX(Projects[AS Tote Locations],172)</f>
        <v/>
      </c>
      <c r="G173" s="66">
        <f>INDEX(Projects[PS Shuttles],172)</f>
        <v/>
      </c>
      <c r="H173" s="66">
        <f>INDEX(Projects[PS Pallet Locations],172)</f>
        <v/>
      </c>
      <c r="I173" s="66">
        <f>INDEX(Projects[SRM Cranes],172)</f>
        <v/>
      </c>
      <c r="J173" s="66">
        <f>INDEX(Projects[SRM Pallet Locations],172)</f>
        <v/>
      </c>
      <c r="K173" s="66">
        <f>INDEX(Projects[Case Conv (m)],172)</f>
        <v/>
      </c>
      <c r="L173" s="66">
        <f>INDEX(Projects[Pallet Conv (m)],172)</f>
        <v/>
      </c>
      <c r="M173" s="66">
        <f>INDEX(Projects[Mech Eng (wks)],172)</f>
        <v/>
      </c>
      <c r="N173" s="66">
        <f>INDEX(Projects[Controls Eng (wks)],172)</f>
        <v/>
      </c>
      <c r="O173" s="66">
        <f>INDEX(Projects[Systems Eng (wks)],172)</f>
        <v/>
      </c>
      <c r="P173" s="66">
        <f>INDEX(Projects[Software Eng (wks)],172)</f>
        <v/>
      </c>
      <c r="Q173" s="66">
        <f>INDEX(Projects[M&amp;E Installation (wks)],172)</f>
        <v/>
      </c>
      <c r="R173" s="66">
        <f>INDEX(Projects[Commissioning (wks)],172)</f>
        <v/>
      </c>
      <c r="S173" s="66">
        <f>INDEX(Projects[Total Timeline (wks)],172)</f>
        <v/>
      </c>
      <c r="T173" s="66">
        <f>INDEX(Projects[Currency],172)&amp;""</f>
        <v/>
      </c>
      <c r="U173" s="67">
        <f>INDEX(Projects[Value (M)],172)</f>
        <v/>
      </c>
      <c r="V173" s="66">
        <f>IF('Smart Search'!B13=1,IFERROR(1/'Smart Search'!H13,0),0)</f>
        <v/>
      </c>
      <c r="W173" s="66">
        <f>IF('Smart Search'!B13=1,IFERROR(1/'Smart Search'!H13,0),0)</f>
        <v/>
      </c>
      <c r="X173" s="66">
        <f>IF('Smart Search'!C13=1,IFERROR(1/'Smart Search'!H13,0),0)</f>
        <v/>
      </c>
      <c r="Y173" s="66">
        <f>IF('Smart Search'!C13=1,IFERROR(1/'Smart Search'!H13,0),0)</f>
        <v/>
      </c>
      <c r="Z173" s="66">
        <f>IF('Smart Search'!D13=1,IFERROR(1/'Smart Search'!H13,0),0)</f>
        <v/>
      </c>
      <c r="AA173" s="66">
        <f>IF('Smart Search'!D13=1,IFERROR(1/'Smart Search'!H13,0),0)</f>
        <v/>
      </c>
      <c r="AB173" s="66">
        <f>IF('Smart Search'!E13=1,IFERROR(1/'Smart Search'!H13,0),0)</f>
        <v/>
      </c>
      <c r="AC173" s="66">
        <f>IF('Smart Search'!E13=1,IFERROR(1/'Smart Search'!H13,0),0)</f>
        <v/>
      </c>
      <c r="AD173" s="66">
        <f>IF('Smart Search'!F13=1,IFERROR(1/'Smart Search'!H13,0),0)</f>
        <v/>
      </c>
      <c r="AE173" s="66">
        <f>IF('Smart Search'!F13=1,IFERROR(1/'Smart Search'!H13,0),0)</f>
        <v/>
      </c>
      <c r="AF173" s="66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66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66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66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66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66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66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66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66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66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66">
        <f>AF173*V173</f>
        <v/>
      </c>
      <c r="AQ173" s="66">
        <f>AG173*W173</f>
        <v/>
      </c>
      <c r="AR173" s="66">
        <f>AH173*X173</f>
        <v/>
      </c>
      <c r="AS173" s="66">
        <f>AI173*Y173</f>
        <v/>
      </c>
      <c r="AT173" s="66">
        <f>AJ173*Z173</f>
        <v/>
      </c>
      <c r="AU173" s="66">
        <f>AK173*AA173</f>
        <v/>
      </c>
      <c r="AV173" s="66">
        <f>AL173*AB173</f>
        <v/>
      </c>
      <c r="AW173" s="66">
        <f>AM173*AC173</f>
        <v/>
      </c>
      <c r="AX173" s="66">
        <f>AN173*AD173</f>
        <v/>
      </c>
      <c r="AY173" s="66">
        <f>AO173*AE173</f>
        <v/>
      </c>
      <c r="AZ173" s="66">
        <f>INDEX(Projects[Automation Equipment],172)&amp;""</f>
        <v/>
      </c>
      <c r="BA173" s="66">
        <f>IF(OR(A173="",'Smart Search'!H13=0),"",MAX(0,BE173*BF173*MAX(0,1-BG173)))</f>
        <v/>
      </c>
      <c r="BB173" s="66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66">
        <f>IF('Smart Search'!G13=1,IFERROR(1/'Smart Search'!H13,0),0)</f>
        <v/>
      </c>
      <c r="BD173" s="66">
        <f>BB173*BC173</f>
        <v/>
      </c>
      <c r="BE173" s="66">
        <f>AP173+AQ173+AR173+AS173+AT173+AU173+AV173+AW173+AX173+AY173+BD173</f>
        <v/>
      </c>
      <c r="BF173" s="5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5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5">
        <f>IF(AND(A173&lt;&gt;"",OR('Smart Search'!$L$5="",'Smart Search'!$L$5="All",TRIM(BZ173)=TRIM('Smart Search'!$L$5)),OR(TRIM('Smart Search'!$L$6)="",TRIM('Smart Search'!$L$6)="All",ISNUMBER(SEARCH(SUBSTITUTE(SUBSTITUTE(SUBSTITUTE(TRIM('Smart Search'!$L$6),"~","~~"),"*","~*"),"?","~?"),CA173))),OR('Smart Search'!$L$7="",AND(CB173&lt;&gt;0,CB173='Smart Search'!$L$7)),OR('Smart Search'!$L$8="",'Smart Search'!$L$8="All",TRIM(CC173)=TRIM('Smart Search'!$L$8))),IF(BA173="","",BA173+ROW()*0.0000000001),"")</f>
        <v/>
      </c>
      <c r="BI173" s="5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5">
        <f>IF(A173="","",N(INDEX(Projects[Mech Inst],172)))</f>
        <v/>
      </c>
      <c r="BK173" s="5">
        <f>IF(A173="","",N(INDEX(Projects[Elec Inst],172)))</f>
        <v/>
      </c>
      <c r="BL173" s="5">
        <f>IF(A173="","",N(INDEX(Projects[Project Management],172)))</f>
        <v/>
      </c>
      <c r="BM173" s="5">
        <f>IF(A173="","",N(INDEX(Projects[Systems Eng],172)))</f>
        <v/>
      </c>
      <c r="BN173" s="5">
        <f>IF(A173="","",N(INDEX(Projects[Mechanical Eng],172)))</f>
        <v/>
      </c>
      <c r="BO173" s="5">
        <f>IF(A173="","",N(INDEX(Projects[Structural Engineering],172)))</f>
        <v/>
      </c>
      <c r="BP173" s="5">
        <f>IF(A173="","",N(INDEX(Projects[Site Sup],172)))</f>
        <v/>
      </c>
      <c r="BQ173" s="5">
        <f>IF(A173="","",N(INDEX(Projects[Controls Commissioning],172)))</f>
        <v/>
      </c>
      <c r="BR173" s="5">
        <f>IF(A173="","",N(INDEX(Projects[Systems Commissioning],172)))</f>
        <v/>
      </c>
      <c r="BS173" s="5">
        <f>IF(A173="","",N(INDEX(Projects[Service Commissioning],172)))</f>
        <v/>
      </c>
      <c r="BT173" s="5">
        <f>IF(A173="","",N(INDEX(Projects[Controls Eng],172)))</f>
        <v/>
      </c>
      <c r="BU173" s="5">
        <f>IF(A173="","",N(INDEX(Projects[Controls Purchase],172)))</f>
        <v/>
      </c>
      <c r="BV173" s="5">
        <f>IF(A173="","",N(INDEX(Projects[Software Eng],172)))</f>
        <v/>
      </c>
      <c r="BW173" s="5">
        <f>IF(A173="","",N(INDEX(Projects[Misc],172)))</f>
        <v/>
      </c>
      <c r="BX173" s="5">
        <f>IF(A173="","",SUM(BJ173:BW173))</f>
        <v/>
      </c>
      <c r="BY173" s="5">
        <f>IF(A173="","",IFERROR(IF(ISNUMBER(U173),U173,VALUE(SUBSTITUTE(SUBSTITUTE(SUBSTITUTE(UPPER(TRIM(U173)),"M",""),",","")," ",""))),0))</f>
        <v/>
      </c>
      <c r="BZ173" s="5">
        <f>INDEX(Projects[Solution Type],172)&amp;""</f>
        <v/>
      </c>
      <c r="CA173" s="5">
        <f>INDEX(Projects[Client / Region],172)&amp;""</f>
        <v/>
      </c>
      <c r="CB173" s="5">
        <f>INDEX(Projects[Year],172)</f>
        <v/>
      </c>
      <c r="CC173" s="5">
        <f>INDEX(Projects[Won?],172)&amp;""</f>
        <v/>
      </c>
      <c r="CD173" s="5">
        <f>INDEX(Projects[Value (USD M)],172)</f>
        <v/>
      </c>
    </row>
    <row r="174" ht="15" customHeight="1" s="74">
      <c r="A174" s="66">
        <f>INDEX(Projects[Project ID *],173)&amp;""</f>
        <v/>
      </c>
      <c r="B174" s="66">
        <f>INDEX(Projects[Project Name *],173)&amp;""</f>
        <v/>
      </c>
      <c r="C174" s="66">
        <f>INDEX(Projects[MS Shuttles],173)</f>
        <v/>
      </c>
      <c r="D174" s="66">
        <f>INDEX(Projects[MS Tote Locations],173)</f>
        <v/>
      </c>
      <c r="E174" s="66">
        <f>INDEX(Projects[AS Robots],173)</f>
        <v/>
      </c>
      <c r="F174" s="66">
        <f>INDEX(Projects[AS Tote Locations],173)</f>
        <v/>
      </c>
      <c r="G174" s="66">
        <f>INDEX(Projects[PS Shuttles],173)</f>
        <v/>
      </c>
      <c r="H174" s="66">
        <f>INDEX(Projects[PS Pallet Locations],173)</f>
        <v/>
      </c>
      <c r="I174" s="66">
        <f>INDEX(Projects[SRM Cranes],173)</f>
        <v/>
      </c>
      <c r="J174" s="66">
        <f>INDEX(Projects[SRM Pallet Locations],173)</f>
        <v/>
      </c>
      <c r="K174" s="66">
        <f>INDEX(Projects[Case Conv (m)],173)</f>
        <v/>
      </c>
      <c r="L174" s="66">
        <f>INDEX(Projects[Pallet Conv (m)],173)</f>
        <v/>
      </c>
      <c r="M174" s="66">
        <f>INDEX(Projects[Mech Eng (wks)],173)</f>
        <v/>
      </c>
      <c r="N174" s="66">
        <f>INDEX(Projects[Controls Eng (wks)],173)</f>
        <v/>
      </c>
      <c r="O174" s="66">
        <f>INDEX(Projects[Systems Eng (wks)],173)</f>
        <v/>
      </c>
      <c r="P174" s="66">
        <f>INDEX(Projects[Software Eng (wks)],173)</f>
        <v/>
      </c>
      <c r="Q174" s="66">
        <f>INDEX(Projects[M&amp;E Installation (wks)],173)</f>
        <v/>
      </c>
      <c r="R174" s="66">
        <f>INDEX(Projects[Commissioning (wks)],173)</f>
        <v/>
      </c>
      <c r="S174" s="66">
        <f>INDEX(Projects[Total Timeline (wks)],173)</f>
        <v/>
      </c>
      <c r="T174" s="66">
        <f>INDEX(Projects[Currency],173)&amp;""</f>
        <v/>
      </c>
      <c r="U174" s="67">
        <f>INDEX(Projects[Value (M)],173)</f>
        <v/>
      </c>
      <c r="V174" s="66">
        <f>IF('Smart Search'!B13=1,IFERROR(1/'Smart Search'!H13,0),0)</f>
        <v/>
      </c>
      <c r="W174" s="66">
        <f>IF('Smart Search'!B13=1,IFERROR(1/'Smart Search'!H13,0),0)</f>
        <v/>
      </c>
      <c r="X174" s="66">
        <f>IF('Smart Search'!C13=1,IFERROR(1/'Smart Search'!H13,0),0)</f>
        <v/>
      </c>
      <c r="Y174" s="66">
        <f>IF('Smart Search'!C13=1,IFERROR(1/'Smart Search'!H13,0),0)</f>
        <v/>
      </c>
      <c r="Z174" s="66">
        <f>IF('Smart Search'!D13=1,IFERROR(1/'Smart Search'!H13,0),0)</f>
        <v/>
      </c>
      <c r="AA174" s="66">
        <f>IF('Smart Search'!D13=1,IFERROR(1/'Smart Search'!H13,0),0)</f>
        <v/>
      </c>
      <c r="AB174" s="66">
        <f>IF('Smart Search'!E13=1,IFERROR(1/'Smart Search'!H13,0),0)</f>
        <v/>
      </c>
      <c r="AC174" s="66">
        <f>IF('Smart Search'!E13=1,IFERROR(1/'Smart Search'!H13,0),0)</f>
        <v/>
      </c>
      <c r="AD174" s="66">
        <f>IF('Smart Search'!F13=1,IFERROR(1/'Smart Search'!H13,0),0)</f>
        <v/>
      </c>
      <c r="AE174" s="66">
        <f>IF('Smart Search'!F13=1,IFERROR(1/'Smart Search'!H13,0),0)</f>
        <v/>
      </c>
      <c r="AF174" s="66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66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66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66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66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66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66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66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66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66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66">
        <f>AF174*V174</f>
        <v/>
      </c>
      <c r="AQ174" s="66">
        <f>AG174*W174</f>
        <v/>
      </c>
      <c r="AR174" s="66">
        <f>AH174*X174</f>
        <v/>
      </c>
      <c r="AS174" s="66">
        <f>AI174*Y174</f>
        <v/>
      </c>
      <c r="AT174" s="66">
        <f>AJ174*Z174</f>
        <v/>
      </c>
      <c r="AU174" s="66">
        <f>AK174*AA174</f>
        <v/>
      </c>
      <c r="AV174" s="66">
        <f>AL174*AB174</f>
        <v/>
      </c>
      <c r="AW174" s="66">
        <f>AM174*AC174</f>
        <v/>
      </c>
      <c r="AX174" s="66">
        <f>AN174*AD174</f>
        <v/>
      </c>
      <c r="AY174" s="66">
        <f>AO174*AE174</f>
        <v/>
      </c>
      <c r="AZ174" s="66">
        <f>INDEX(Projects[Automation Equipment],173)&amp;""</f>
        <v/>
      </c>
      <c r="BA174" s="66">
        <f>IF(OR(A174="",'Smart Search'!H13=0),"",MAX(0,BE174*BF174*MAX(0,1-BG174)))</f>
        <v/>
      </c>
      <c r="BB174" s="66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66">
        <f>IF('Smart Search'!G13=1,IFERROR(1/'Smart Search'!H13,0),0)</f>
        <v/>
      </c>
      <c r="BD174" s="66">
        <f>BB174*BC174</f>
        <v/>
      </c>
      <c r="BE174" s="66">
        <f>AP174+AQ174+AR174+AS174+AT174+AU174+AV174+AW174+AX174+AY174+BD174</f>
        <v/>
      </c>
      <c r="BF174" s="5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5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5">
        <f>IF(AND(A174&lt;&gt;"",OR('Smart Search'!$L$5="",'Smart Search'!$L$5="All",TRIM(BZ174)=TRIM('Smart Search'!$L$5)),OR(TRIM('Smart Search'!$L$6)="",TRIM('Smart Search'!$L$6)="All",ISNUMBER(SEARCH(SUBSTITUTE(SUBSTITUTE(SUBSTITUTE(TRIM('Smart Search'!$L$6),"~","~~"),"*","~*"),"?","~?"),CA174))),OR('Smart Search'!$L$7="",AND(CB174&lt;&gt;0,CB174='Smart Search'!$L$7)),OR('Smart Search'!$L$8="",'Smart Search'!$L$8="All",TRIM(CC174)=TRIM('Smart Search'!$L$8))),IF(BA174="","",BA174+ROW()*0.0000000001),"")</f>
        <v/>
      </c>
      <c r="BI174" s="5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5">
        <f>IF(A174="","",N(INDEX(Projects[Mech Inst],173)))</f>
        <v/>
      </c>
      <c r="BK174" s="5">
        <f>IF(A174="","",N(INDEX(Projects[Elec Inst],173)))</f>
        <v/>
      </c>
      <c r="BL174" s="5">
        <f>IF(A174="","",N(INDEX(Projects[Project Management],173)))</f>
        <v/>
      </c>
      <c r="BM174" s="5">
        <f>IF(A174="","",N(INDEX(Projects[Systems Eng],173)))</f>
        <v/>
      </c>
      <c r="BN174" s="5">
        <f>IF(A174="","",N(INDEX(Projects[Mechanical Eng],173)))</f>
        <v/>
      </c>
      <c r="BO174" s="5">
        <f>IF(A174="","",N(INDEX(Projects[Structural Engineering],173)))</f>
        <v/>
      </c>
      <c r="BP174" s="5">
        <f>IF(A174="","",N(INDEX(Projects[Site Sup],173)))</f>
        <v/>
      </c>
      <c r="BQ174" s="5">
        <f>IF(A174="","",N(INDEX(Projects[Controls Commissioning],173)))</f>
        <v/>
      </c>
      <c r="BR174" s="5">
        <f>IF(A174="","",N(INDEX(Projects[Systems Commissioning],173)))</f>
        <v/>
      </c>
      <c r="BS174" s="5">
        <f>IF(A174="","",N(INDEX(Projects[Service Commissioning],173)))</f>
        <v/>
      </c>
      <c r="BT174" s="5">
        <f>IF(A174="","",N(INDEX(Projects[Controls Eng],173)))</f>
        <v/>
      </c>
      <c r="BU174" s="5">
        <f>IF(A174="","",N(INDEX(Projects[Controls Purchase],173)))</f>
        <v/>
      </c>
      <c r="BV174" s="5">
        <f>IF(A174="","",N(INDEX(Projects[Software Eng],173)))</f>
        <v/>
      </c>
      <c r="BW174" s="5">
        <f>IF(A174="","",N(INDEX(Projects[Misc],173)))</f>
        <v/>
      </c>
      <c r="BX174" s="5">
        <f>IF(A174="","",SUM(BJ174:BW174))</f>
        <v/>
      </c>
      <c r="BY174" s="5">
        <f>IF(A174="","",IFERROR(IF(ISNUMBER(U174),U174,VALUE(SUBSTITUTE(SUBSTITUTE(SUBSTITUTE(UPPER(TRIM(U174)),"M",""),",","")," ",""))),0))</f>
        <v/>
      </c>
      <c r="BZ174" s="5">
        <f>INDEX(Projects[Solution Type],173)&amp;""</f>
        <v/>
      </c>
      <c r="CA174" s="5">
        <f>INDEX(Projects[Client / Region],173)&amp;""</f>
        <v/>
      </c>
      <c r="CB174" s="5">
        <f>INDEX(Projects[Year],173)</f>
        <v/>
      </c>
      <c r="CC174" s="5">
        <f>INDEX(Projects[Won?],173)&amp;""</f>
        <v/>
      </c>
      <c r="CD174" s="5">
        <f>INDEX(Projects[Value (USD M)],173)</f>
        <v/>
      </c>
    </row>
    <row r="175" ht="15" customHeight="1" s="74">
      <c r="A175" s="66">
        <f>INDEX(Projects[Project ID *],174)&amp;""</f>
        <v/>
      </c>
      <c r="B175" s="66">
        <f>INDEX(Projects[Project Name *],174)&amp;""</f>
        <v/>
      </c>
      <c r="C175" s="66">
        <f>INDEX(Projects[MS Shuttles],174)</f>
        <v/>
      </c>
      <c r="D175" s="66">
        <f>INDEX(Projects[MS Tote Locations],174)</f>
        <v/>
      </c>
      <c r="E175" s="66">
        <f>INDEX(Projects[AS Robots],174)</f>
        <v/>
      </c>
      <c r="F175" s="66">
        <f>INDEX(Projects[AS Tote Locations],174)</f>
        <v/>
      </c>
      <c r="G175" s="66">
        <f>INDEX(Projects[PS Shuttles],174)</f>
        <v/>
      </c>
      <c r="H175" s="66">
        <f>INDEX(Projects[PS Pallet Locations],174)</f>
        <v/>
      </c>
      <c r="I175" s="66">
        <f>INDEX(Projects[SRM Cranes],174)</f>
        <v/>
      </c>
      <c r="J175" s="66">
        <f>INDEX(Projects[SRM Pallet Locations],174)</f>
        <v/>
      </c>
      <c r="K175" s="66">
        <f>INDEX(Projects[Case Conv (m)],174)</f>
        <v/>
      </c>
      <c r="L175" s="66">
        <f>INDEX(Projects[Pallet Conv (m)],174)</f>
        <v/>
      </c>
      <c r="M175" s="66">
        <f>INDEX(Projects[Mech Eng (wks)],174)</f>
        <v/>
      </c>
      <c r="N175" s="66">
        <f>INDEX(Projects[Controls Eng (wks)],174)</f>
        <v/>
      </c>
      <c r="O175" s="66">
        <f>INDEX(Projects[Systems Eng (wks)],174)</f>
        <v/>
      </c>
      <c r="P175" s="66">
        <f>INDEX(Projects[Software Eng (wks)],174)</f>
        <v/>
      </c>
      <c r="Q175" s="66">
        <f>INDEX(Projects[M&amp;E Installation (wks)],174)</f>
        <v/>
      </c>
      <c r="R175" s="66">
        <f>INDEX(Projects[Commissioning (wks)],174)</f>
        <v/>
      </c>
      <c r="S175" s="66">
        <f>INDEX(Projects[Total Timeline (wks)],174)</f>
        <v/>
      </c>
      <c r="T175" s="66">
        <f>INDEX(Projects[Currency],174)&amp;""</f>
        <v/>
      </c>
      <c r="U175" s="67">
        <f>INDEX(Projects[Value (M)],174)</f>
        <v/>
      </c>
      <c r="V175" s="66">
        <f>IF('Smart Search'!B13=1,IFERROR(1/'Smart Search'!H13,0),0)</f>
        <v/>
      </c>
      <c r="W175" s="66">
        <f>IF('Smart Search'!B13=1,IFERROR(1/'Smart Search'!H13,0),0)</f>
        <v/>
      </c>
      <c r="X175" s="66">
        <f>IF('Smart Search'!C13=1,IFERROR(1/'Smart Search'!H13,0),0)</f>
        <v/>
      </c>
      <c r="Y175" s="66">
        <f>IF('Smart Search'!C13=1,IFERROR(1/'Smart Search'!H13,0),0)</f>
        <v/>
      </c>
      <c r="Z175" s="66">
        <f>IF('Smart Search'!D13=1,IFERROR(1/'Smart Search'!H13,0),0)</f>
        <v/>
      </c>
      <c r="AA175" s="66">
        <f>IF('Smart Search'!D13=1,IFERROR(1/'Smart Search'!H13,0),0)</f>
        <v/>
      </c>
      <c r="AB175" s="66">
        <f>IF('Smart Search'!E13=1,IFERROR(1/'Smart Search'!H13,0),0)</f>
        <v/>
      </c>
      <c r="AC175" s="66">
        <f>IF('Smart Search'!E13=1,IFERROR(1/'Smart Search'!H13,0),0)</f>
        <v/>
      </c>
      <c r="AD175" s="66">
        <f>IF('Smart Search'!F13=1,IFERROR(1/'Smart Search'!H13,0),0)</f>
        <v/>
      </c>
      <c r="AE175" s="66">
        <f>IF('Smart Search'!F13=1,IFERROR(1/'Smart Search'!H13,0),0)</f>
        <v/>
      </c>
      <c r="AF175" s="66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66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66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66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66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66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66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66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66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66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66">
        <f>AF175*V175</f>
        <v/>
      </c>
      <c r="AQ175" s="66">
        <f>AG175*W175</f>
        <v/>
      </c>
      <c r="AR175" s="66">
        <f>AH175*X175</f>
        <v/>
      </c>
      <c r="AS175" s="66">
        <f>AI175*Y175</f>
        <v/>
      </c>
      <c r="AT175" s="66">
        <f>AJ175*Z175</f>
        <v/>
      </c>
      <c r="AU175" s="66">
        <f>AK175*AA175</f>
        <v/>
      </c>
      <c r="AV175" s="66">
        <f>AL175*AB175</f>
        <v/>
      </c>
      <c r="AW175" s="66">
        <f>AM175*AC175</f>
        <v/>
      </c>
      <c r="AX175" s="66">
        <f>AN175*AD175</f>
        <v/>
      </c>
      <c r="AY175" s="66">
        <f>AO175*AE175</f>
        <v/>
      </c>
      <c r="AZ175" s="66">
        <f>INDEX(Projects[Automation Equipment],174)&amp;""</f>
        <v/>
      </c>
      <c r="BA175" s="66">
        <f>IF(OR(A175="",'Smart Search'!H13=0),"",MAX(0,BE175*BF175*MAX(0,1-BG175)))</f>
        <v/>
      </c>
      <c r="BB175" s="66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66">
        <f>IF('Smart Search'!G13=1,IFERROR(1/'Smart Search'!H13,0),0)</f>
        <v/>
      </c>
      <c r="BD175" s="66">
        <f>BB175*BC175</f>
        <v/>
      </c>
      <c r="BE175" s="66">
        <f>AP175+AQ175+AR175+AS175+AT175+AU175+AV175+AW175+AX175+AY175+BD175</f>
        <v/>
      </c>
      <c r="BF175" s="5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5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5">
        <f>IF(AND(A175&lt;&gt;"",OR('Smart Search'!$L$5="",'Smart Search'!$L$5="All",TRIM(BZ175)=TRIM('Smart Search'!$L$5)),OR(TRIM('Smart Search'!$L$6)="",TRIM('Smart Search'!$L$6)="All",ISNUMBER(SEARCH(SUBSTITUTE(SUBSTITUTE(SUBSTITUTE(TRIM('Smart Search'!$L$6),"~","~~"),"*","~*"),"?","~?"),CA175))),OR('Smart Search'!$L$7="",AND(CB175&lt;&gt;0,CB175='Smart Search'!$L$7)),OR('Smart Search'!$L$8="",'Smart Search'!$L$8="All",TRIM(CC175)=TRIM('Smart Search'!$L$8))),IF(BA175="","",BA175+ROW()*0.0000000001),"")</f>
        <v/>
      </c>
      <c r="BI175" s="5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5">
        <f>IF(A175="","",N(INDEX(Projects[Mech Inst],174)))</f>
        <v/>
      </c>
      <c r="BK175" s="5">
        <f>IF(A175="","",N(INDEX(Projects[Elec Inst],174)))</f>
        <v/>
      </c>
      <c r="BL175" s="5">
        <f>IF(A175="","",N(INDEX(Projects[Project Management],174)))</f>
        <v/>
      </c>
      <c r="BM175" s="5">
        <f>IF(A175="","",N(INDEX(Projects[Systems Eng],174)))</f>
        <v/>
      </c>
      <c r="BN175" s="5">
        <f>IF(A175="","",N(INDEX(Projects[Mechanical Eng],174)))</f>
        <v/>
      </c>
      <c r="BO175" s="5">
        <f>IF(A175="","",N(INDEX(Projects[Structural Engineering],174)))</f>
        <v/>
      </c>
      <c r="BP175" s="5">
        <f>IF(A175="","",N(INDEX(Projects[Site Sup],174)))</f>
        <v/>
      </c>
      <c r="BQ175" s="5">
        <f>IF(A175="","",N(INDEX(Projects[Controls Commissioning],174)))</f>
        <v/>
      </c>
      <c r="BR175" s="5">
        <f>IF(A175="","",N(INDEX(Projects[Systems Commissioning],174)))</f>
        <v/>
      </c>
      <c r="BS175" s="5">
        <f>IF(A175="","",N(INDEX(Projects[Service Commissioning],174)))</f>
        <v/>
      </c>
      <c r="BT175" s="5">
        <f>IF(A175="","",N(INDEX(Projects[Controls Eng],174)))</f>
        <v/>
      </c>
      <c r="BU175" s="5">
        <f>IF(A175="","",N(INDEX(Projects[Controls Purchase],174)))</f>
        <v/>
      </c>
      <c r="BV175" s="5">
        <f>IF(A175="","",N(INDEX(Projects[Software Eng],174)))</f>
        <v/>
      </c>
      <c r="BW175" s="5">
        <f>IF(A175="","",N(INDEX(Projects[Misc],174)))</f>
        <v/>
      </c>
      <c r="BX175" s="5">
        <f>IF(A175="","",SUM(BJ175:BW175))</f>
        <v/>
      </c>
      <c r="BY175" s="5">
        <f>IF(A175="","",IFERROR(IF(ISNUMBER(U175),U175,VALUE(SUBSTITUTE(SUBSTITUTE(SUBSTITUTE(UPPER(TRIM(U175)),"M",""),",","")," ",""))),0))</f>
        <v/>
      </c>
      <c r="BZ175" s="5">
        <f>INDEX(Projects[Solution Type],174)&amp;""</f>
        <v/>
      </c>
      <c r="CA175" s="5">
        <f>INDEX(Projects[Client / Region],174)&amp;""</f>
        <v/>
      </c>
      <c r="CB175" s="5">
        <f>INDEX(Projects[Year],174)</f>
        <v/>
      </c>
      <c r="CC175" s="5">
        <f>INDEX(Projects[Won?],174)&amp;""</f>
        <v/>
      </c>
      <c r="CD175" s="5">
        <f>INDEX(Projects[Value (USD M)],174)</f>
        <v/>
      </c>
    </row>
    <row r="176" ht="15" customHeight="1" s="74">
      <c r="A176" s="66">
        <f>INDEX(Projects[Project ID *],175)&amp;""</f>
        <v/>
      </c>
      <c r="B176" s="66">
        <f>INDEX(Projects[Project Name *],175)&amp;""</f>
        <v/>
      </c>
      <c r="C176" s="66">
        <f>INDEX(Projects[MS Shuttles],175)</f>
        <v/>
      </c>
      <c r="D176" s="66">
        <f>INDEX(Projects[MS Tote Locations],175)</f>
        <v/>
      </c>
      <c r="E176" s="66">
        <f>INDEX(Projects[AS Robots],175)</f>
        <v/>
      </c>
      <c r="F176" s="66">
        <f>INDEX(Projects[AS Tote Locations],175)</f>
        <v/>
      </c>
      <c r="G176" s="66">
        <f>INDEX(Projects[PS Shuttles],175)</f>
        <v/>
      </c>
      <c r="H176" s="66">
        <f>INDEX(Projects[PS Pallet Locations],175)</f>
        <v/>
      </c>
      <c r="I176" s="66">
        <f>INDEX(Projects[SRM Cranes],175)</f>
        <v/>
      </c>
      <c r="J176" s="66">
        <f>INDEX(Projects[SRM Pallet Locations],175)</f>
        <v/>
      </c>
      <c r="K176" s="66">
        <f>INDEX(Projects[Case Conv (m)],175)</f>
        <v/>
      </c>
      <c r="L176" s="66">
        <f>INDEX(Projects[Pallet Conv (m)],175)</f>
        <v/>
      </c>
      <c r="M176" s="66">
        <f>INDEX(Projects[Mech Eng (wks)],175)</f>
        <v/>
      </c>
      <c r="N176" s="66">
        <f>INDEX(Projects[Controls Eng (wks)],175)</f>
        <v/>
      </c>
      <c r="O176" s="66">
        <f>INDEX(Projects[Systems Eng (wks)],175)</f>
        <v/>
      </c>
      <c r="P176" s="66">
        <f>INDEX(Projects[Software Eng (wks)],175)</f>
        <v/>
      </c>
      <c r="Q176" s="66">
        <f>INDEX(Projects[M&amp;E Installation (wks)],175)</f>
        <v/>
      </c>
      <c r="R176" s="66">
        <f>INDEX(Projects[Commissioning (wks)],175)</f>
        <v/>
      </c>
      <c r="S176" s="66">
        <f>INDEX(Projects[Total Timeline (wks)],175)</f>
        <v/>
      </c>
      <c r="T176" s="66">
        <f>INDEX(Projects[Currency],175)&amp;""</f>
        <v/>
      </c>
      <c r="U176" s="67">
        <f>INDEX(Projects[Value (M)],175)</f>
        <v/>
      </c>
      <c r="V176" s="66">
        <f>IF('Smart Search'!B13=1,IFERROR(1/'Smart Search'!H13,0),0)</f>
        <v/>
      </c>
      <c r="W176" s="66">
        <f>IF('Smart Search'!B13=1,IFERROR(1/'Smart Search'!H13,0),0)</f>
        <v/>
      </c>
      <c r="X176" s="66">
        <f>IF('Smart Search'!C13=1,IFERROR(1/'Smart Search'!H13,0),0)</f>
        <v/>
      </c>
      <c r="Y176" s="66">
        <f>IF('Smart Search'!C13=1,IFERROR(1/'Smart Search'!H13,0),0)</f>
        <v/>
      </c>
      <c r="Z176" s="66">
        <f>IF('Smart Search'!D13=1,IFERROR(1/'Smart Search'!H13,0),0)</f>
        <v/>
      </c>
      <c r="AA176" s="66">
        <f>IF('Smart Search'!D13=1,IFERROR(1/'Smart Search'!H13,0),0)</f>
        <v/>
      </c>
      <c r="AB176" s="66">
        <f>IF('Smart Search'!E13=1,IFERROR(1/'Smart Search'!H13,0),0)</f>
        <v/>
      </c>
      <c r="AC176" s="66">
        <f>IF('Smart Search'!E13=1,IFERROR(1/'Smart Search'!H13,0),0)</f>
        <v/>
      </c>
      <c r="AD176" s="66">
        <f>IF('Smart Search'!F13=1,IFERROR(1/'Smart Search'!H13,0),0)</f>
        <v/>
      </c>
      <c r="AE176" s="66">
        <f>IF('Smart Search'!F13=1,IFERROR(1/'Smart Search'!H13,0),0)</f>
        <v/>
      </c>
      <c r="AF176" s="66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66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66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66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66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66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66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66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66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66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66">
        <f>AF176*V176</f>
        <v/>
      </c>
      <c r="AQ176" s="66">
        <f>AG176*W176</f>
        <v/>
      </c>
      <c r="AR176" s="66">
        <f>AH176*X176</f>
        <v/>
      </c>
      <c r="AS176" s="66">
        <f>AI176*Y176</f>
        <v/>
      </c>
      <c r="AT176" s="66">
        <f>AJ176*Z176</f>
        <v/>
      </c>
      <c r="AU176" s="66">
        <f>AK176*AA176</f>
        <v/>
      </c>
      <c r="AV176" s="66">
        <f>AL176*AB176</f>
        <v/>
      </c>
      <c r="AW176" s="66">
        <f>AM176*AC176</f>
        <v/>
      </c>
      <c r="AX176" s="66">
        <f>AN176*AD176</f>
        <v/>
      </c>
      <c r="AY176" s="66">
        <f>AO176*AE176</f>
        <v/>
      </c>
      <c r="AZ176" s="66">
        <f>INDEX(Projects[Automation Equipment],175)&amp;""</f>
        <v/>
      </c>
      <c r="BA176" s="66">
        <f>IF(OR(A176="",'Smart Search'!H13=0),"",MAX(0,BE176*BF176*MAX(0,1-BG176)))</f>
        <v/>
      </c>
      <c r="BB176" s="66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66">
        <f>IF('Smart Search'!G13=1,IFERROR(1/'Smart Search'!H13,0),0)</f>
        <v/>
      </c>
      <c r="BD176" s="66">
        <f>BB176*BC176</f>
        <v/>
      </c>
      <c r="BE176" s="66">
        <f>AP176+AQ176+AR176+AS176+AT176+AU176+AV176+AW176+AX176+AY176+BD176</f>
        <v/>
      </c>
      <c r="BF176" s="5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5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5">
        <f>IF(AND(A176&lt;&gt;"",OR('Smart Search'!$L$5="",'Smart Search'!$L$5="All",TRIM(BZ176)=TRIM('Smart Search'!$L$5)),OR(TRIM('Smart Search'!$L$6)="",TRIM('Smart Search'!$L$6)="All",ISNUMBER(SEARCH(SUBSTITUTE(SUBSTITUTE(SUBSTITUTE(TRIM('Smart Search'!$L$6),"~","~~"),"*","~*"),"?","~?"),CA176))),OR('Smart Search'!$L$7="",AND(CB176&lt;&gt;0,CB176='Smart Search'!$L$7)),OR('Smart Search'!$L$8="",'Smart Search'!$L$8="All",TRIM(CC176)=TRIM('Smart Search'!$L$8))),IF(BA176="","",BA176+ROW()*0.0000000001),"")</f>
        <v/>
      </c>
      <c r="BI176" s="5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5">
        <f>IF(A176="","",N(INDEX(Projects[Mech Inst],175)))</f>
        <v/>
      </c>
      <c r="BK176" s="5">
        <f>IF(A176="","",N(INDEX(Projects[Elec Inst],175)))</f>
        <v/>
      </c>
      <c r="BL176" s="5">
        <f>IF(A176="","",N(INDEX(Projects[Project Management],175)))</f>
        <v/>
      </c>
      <c r="BM176" s="5">
        <f>IF(A176="","",N(INDEX(Projects[Systems Eng],175)))</f>
        <v/>
      </c>
      <c r="BN176" s="5">
        <f>IF(A176="","",N(INDEX(Projects[Mechanical Eng],175)))</f>
        <v/>
      </c>
      <c r="BO176" s="5">
        <f>IF(A176="","",N(INDEX(Projects[Structural Engineering],175)))</f>
        <v/>
      </c>
      <c r="BP176" s="5">
        <f>IF(A176="","",N(INDEX(Projects[Site Sup],175)))</f>
        <v/>
      </c>
      <c r="BQ176" s="5">
        <f>IF(A176="","",N(INDEX(Projects[Controls Commissioning],175)))</f>
        <v/>
      </c>
      <c r="BR176" s="5">
        <f>IF(A176="","",N(INDEX(Projects[Systems Commissioning],175)))</f>
        <v/>
      </c>
      <c r="BS176" s="5">
        <f>IF(A176="","",N(INDEX(Projects[Service Commissioning],175)))</f>
        <v/>
      </c>
      <c r="BT176" s="5">
        <f>IF(A176="","",N(INDEX(Projects[Controls Eng],175)))</f>
        <v/>
      </c>
      <c r="BU176" s="5">
        <f>IF(A176="","",N(INDEX(Projects[Controls Purchase],175)))</f>
        <v/>
      </c>
      <c r="BV176" s="5">
        <f>IF(A176="","",N(INDEX(Projects[Software Eng],175)))</f>
        <v/>
      </c>
      <c r="BW176" s="5">
        <f>IF(A176="","",N(INDEX(Projects[Misc],175)))</f>
        <v/>
      </c>
      <c r="BX176" s="5">
        <f>IF(A176="","",SUM(BJ176:BW176))</f>
        <v/>
      </c>
      <c r="BY176" s="5">
        <f>IF(A176="","",IFERROR(IF(ISNUMBER(U176),U176,VALUE(SUBSTITUTE(SUBSTITUTE(SUBSTITUTE(UPPER(TRIM(U176)),"M",""),",","")," ",""))),0))</f>
        <v/>
      </c>
      <c r="BZ176" s="5">
        <f>INDEX(Projects[Solution Type],175)&amp;""</f>
        <v/>
      </c>
      <c r="CA176" s="5">
        <f>INDEX(Projects[Client / Region],175)&amp;""</f>
        <v/>
      </c>
      <c r="CB176" s="5">
        <f>INDEX(Projects[Year],175)</f>
        <v/>
      </c>
      <c r="CC176" s="5">
        <f>INDEX(Projects[Won?],175)&amp;""</f>
        <v/>
      </c>
      <c r="CD176" s="5">
        <f>INDEX(Projects[Value (USD M)],175)</f>
        <v/>
      </c>
    </row>
    <row r="177" ht="15" customHeight="1" s="74">
      <c r="A177" s="66">
        <f>INDEX(Projects[Project ID *],176)&amp;""</f>
        <v/>
      </c>
      <c r="B177" s="66">
        <f>INDEX(Projects[Project Name *],176)&amp;""</f>
        <v/>
      </c>
      <c r="C177" s="66">
        <f>INDEX(Projects[MS Shuttles],176)</f>
        <v/>
      </c>
      <c r="D177" s="66">
        <f>INDEX(Projects[MS Tote Locations],176)</f>
        <v/>
      </c>
      <c r="E177" s="66">
        <f>INDEX(Projects[AS Robots],176)</f>
        <v/>
      </c>
      <c r="F177" s="66">
        <f>INDEX(Projects[AS Tote Locations],176)</f>
        <v/>
      </c>
      <c r="G177" s="66">
        <f>INDEX(Projects[PS Shuttles],176)</f>
        <v/>
      </c>
      <c r="H177" s="66">
        <f>INDEX(Projects[PS Pallet Locations],176)</f>
        <v/>
      </c>
      <c r="I177" s="66">
        <f>INDEX(Projects[SRM Cranes],176)</f>
        <v/>
      </c>
      <c r="J177" s="66">
        <f>INDEX(Projects[SRM Pallet Locations],176)</f>
        <v/>
      </c>
      <c r="K177" s="66">
        <f>INDEX(Projects[Case Conv (m)],176)</f>
        <v/>
      </c>
      <c r="L177" s="66">
        <f>INDEX(Projects[Pallet Conv (m)],176)</f>
        <v/>
      </c>
      <c r="M177" s="66">
        <f>INDEX(Projects[Mech Eng (wks)],176)</f>
        <v/>
      </c>
      <c r="N177" s="66">
        <f>INDEX(Projects[Controls Eng (wks)],176)</f>
        <v/>
      </c>
      <c r="O177" s="66">
        <f>INDEX(Projects[Systems Eng (wks)],176)</f>
        <v/>
      </c>
      <c r="P177" s="66">
        <f>INDEX(Projects[Software Eng (wks)],176)</f>
        <v/>
      </c>
      <c r="Q177" s="66">
        <f>INDEX(Projects[M&amp;E Installation (wks)],176)</f>
        <v/>
      </c>
      <c r="R177" s="66">
        <f>INDEX(Projects[Commissioning (wks)],176)</f>
        <v/>
      </c>
      <c r="S177" s="66">
        <f>INDEX(Projects[Total Timeline (wks)],176)</f>
        <v/>
      </c>
      <c r="T177" s="66">
        <f>INDEX(Projects[Currency],176)&amp;""</f>
        <v/>
      </c>
      <c r="U177" s="67">
        <f>INDEX(Projects[Value (M)],176)</f>
        <v/>
      </c>
      <c r="V177" s="66">
        <f>IF('Smart Search'!B13=1,IFERROR(1/'Smart Search'!H13,0),0)</f>
        <v/>
      </c>
      <c r="W177" s="66">
        <f>IF('Smart Search'!B13=1,IFERROR(1/'Smart Search'!H13,0),0)</f>
        <v/>
      </c>
      <c r="X177" s="66">
        <f>IF('Smart Search'!C13=1,IFERROR(1/'Smart Search'!H13,0),0)</f>
        <v/>
      </c>
      <c r="Y177" s="66">
        <f>IF('Smart Search'!C13=1,IFERROR(1/'Smart Search'!H13,0),0)</f>
        <v/>
      </c>
      <c r="Z177" s="66">
        <f>IF('Smart Search'!D13=1,IFERROR(1/'Smart Search'!H13,0),0)</f>
        <v/>
      </c>
      <c r="AA177" s="66">
        <f>IF('Smart Search'!D13=1,IFERROR(1/'Smart Search'!H13,0),0)</f>
        <v/>
      </c>
      <c r="AB177" s="66">
        <f>IF('Smart Search'!E13=1,IFERROR(1/'Smart Search'!H13,0),0)</f>
        <v/>
      </c>
      <c r="AC177" s="66">
        <f>IF('Smart Search'!E13=1,IFERROR(1/'Smart Search'!H13,0),0)</f>
        <v/>
      </c>
      <c r="AD177" s="66">
        <f>IF('Smart Search'!F13=1,IFERROR(1/'Smart Search'!H13,0),0)</f>
        <v/>
      </c>
      <c r="AE177" s="66">
        <f>IF('Smart Search'!F13=1,IFERROR(1/'Smart Search'!H13,0),0)</f>
        <v/>
      </c>
      <c r="AF177" s="66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66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66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66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66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66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66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66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66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66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66">
        <f>AF177*V177</f>
        <v/>
      </c>
      <c r="AQ177" s="66">
        <f>AG177*W177</f>
        <v/>
      </c>
      <c r="AR177" s="66">
        <f>AH177*X177</f>
        <v/>
      </c>
      <c r="AS177" s="66">
        <f>AI177*Y177</f>
        <v/>
      </c>
      <c r="AT177" s="66">
        <f>AJ177*Z177</f>
        <v/>
      </c>
      <c r="AU177" s="66">
        <f>AK177*AA177</f>
        <v/>
      </c>
      <c r="AV177" s="66">
        <f>AL177*AB177</f>
        <v/>
      </c>
      <c r="AW177" s="66">
        <f>AM177*AC177</f>
        <v/>
      </c>
      <c r="AX177" s="66">
        <f>AN177*AD177</f>
        <v/>
      </c>
      <c r="AY177" s="66">
        <f>AO177*AE177</f>
        <v/>
      </c>
      <c r="AZ177" s="66">
        <f>INDEX(Projects[Automation Equipment],176)&amp;""</f>
        <v/>
      </c>
      <c r="BA177" s="66">
        <f>IF(OR(A177="",'Smart Search'!H13=0),"",MAX(0,BE177*BF177*MAX(0,1-BG177)))</f>
        <v/>
      </c>
      <c r="BB177" s="66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66">
        <f>IF('Smart Search'!G13=1,IFERROR(1/'Smart Search'!H13,0),0)</f>
        <v/>
      </c>
      <c r="BD177" s="66">
        <f>BB177*BC177</f>
        <v/>
      </c>
      <c r="BE177" s="66">
        <f>AP177+AQ177+AR177+AS177+AT177+AU177+AV177+AW177+AX177+AY177+BD177</f>
        <v/>
      </c>
      <c r="BF177" s="5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5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5">
        <f>IF(AND(A177&lt;&gt;"",OR('Smart Search'!$L$5="",'Smart Search'!$L$5="All",TRIM(BZ177)=TRIM('Smart Search'!$L$5)),OR(TRIM('Smart Search'!$L$6)="",TRIM('Smart Search'!$L$6)="All",ISNUMBER(SEARCH(SUBSTITUTE(SUBSTITUTE(SUBSTITUTE(TRIM('Smart Search'!$L$6),"~","~~"),"*","~*"),"?","~?"),CA177))),OR('Smart Search'!$L$7="",AND(CB177&lt;&gt;0,CB177='Smart Search'!$L$7)),OR('Smart Search'!$L$8="",'Smart Search'!$L$8="All",TRIM(CC177)=TRIM('Smart Search'!$L$8))),IF(BA177="","",BA177+ROW()*0.0000000001),"")</f>
        <v/>
      </c>
      <c r="BI177" s="5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5">
        <f>IF(A177="","",N(INDEX(Projects[Mech Inst],176)))</f>
        <v/>
      </c>
      <c r="BK177" s="5">
        <f>IF(A177="","",N(INDEX(Projects[Elec Inst],176)))</f>
        <v/>
      </c>
      <c r="BL177" s="5">
        <f>IF(A177="","",N(INDEX(Projects[Project Management],176)))</f>
        <v/>
      </c>
      <c r="BM177" s="5">
        <f>IF(A177="","",N(INDEX(Projects[Systems Eng],176)))</f>
        <v/>
      </c>
      <c r="BN177" s="5">
        <f>IF(A177="","",N(INDEX(Projects[Mechanical Eng],176)))</f>
        <v/>
      </c>
      <c r="BO177" s="5">
        <f>IF(A177="","",N(INDEX(Projects[Structural Engineering],176)))</f>
        <v/>
      </c>
      <c r="BP177" s="5">
        <f>IF(A177="","",N(INDEX(Projects[Site Sup],176)))</f>
        <v/>
      </c>
      <c r="BQ177" s="5">
        <f>IF(A177="","",N(INDEX(Projects[Controls Commissioning],176)))</f>
        <v/>
      </c>
      <c r="BR177" s="5">
        <f>IF(A177="","",N(INDEX(Projects[Systems Commissioning],176)))</f>
        <v/>
      </c>
      <c r="BS177" s="5">
        <f>IF(A177="","",N(INDEX(Projects[Service Commissioning],176)))</f>
        <v/>
      </c>
      <c r="BT177" s="5">
        <f>IF(A177="","",N(INDEX(Projects[Controls Eng],176)))</f>
        <v/>
      </c>
      <c r="BU177" s="5">
        <f>IF(A177="","",N(INDEX(Projects[Controls Purchase],176)))</f>
        <v/>
      </c>
      <c r="BV177" s="5">
        <f>IF(A177="","",N(INDEX(Projects[Software Eng],176)))</f>
        <v/>
      </c>
      <c r="BW177" s="5">
        <f>IF(A177="","",N(INDEX(Projects[Misc],176)))</f>
        <v/>
      </c>
      <c r="BX177" s="5">
        <f>IF(A177="","",SUM(BJ177:BW177))</f>
        <v/>
      </c>
      <c r="BY177" s="5">
        <f>IF(A177="","",IFERROR(IF(ISNUMBER(U177),U177,VALUE(SUBSTITUTE(SUBSTITUTE(SUBSTITUTE(UPPER(TRIM(U177)),"M",""),",","")," ",""))),0))</f>
        <v/>
      </c>
      <c r="BZ177" s="5">
        <f>INDEX(Projects[Solution Type],176)&amp;""</f>
        <v/>
      </c>
      <c r="CA177" s="5">
        <f>INDEX(Projects[Client / Region],176)&amp;""</f>
        <v/>
      </c>
      <c r="CB177" s="5">
        <f>INDEX(Projects[Year],176)</f>
        <v/>
      </c>
      <c r="CC177" s="5">
        <f>INDEX(Projects[Won?],176)&amp;""</f>
        <v/>
      </c>
      <c r="CD177" s="5">
        <f>INDEX(Projects[Value (USD M)],176)</f>
        <v/>
      </c>
    </row>
    <row r="178" ht="15" customHeight="1" s="74">
      <c r="A178" s="66">
        <f>INDEX(Projects[Project ID *],177)&amp;""</f>
        <v/>
      </c>
      <c r="B178" s="66">
        <f>INDEX(Projects[Project Name *],177)&amp;""</f>
        <v/>
      </c>
      <c r="C178" s="66">
        <f>INDEX(Projects[MS Shuttles],177)</f>
        <v/>
      </c>
      <c r="D178" s="66">
        <f>INDEX(Projects[MS Tote Locations],177)</f>
        <v/>
      </c>
      <c r="E178" s="66">
        <f>INDEX(Projects[AS Robots],177)</f>
        <v/>
      </c>
      <c r="F178" s="66">
        <f>INDEX(Projects[AS Tote Locations],177)</f>
        <v/>
      </c>
      <c r="G178" s="66">
        <f>INDEX(Projects[PS Shuttles],177)</f>
        <v/>
      </c>
      <c r="H178" s="66">
        <f>INDEX(Projects[PS Pallet Locations],177)</f>
        <v/>
      </c>
      <c r="I178" s="66">
        <f>INDEX(Projects[SRM Cranes],177)</f>
        <v/>
      </c>
      <c r="J178" s="66">
        <f>INDEX(Projects[SRM Pallet Locations],177)</f>
        <v/>
      </c>
      <c r="K178" s="66">
        <f>INDEX(Projects[Case Conv (m)],177)</f>
        <v/>
      </c>
      <c r="L178" s="66">
        <f>INDEX(Projects[Pallet Conv (m)],177)</f>
        <v/>
      </c>
      <c r="M178" s="66">
        <f>INDEX(Projects[Mech Eng (wks)],177)</f>
        <v/>
      </c>
      <c r="N178" s="66">
        <f>INDEX(Projects[Controls Eng (wks)],177)</f>
        <v/>
      </c>
      <c r="O178" s="66">
        <f>INDEX(Projects[Systems Eng (wks)],177)</f>
        <v/>
      </c>
      <c r="P178" s="66">
        <f>INDEX(Projects[Software Eng (wks)],177)</f>
        <v/>
      </c>
      <c r="Q178" s="66">
        <f>INDEX(Projects[M&amp;E Installation (wks)],177)</f>
        <v/>
      </c>
      <c r="R178" s="66">
        <f>INDEX(Projects[Commissioning (wks)],177)</f>
        <v/>
      </c>
      <c r="S178" s="66">
        <f>INDEX(Projects[Total Timeline (wks)],177)</f>
        <v/>
      </c>
      <c r="T178" s="66">
        <f>INDEX(Projects[Currency],177)&amp;""</f>
        <v/>
      </c>
      <c r="U178" s="67">
        <f>INDEX(Projects[Value (M)],177)</f>
        <v/>
      </c>
      <c r="V178" s="66">
        <f>IF('Smart Search'!B13=1,IFERROR(1/'Smart Search'!H13,0),0)</f>
        <v/>
      </c>
      <c r="W178" s="66">
        <f>IF('Smart Search'!B13=1,IFERROR(1/'Smart Search'!H13,0),0)</f>
        <v/>
      </c>
      <c r="X178" s="66">
        <f>IF('Smart Search'!C13=1,IFERROR(1/'Smart Search'!H13,0),0)</f>
        <v/>
      </c>
      <c r="Y178" s="66">
        <f>IF('Smart Search'!C13=1,IFERROR(1/'Smart Search'!H13,0),0)</f>
        <v/>
      </c>
      <c r="Z178" s="66">
        <f>IF('Smart Search'!D13=1,IFERROR(1/'Smart Search'!H13,0),0)</f>
        <v/>
      </c>
      <c r="AA178" s="66">
        <f>IF('Smart Search'!D13=1,IFERROR(1/'Smart Search'!H13,0),0)</f>
        <v/>
      </c>
      <c r="AB178" s="66">
        <f>IF('Smart Search'!E13=1,IFERROR(1/'Smart Search'!H13,0),0)</f>
        <v/>
      </c>
      <c r="AC178" s="66">
        <f>IF('Smart Search'!E13=1,IFERROR(1/'Smart Search'!H13,0),0)</f>
        <v/>
      </c>
      <c r="AD178" s="66">
        <f>IF('Smart Search'!F13=1,IFERROR(1/'Smart Search'!H13,0),0)</f>
        <v/>
      </c>
      <c r="AE178" s="66">
        <f>IF('Smart Search'!F13=1,IFERROR(1/'Smart Search'!H13,0),0)</f>
        <v/>
      </c>
      <c r="AF178" s="66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66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66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66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66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66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66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66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66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66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66">
        <f>AF178*V178</f>
        <v/>
      </c>
      <c r="AQ178" s="66">
        <f>AG178*W178</f>
        <v/>
      </c>
      <c r="AR178" s="66">
        <f>AH178*X178</f>
        <v/>
      </c>
      <c r="AS178" s="66">
        <f>AI178*Y178</f>
        <v/>
      </c>
      <c r="AT178" s="66">
        <f>AJ178*Z178</f>
        <v/>
      </c>
      <c r="AU178" s="66">
        <f>AK178*AA178</f>
        <v/>
      </c>
      <c r="AV178" s="66">
        <f>AL178*AB178</f>
        <v/>
      </c>
      <c r="AW178" s="66">
        <f>AM178*AC178</f>
        <v/>
      </c>
      <c r="AX178" s="66">
        <f>AN178*AD178</f>
        <v/>
      </c>
      <c r="AY178" s="66">
        <f>AO178*AE178</f>
        <v/>
      </c>
      <c r="AZ178" s="66">
        <f>INDEX(Projects[Automation Equipment],177)&amp;""</f>
        <v/>
      </c>
      <c r="BA178" s="66">
        <f>IF(OR(A178="",'Smart Search'!H13=0),"",MAX(0,BE178*BF178*MAX(0,1-BG178)))</f>
        <v/>
      </c>
      <c r="BB178" s="66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66">
        <f>IF('Smart Search'!G13=1,IFERROR(1/'Smart Search'!H13,0),0)</f>
        <v/>
      </c>
      <c r="BD178" s="66">
        <f>BB178*BC178</f>
        <v/>
      </c>
      <c r="BE178" s="66">
        <f>AP178+AQ178+AR178+AS178+AT178+AU178+AV178+AW178+AX178+AY178+BD178</f>
        <v/>
      </c>
      <c r="BF178" s="5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5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5">
        <f>IF(AND(A178&lt;&gt;"",OR('Smart Search'!$L$5="",'Smart Search'!$L$5="All",TRIM(BZ178)=TRIM('Smart Search'!$L$5)),OR(TRIM('Smart Search'!$L$6)="",TRIM('Smart Search'!$L$6)="All",ISNUMBER(SEARCH(SUBSTITUTE(SUBSTITUTE(SUBSTITUTE(TRIM('Smart Search'!$L$6),"~","~~"),"*","~*"),"?","~?"),CA178))),OR('Smart Search'!$L$7="",AND(CB178&lt;&gt;0,CB178='Smart Search'!$L$7)),OR('Smart Search'!$L$8="",'Smart Search'!$L$8="All",TRIM(CC178)=TRIM('Smart Search'!$L$8))),IF(BA178="","",BA178+ROW()*0.0000000001),"")</f>
        <v/>
      </c>
      <c r="BI178" s="5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5">
        <f>IF(A178="","",N(INDEX(Projects[Mech Inst],177)))</f>
        <v/>
      </c>
      <c r="BK178" s="5">
        <f>IF(A178="","",N(INDEX(Projects[Elec Inst],177)))</f>
        <v/>
      </c>
      <c r="BL178" s="5">
        <f>IF(A178="","",N(INDEX(Projects[Project Management],177)))</f>
        <v/>
      </c>
      <c r="BM178" s="5">
        <f>IF(A178="","",N(INDEX(Projects[Systems Eng],177)))</f>
        <v/>
      </c>
      <c r="BN178" s="5">
        <f>IF(A178="","",N(INDEX(Projects[Mechanical Eng],177)))</f>
        <v/>
      </c>
      <c r="BO178" s="5">
        <f>IF(A178="","",N(INDEX(Projects[Structural Engineering],177)))</f>
        <v/>
      </c>
      <c r="BP178" s="5">
        <f>IF(A178="","",N(INDEX(Projects[Site Sup],177)))</f>
        <v/>
      </c>
      <c r="BQ178" s="5">
        <f>IF(A178="","",N(INDEX(Projects[Controls Commissioning],177)))</f>
        <v/>
      </c>
      <c r="BR178" s="5">
        <f>IF(A178="","",N(INDEX(Projects[Systems Commissioning],177)))</f>
        <v/>
      </c>
      <c r="BS178" s="5">
        <f>IF(A178="","",N(INDEX(Projects[Service Commissioning],177)))</f>
        <v/>
      </c>
      <c r="BT178" s="5">
        <f>IF(A178="","",N(INDEX(Projects[Controls Eng],177)))</f>
        <v/>
      </c>
      <c r="BU178" s="5">
        <f>IF(A178="","",N(INDEX(Projects[Controls Purchase],177)))</f>
        <v/>
      </c>
      <c r="BV178" s="5">
        <f>IF(A178="","",N(INDEX(Projects[Software Eng],177)))</f>
        <v/>
      </c>
      <c r="BW178" s="5">
        <f>IF(A178="","",N(INDEX(Projects[Misc],177)))</f>
        <v/>
      </c>
      <c r="BX178" s="5">
        <f>IF(A178="","",SUM(BJ178:BW178))</f>
        <v/>
      </c>
      <c r="BY178" s="5">
        <f>IF(A178="","",IFERROR(IF(ISNUMBER(U178),U178,VALUE(SUBSTITUTE(SUBSTITUTE(SUBSTITUTE(UPPER(TRIM(U178)),"M",""),",","")," ",""))),0))</f>
        <v/>
      </c>
      <c r="BZ178" s="5">
        <f>INDEX(Projects[Solution Type],177)&amp;""</f>
        <v/>
      </c>
      <c r="CA178" s="5">
        <f>INDEX(Projects[Client / Region],177)&amp;""</f>
        <v/>
      </c>
      <c r="CB178" s="5">
        <f>INDEX(Projects[Year],177)</f>
        <v/>
      </c>
      <c r="CC178" s="5">
        <f>INDEX(Projects[Won?],177)&amp;""</f>
        <v/>
      </c>
      <c r="CD178" s="5">
        <f>INDEX(Projects[Value (USD M)],177)</f>
        <v/>
      </c>
    </row>
    <row r="179" ht="15" customHeight="1" s="74">
      <c r="A179" s="66">
        <f>INDEX(Projects[Project ID *],178)&amp;""</f>
        <v/>
      </c>
      <c r="B179" s="66">
        <f>INDEX(Projects[Project Name *],178)&amp;""</f>
        <v/>
      </c>
      <c r="C179" s="66">
        <f>INDEX(Projects[MS Shuttles],178)</f>
        <v/>
      </c>
      <c r="D179" s="66">
        <f>INDEX(Projects[MS Tote Locations],178)</f>
        <v/>
      </c>
      <c r="E179" s="66">
        <f>INDEX(Projects[AS Robots],178)</f>
        <v/>
      </c>
      <c r="F179" s="66">
        <f>INDEX(Projects[AS Tote Locations],178)</f>
        <v/>
      </c>
      <c r="G179" s="66">
        <f>INDEX(Projects[PS Shuttles],178)</f>
        <v/>
      </c>
      <c r="H179" s="66">
        <f>INDEX(Projects[PS Pallet Locations],178)</f>
        <v/>
      </c>
      <c r="I179" s="66">
        <f>INDEX(Projects[SRM Cranes],178)</f>
        <v/>
      </c>
      <c r="J179" s="66">
        <f>INDEX(Projects[SRM Pallet Locations],178)</f>
        <v/>
      </c>
      <c r="K179" s="66">
        <f>INDEX(Projects[Case Conv (m)],178)</f>
        <v/>
      </c>
      <c r="L179" s="66">
        <f>INDEX(Projects[Pallet Conv (m)],178)</f>
        <v/>
      </c>
      <c r="M179" s="66">
        <f>INDEX(Projects[Mech Eng (wks)],178)</f>
        <v/>
      </c>
      <c r="N179" s="66">
        <f>INDEX(Projects[Controls Eng (wks)],178)</f>
        <v/>
      </c>
      <c r="O179" s="66">
        <f>INDEX(Projects[Systems Eng (wks)],178)</f>
        <v/>
      </c>
      <c r="P179" s="66">
        <f>INDEX(Projects[Software Eng (wks)],178)</f>
        <v/>
      </c>
      <c r="Q179" s="66">
        <f>INDEX(Projects[M&amp;E Installation (wks)],178)</f>
        <v/>
      </c>
      <c r="R179" s="66">
        <f>INDEX(Projects[Commissioning (wks)],178)</f>
        <v/>
      </c>
      <c r="S179" s="66">
        <f>INDEX(Projects[Total Timeline (wks)],178)</f>
        <v/>
      </c>
      <c r="T179" s="66">
        <f>INDEX(Projects[Currency],178)&amp;""</f>
        <v/>
      </c>
      <c r="U179" s="67">
        <f>INDEX(Projects[Value (M)],178)</f>
        <v/>
      </c>
      <c r="V179" s="66">
        <f>IF('Smart Search'!B13=1,IFERROR(1/'Smart Search'!H13,0),0)</f>
        <v/>
      </c>
      <c r="W179" s="66">
        <f>IF('Smart Search'!B13=1,IFERROR(1/'Smart Search'!H13,0),0)</f>
        <v/>
      </c>
      <c r="X179" s="66">
        <f>IF('Smart Search'!C13=1,IFERROR(1/'Smart Search'!H13,0),0)</f>
        <v/>
      </c>
      <c r="Y179" s="66">
        <f>IF('Smart Search'!C13=1,IFERROR(1/'Smart Search'!H13,0),0)</f>
        <v/>
      </c>
      <c r="Z179" s="66">
        <f>IF('Smart Search'!D13=1,IFERROR(1/'Smart Search'!H13,0),0)</f>
        <v/>
      </c>
      <c r="AA179" s="66">
        <f>IF('Smart Search'!D13=1,IFERROR(1/'Smart Search'!H13,0),0)</f>
        <v/>
      </c>
      <c r="AB179" s="66">
        <f>IF('Smart Search'!E13=1,IFERROR(1/'Smart Search'!H13,0),0)</f>
        <v/>
      </c>
      <c r="AC179" s="66">
        <f>IF('Smart Search'!E13=1,IFERROR(1/'Smart Search'!H13,0),0)</f>
        <v/>
      </c>
      <c r="AD179" s="66">
        <f>IF('Smart Search'!F13=1,IFERROR(1/'Smart Search'!H13,0),0)</f>
        <v/>
      </c>
      <c r="AE179" s="66">
        <f>IF('Smart Search'!F13=1,IFERROR(1/'Smart Search'!H13,0),0)</f>
        <v/>
      </c>
      <c r="AF179" s="66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66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66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66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66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66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66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66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66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66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66">
        <f>AF179*V179</f>
        <v/>
      </c>
      <c r="AQ179" s="66">
        <f>AG179*W179</f>
        <v/>
      </c>
      <c r="AR179" s="66">
        <f>AH179*X179</f>
        <v/>
      </c>
      <c r="AS179" s="66">
        <f>AI179*Y179</f>
        <v/>
      </c>
      <c r="AT179" s="66">
        <f>AJ179*Z179</f>
        <v/>
      </c>
      <c r="AU179" s="66">
        <f>AK179*AA179</f>
        <v/>
      </c>
      <c r="AV179" s="66">
        <f>AL179*AB179</f>
        <v/>
      </c>
      <c r="AW179" s="66">
        <f>AM179*AC179</f>
        <v/>
      </c>
      <c r="AX179" s="66">
        <f>AN179*AD179</f>
        <v/>
      </c>
      <c r="AY179" s="66">
        <f>AO179*AE179</f>
        <v/>
      </c>
      <c r="AZ179" s="66">
        <f>INDEX(Projects[Automation Equipment],178)&amp;""</f>
        <v/>
      </c>
      <c r="BA179" s="66">
        <f>IF(OR(A179="",'Smart Search'!H13=0),"",MAX(0,BE179*BF179*MAX(0,1-BG179)))</f>
        <v/>
      </c>
      <c r="BB179" s="66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66">
        <f>IF('Smart Search'!G13=1,IFERROR(1/'Smart Search'!H13,0),0)</f>
        <v/>
      </c>
      <c r="BD179" s="66">
        <f>BB179*BC179</f>
        <v/>
      </c>
      <c r="BE179" s="66">
        <f>AP179+AQ179+AR179+AS179+AT179+AU179+AV179+AW179+AX179+AY179+BD179</f>
        <v/>
      </c>
      <c r="BF179" s="5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5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5">
        <f>IF(AND(A179&lt;&gt;"",OR('Smart Search'!$L$5="",'Smart Search'!$L$5="All",TRIM(BZ179)=TRIM('Smart Search'!$L$5)),OR(TRIM('Smart Search'!$L$6)="",TRIM('Smart Search'!$L$6)="All",ISNUMBER(SEARCH(SUBSTITUTE(SUBSTITUTE(SUBSTITUTE(TRIM('Smart Search'!$L$6),"~","~~"),"*","~*"),"?","~?"),CA179))),OR('Smart Search'!$L$7="",AND(CB179&lt;&gt;0,CB179='Smart Search'!$L$7)),OR('Smart Search'!$L$8="",'Smart Search'!$L$8="All",TRIM(CC179)=TRIM('Smart Search'!$L$8))),IF(BA179="","",BA179+ROW()*0.0000000001),"")</f>
        <v/>
      </c>
      <c r="BI179" s="5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5">
        <f>IF(A179="","",N(INDEX(Projects[Mech Inst],178)))</f>
        <v/>
      </c>
      <c r="BK179" s="5">
        <f>IF(A179="","",N(INDEX(Projects[Elec Inst],178)))</f>
        <v/>
      </c>
      <c r="BL179" s="5">
        <f>IF(A179="","",N(INDEX(Projects[Project Management],178)))</f>
        <v/>
      </c>
      <c r="BM179" s="5">
        <f>IF(A179="","",N(INDEX(Projects[Systems Eng],178)))</f>
        <v/>
      </c>
      <c r="BN179" s="5">
        <f>IF(A179="","",N(INDEX(Projects[Mechanical Eng],178)))</f>
        <v/>
      </c>
      <c r="BO179" s="5">
        <f>IF(A179="","",N(INDEX(Projects[Structural Engineering],178)))</f>
        <v/>
      </c>
      <c r="BP179" s="5">
        <f>IF(A179="","",N(INDEX(Projects[Site Sup],178)))</f>
        <v/>
      </c>
      <c r="BQ179" s="5">
        <f>IF(A179="","",N(INDEX(Projects[Controls Commissioning],178)))</f>
        <v/>
      </c>
      <c r="BR179" s="5">
        <f>IF(A179="","",N(INDEX(Projects[Systems Commissioning],178)))</f>
        <v/>
      </c>
      <c r="BS179" s="5">
        <f>IF(A179="","",N(INDEX(Projects[Service Commissioning],178)))</f>
        <v/>
      </c>
      <c r="BT179" s="5">
        <f>IF(A179="","",N(INDEX(Projects[Controls Eng],178)))</f>
        <v/>
      </c>
      <c r="BU179" s="5">
        <f>IF(A179="","",N(INDEX(Projects[Controls Purchase],178)))</f>
        <v/>
      </c>
      <c r="BV179" s="5">
        <f>IF(A179="","",N(INDEX(Projects[Software Eng],178)))</f>
        <v/>
      </c>
      <c r="BW179" s="5">
        <f>IF(A179="","",N(INDEX(Projects[Misc],178)))</f>
        <v/>
      </c>
      <c r="BX179" s="5">
        <f>IF(A179="","",SUM(BJ179:BW179))</f>
        <v/>
      </c>
      <c r="BY179" s="5">
        <f>IF(A179="","",IFERROR(IF(ISNUMBER(U179),U179,VALUE(SUBSTITUTE(SUBSTITUTE(SUBSTITUTE(UPPER(TRIM(U179)),"M",""),",","")," ",""))),0))</f>
        <v/>
      </c>
      <c r="BZ179" s="5">
        <f>INDEX(Projects[Solution Type],178)&amp;""</f>
        <v/>
      </c>
      <c r="CA179" s="5">
        <f>INDEX(Projects[Client / Region],178)&amp;""</f>
        <v/>
      </c>
      <c r="CB179" s="5">
        <f>INDEX(Projects[Year],178)</f>
        <v/>
      </c>
      <c r="CC179" s="5">
        <f>INDEX(Projects[Won?],178)&amp;""</f>
        <v/>
      </c>
      <c r="CD179" s="5">
        <f>INDEX(Projects[Value (USD M)],178)</f>
        <v/>
      </c>
    </row>
    <row r="180" ht="15" customHeight="1" s="74">
      <c r="A180" s="66">
        <f>INDEX(Projects[Project ID *],179)&amp;""</f>
        <v/>
      </c>
      <c r="B180" s="66">
        <f>INDEX(Projects[Project Name *],179)&amp;""</f>
        <v/>
      </c>
      <c r="C180" s="66">
        <f>INDEX(Projects[MS Shuttles],179)</f>
        <v/>
      </c>
      <c r="D180" s="66">
        <f>INDEX(Projects[MS Tote Locations],179)</f>
        <v/>
      </c>
      <c r="E180" s="66">
        <f>INDEX(Projects[AS Robots],179)</f>
        <v/>
      </c>
      <c r="F180" s="66">
        <f>INDEX(Projects[AS Tote Locations],179)</f>
        <v/>
      </c>
      <c r="G180" s="66">
        <f>INDEX(Projects[PS Shuttles],179)</f>
        <v/>
      </c>
      <c r="H180" s="66">
        <f>INDEX(Projects[PS Pallet Locations],179)</f>
        <v/>
      </c>
      <c r="I180" s="66">
        <f>INDEX(Projects[SRM Cranes],179)</f>
        <v/>
      </c>
      <c r="J180" s="66">
        <f>INDEX(Projects[SRM Pallet Locations],179)</f>
        <v/>
      </c>
      <c r="K180" s="66">
        <f>INDEX(Projects[Case Conv (m)],179)</f>
        <v/>
      </c>
      <c r="L180" s="66">
        <f>INDEX(Projects[Pallet Conv (m)],179)</f>
        <v/>
      </c>
      <c r="M180" s="66">
        <f>INDEX(Projects[Mech Eng (wks)],179)</f>
        <v/>
      </c>
      <c r="N180" s="66">
        <f>INDEX(Projects[Controls Eng (wks)],179)</f>
        <v/>
      </c>
      <c r="O180" s="66">
        <f>INDEX(Projects[Systems Eng (wks)],179)</f>
        <v/>
      </c>
      <c r="P180" s="66">
        <f>INDEX(Projects[Software Eng (wks)],179)</f>
        <v/>
      </c>
      <c r="Q180" s="66">
        <f>INDEX(Projects[M&amp;E Installation (wks)],179)</f>
        <v/>
      </c>
      <c r="R180" s="66">
        <f>INDEX(Projects[Commissioning (wks)],179)</f>
        <v/>
      </c>
      <c r="S180" s="66">
        <f>INDEX(Projects[Total Timeline (wks)],179)</f>
        <v/>
      </c>
      <c r="T180" s="66">
        <f>INDEX(Projects[Currency],179)&amp;""</f>
        <v/>
      </c>
      <c r="U180" s="67">
        <f>INDEX(Projects[Value (M)],179)</f>
        <v/>
      </c>
      <c r="V180" s="66">
        <f>IF('Smart Search'!B13=1,IFERROR(1/'Smart Search'!H13,0),0)</f>
        <v/>
      </c>
      <c r="W180" s="66">
        <f>IF('Smart Search'!B13=1,IFERROR(1/'Smart Search'!H13,0),0)</f>
        <v/>
      </c>
      <c r="X180" s="66">
        <f>IF('Smart Search'!C13=1,IFERROR(1/'Smart Search'!H13,0),0)</f>
        <v/>
      </c>
      <c r="Y180" s="66">
        <f>IF('Smart Search'!C13=1,IFERROR(1/'Smart Search'!H13,0),0)</f>
        <v/>
      </c>
      <c r="Z180" s="66">
        <f>IF('Smart Search'!D13=1,IFERROR(1/'Smart Search'!H13,0),0)</f>
        <v/>
      </c>
      <c r="AA180" s="66">
        <f>IF('Smart Search'!D13=1,IFERROR(1/'Smart Search'!H13,0),0)</f>
        <v/>
      </c>
      <c r="AB180" s="66">
        <f>IF('Smart Search'!E13=1,IFERROR(1/'Smart Search'!H13,0),0)</f>
        <v/>
      </c>
      <c r="AC180" s="66">
        <f>IF('Smart Search'!E13=1,IFERROR(1/'Smart Search'!H13,0),0)</f>
        <v/>
      </c>
      <c r="AD180" s="66">
        <f>IF('Smart Search'!F13=1,IFERROR(1/'Smart Search'!H13,0),0)</f>
        <v/>
      </c>
      <c r="AE180" s="66">
        <f>IF('Smart Search'!F13=1,IFERROR(1/'Smart Search'!H13,0),0)</f>
        <v/>
      </c>
      <c r="AF180" s="66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66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66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66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66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66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66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66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66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66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66">
        <f>AF180*V180</f>
        <v/>
      </c>
      <c r="AQ180" s="66">
        <f>AG180*W180</f>
        <v/>
      </c>
      <c r="AR180" s="66">
        <f>AH180*X180</f>
        <v/>
      </c>
      <c r="AS180" s="66">
        <f>AI180*Y180</f>
        <v/>
      </c>
      <c r="AT180" s="66">
        <f>AJ180*Z180</f>
        <v/>
      </c>
      <c r="AU180" s="66">
        <f>AK180*AA180</f>
        <v/>
      </c>
      <c r="AV180" s="66">
        <f>AL180*AB180</f>
        <v/>
      </c>
      <c r="AW180" s="66">
        <f>AM180*AC180</f>
        <v/>
      </c>
      <c r="AX180" s="66">
        <f>AN180*AD180</f>
        <v/>
      </c>
      <c r="AY180" s="66">
        <f>AO180*AE180</f>
        <v/>
      </c>
      <c r="AZ180" s="66">
        <f>INDEX(Projects[Automation Equipment],179)&amp;""</f>
        <v/>
      </c>
      <c r="BA180" s="66">
        <f>IF(OR(A180="",'Smart Search'!H13=0),"",MAX(0,BE180*BF180*MAX(0,1-BG180)))</f>
        <v/>
      </c>
      <c r="BB180" s="66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66">
        <f>IF('Smart Search'!G13=1,IFERROR(1/'Smart Search'!H13,0),0)</f>
        <v/>
      </c>
      <c r="BD180" s="66">
        <f>BB180*BC180</f>
        <v/>
      </c>
      <c r="BE180" s="66">
        <f>AP180+AQ180+AR180+AS180+AT180+AU180+AV180+AW180+AX180+AY180+BD180</f>
        <v/>
      </c>
      <c r="BF180" s="5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5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5">
        <f>IF(AND(A180&lt;&gt;"",OR('Smart Search'!$L$5="",'Smart Search'!$L$5="All",TRIM(BZ180)=TRIM('Smart Search'!$L$5)),OR(TRIM('Smart Search'!$L$6)="",TRIM('Smart Search'!$L$6)="All",ISNUMBER(SEARCH(SUBSTITUTE(SUBSTITUTE(SUBSTITUTE(TRIM('Smart Search'!$L$6),"~","~~"),"*","~*"),"?","~?"),CA180))),OR('Smart Search'!$L$7="",AND(CB180&lt;&gt;0,CB180='Smart Search'!$L$7)),OR('Smart Search'!$L$8="",'Smart Search'!$L$8="All",TRIM(CC180)=TRIM('Smart Search'!$L$8))),IF(BA180="","",BA180+ROW()*0.0000000001),"")</f>
        <v/>
      </c>
      <c r="BI180" s="5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5">
        <f>IF(A180="","",N(INDEX(Projects[Mech Inst],179)))</f>
        <v/>
      </c>
      <c r="BK180" s="5">
        <f>IF(A180="","",N(INDEX(Projects[Elec Inst],179)))</f>
        <v/>
      </c>
      <c r="BL180" s="5">
        <f>IF(A180="","",N(INDEX(Projects[Project Management],179)))</f>
        <v/>
      </c>
      <c r="BM180" s="5">
        <f>IF(A180="","",N(INDEX(Projects[Systems Eng],179)))</f>
        <v/>
      </c>
      <c r="BN180" s="5">
        <f>IF(A180="","",N(INDEX(Projects[Mechanical Eng],179)))</f>
        <v/>
      </c>
      <c r="BO180" s="5">
        <f>IF(A180="","",N(INDEX(Projects[Structural Engineering],179)))</f>
        <v/>
      </c>
      <c r="BP180" s="5">
        <f>IF(A180="","",N(INDEX(Projects[Site Sup],179)))</f>
        <v/>
      </c>
      <c r="BQ180" s="5">
        <f>IF(A180="","",N(INDEX(Projects[Controls Commissioning],179)))</f>
        <v/>
      </c>
      <c r="BR180" s="5">
        <f>IF(A180="","",N(INDEX(Projects[Systems Commissioning],179)))</f>
        <v/>
      </c>
      <c r="BS180" s="5">
        <f>IF(A180="","",N(INDEX(Projects[Service Commissioning],179)))</f>
        <v/>
      </c>
      <c r="BT180" s="5">
        <f>IF(A180="","",N(INDEX(Projects[Controls Eng],179)))</f>
        <v/>
      </c>
      <c r="BU180" s="5">
        <f>IF(A180="","",N(INDEX(Projects[Controls Purchase],179)))</f>
        <v/>
      </c>
      <c r="BV180" s="5">
        <f>IF(A180="","",N(INDEX(Projects[Software Eng],179)))</f>
        <v/>
      </c>
      <c r="BW180" s="5">
        <f>IF(A180="","",N(INDEX(Projects[Misc],179)))</f>
        <v/>
      </c>
      <c r="BX180" s="5">
        <f>IF(A180="","",SUM(BJ180:BW180))</f>
        <v/>
      </c>
      <c r="BY180" s="5">
        <f>IF(A180="","",IFERROR(IF(ISNUMBER(U180),U180,VALUE(SUBSTITUTE(SUBSTITUTE(SUBSTITUTE(UPPER(TRIM(U180)),"M",""),",","")," ",""))),0))</f>
        <v/>
      </c>
      <c r="BZ180" s="5">
        <f>INDEX(Projects[Solution Type],179)&amp;""</f>
        <v/>
      </c>
      <c r="CA180" s="5">
        <f>INDEX(Projects[Client / Region],179)&amp;""</f>
        <v/>
      </c>
      <c r="CB180" s="5">
        <f>INDEX(Projects[Year],179)</f>
        <v/>
      </c>
      <c r="CC180" s="5">
        <f>INDEX(Projects[Won?],179)&amp;""</f>
        <v/>
      </c>
      <c r="CD180" s="5">
        <f>INDEX(Projects[Value (USD M)],179)</f>
        <v/>
      </c>
    </row>
    <row r="181" ht="15" customHeight="1" s="74">
      <c r="A181" s="66">
        <f>INDEX(Projects[Project ID *],180)&amp;""</f>
        <v/>
      </c>
      <c r="B181" s="66">
        <f>INDEX(Projects[Project Name *],180)&amp;""</f>
        <v/>
      </c>
      <c r="C181" s="66">
        <f>INDEX(Projects[MS Shuttles],180)</f>
        <v/>
      </c>
      <c r="D181" s="66">
        <f>INDEX(Projects[MS Tote Locations],180)</f>
        <v/>
      </c>
      <c r="E181" s="66">
        <f>INDEX(Projects[AS Robots],180)</f>
        <v/>
      </c>
      <c r="F181" s="66">
        <f>INDEX(Projects[AS Tote Locations],180)</f>
        <v/>
      </c>
      <c r="G181" s="66">
        <f>INDEX(Projects[PS Shuttles],180)</f>
        <v/>
      </c>
      <c r="H181" s="66">
        <f>INDEX(Projects[PS Pallet Locations],180)</f>
        <v/>
      </c>
      <c r="I181" s="66">
        <f>INDEX(Projects[SRM Cranes],180)</f>
        <v/>
      </c>
      <c r="J181" s="66">
        <f>INDEX(Projects[SRM Pallet Locations],180)</f>
        <v/>
      </c>
      <c r="K181" s="66">
        <f>INDEX(Projects[Case Conv (m)],180)</f>
        <v/>
      </c>
      <c r="L181" s="66">
        <f>INDEX(Projects[Pallet Conv (m)],180)</f>
        <v/>
      </c>
      <c r="M181" s="66">
        <f>INDEX(Projects[Mech Eng (wks)],180)</f>
        <v/>
      </c>
      <c r="N181" s="66">
        <f>INDEX(Projects[Controls Eng (wks)],180)</f>
        <v/>
      </c>
      <c r="O181" s="66">
        <f>INDEX(Projects[Systems Eng (wks)],180)</f>
        <v/>
      </c>
      <c r="P181" s="66">
        <f>INDEX(Projects[Software Eng (wks)],180)</f>
        <v/>
      </c>
      <c r="Q181" s="66">
        <f>INDEX(Projects[M&amp;E Installation (wks)],180)</f>
        <v/>
      </c>
      <c r="R181" s="66">
        <f>INDEX(Projects[Commissioning (wks)],180)</f>
        <v/>
      </c>
      <c r="S181" s="66">
        <f>INDEX(Projects[Total Timeline (wks)],180)</f>
        <v/>
      </c>
      <c r="T181" s="66">
        <f>INDEX(Projects[Currency],180)&amp;""</f>
        <v/>
      </c>
      <c r="U181" s="67">
        <f>INDEX(Projects[Value (M)],180)</f>
        <v/>
      </c>
      <c r="V181" s="66">
        <f>IF('Smart Search'!B13=1,IFERROR(1/'Smart Search'!H13,0),0)</f>
        <v/>
      </c>
      <c r="W181" s="66">
        <f>IF('Smart Search'!B13=1,IFERROR(1/'Smart Search'!H13,0),0)</f>
        <v/>
      </c>
      <c r="X181" s="66">
        <f>IF('Smart Search'!C13=1,IFERROR(1/'Smart Search'!H13,0),0)</f>
        <v/>
      </c>
      <c r="Y181" s="66">
        <f>IF('Smart Search'!C13=1,IFERROR(1/'Smart Search'!H13,0),0)</f>
        <v/>
      </c>
      <c r="Z181" s="66">
        <f>IF('Smart Search'!D13=1,IFERROR(1/'Smart Search'!H13,0),0)</f>
        <v/>
      </c>
      <c r="AA181" s="66">
        <f>IF('Smart Search'!D13=1,IFERROR(1/'Smart Search'!H13,0),0)</f>
        <v/>
      </c>
      <c r="AB181" s="66">
        <f>IF('Smart Search'!E13=1,IFERROR(1/'Smart Search'!H13,0),0)</f>
        <v/>
      </c>
      <c r="AC181" s="66">
        <f>IF('Smart Search'!E13=1,IFERROR(1/'Smart Search'!H13,0),0)</f>
        <v/>
      </c>
      <c r="AD181" s="66">
        <f>IF('Smart Search'!F13=1,IFERROR(1/'Smart Search'!H13,0),0)</f>
        <v/>
      </c>
      <c r="AE181" s="66">
        <f>IF('Smart Search'!F13=1,IFERROR(1/'Smart Search'!H13,0),0)</f>
        <v/>
      </c>
      <c r="AF181" s="66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66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66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66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66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66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66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66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66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66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66">
        <f>AF181*V181</f>
        <v/>
      </c>
      <c r="AQ181" s="66">
        <f>AG181*W181</f>
        <v/>
      </c>
      <c r="AR181" s="66">
        <f>AH181*X181</f>
        <v/>
      </c>
      <c r="AS181" s="66">
        <f>AI181*Y181</f>
        <v/>
      </c>
      <c r="AT181" s="66">
        <f>AJ181*Z181</f>
        <v/>
      </c>
      <c r="AU181" s="66">
        <f>AK181*AA181</f>
        <v/>
      </c>
      <c r="AV181" s="66">
        <f>AL181*AB181</f>
        <v/>
      </c>
      <c r="AW181" s="66">
        <f>AM181*AC181</f>
        <v/>
      </c>
      <c r="AX181" s="66">
        <f>AN181*AD181</f>
        <v/>
      </c>
      <c r="AY181" s="66">
        <f>AO181*AE181</f>
        <v/>
      </c>
      <c r="AZ181" s="66">
        <f>INDEX(Projects[Automation Equipment],180)&amp;""</f>
        <v/>
      </c>
      <c r="BA181" s="66">
        <f>IF(OR(A181="",'Smart Search'!H13=0),"",MAX(0,BE181*BF181*MAX(0,1-BG181)))</f>
        <v/>
      </c>
      <c r="BB181" s="66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66">
        <f>IF('Smart Search'!G13=1,IFERROR(1/'Smart Search'!H13,0),0)</f>
        <v/>
      </c>
      <c r="BD181" s="66">
        <f>BB181*BC181</f>
        <v/>
      </c>
      <c r="BE181" s="66">
        <f>AP181+AQ181+AR181+AS181+AT181+AU181+AV181+AW181+AX181+AY181+BD181</f>
        <v/>
      </c>
      <c r="BF181" s="5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5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5">
        <f>IF(AND(A181&lt;&gt;"",OR('Smart Search'!$L$5="",'Smart Search'!$L$5="All",TRIM(BZ181)=TRIM('Smart Search'!$L$5)),OR(TRIM('Smart Search'!$L$6)="",TRIM('Smart Search'!$L$6)="All",ISNUMBER(SEARCH(SUBSTITUTE(SUBSTITUTE(SUBSTITUTE(TRIM('Smart Search'!$L$6),"~","~~"),"*","~*"),"?","~?"),CA181))),OR('Smart Search'!$L$7="",AND(CB181&lt;&gt;0,CB181='Smart Search'!$L$7)),OR('Smart Search'!$L$8="",'Smart Search'!$L$8="All",TRIM(CC181)=TRIM('Smart Search'!$L$8))),IF(BA181="","",BA181+ROW()*0.0000000001),"")</f>
        <v/>
      </c>
      <c r="BI181" s="5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5">
        <f>IF(A181="","",N(INDEX(Projects[Mech Inst],180)))</f>
        <v/>
      </c>
      <c r="BK181" s="5">
        <f>IF(A181="","",N(INDEX(Projects[Elec Inst],180)))</f>
        <v/>
      </c>
      <c r="BL181" s="5">
        <f>IF(A181="","",N(INDEX(Projects[Project Management],180)))</f>
        <v/>
      </c>
      <c r="BM181" s="5">
        <f>IF(A181="","",N(INDEX(Projects[Systems Eng],180)))</f>
        <v/>
      </c>
      <c r="BN181" s="5">
        <f>IF(A181="","",N(INDEX(Projects[Mechanical Eng],180)))</f>
        <v/>
      </c>
      <c r="BO181" s="5">
        <f>IF(A181="","",N(INDEX(Projects[Structural Engineering],180)))</f>
        <v/>
      </c>
      <c r="BP181" s="5">
        <f>IF(A181="","",N(INDEX(Projects[Site Sup],180)))</f>
        <v/>
      </c>
      <c r="BQ181" s="5">
        <f>IF(A181="","",N(INDEX(Projects[Controls Commissioning],180)))</f>
        <v/>
      </c>
      <c r="BR181" s="5">
        <f>IF(A181="","",N(INDEX(Projects[Systems Commissioning],180)))</f>
        <v/>
      </c>
      <c r="BS181" s="5">
        <f>IF(A181="","",N(INDEX(Projects[Service Commissioning],180)))</f>
        <v/>
      </c>
      <c r="BT181" s="5">
        <f>IF(A181="","",N(INDEX(Projects[Controls Eng],180)))</f>
        <v/>
      </c>
      <c r="BU181" s="5">
        <f>IF(A181="","",N(INDEX(Projects[Controls Purchase],180)))</f>
        <v/>
      </c>
      <c r="BV181" s="5">
        <f>IF(A181="","",N(INDEX(Projects[Software Eng],180)))</f>
        <v/>
      </c>
      <c r="BW181" s="5">
        <f>IF(A181="","",N(INDEX(Projects[Misc],180)))</f>
        <v/>
      </c>
      <c r="BX181" s="5">
        <f>IF(A181="","",SUM(BJ181:BW181))</f>
        <v/>
      </c>
      <c r="BY181" s="5">
        <f>IF(A181="","",IFERROR(IF(ISNUMBER(U181),U181,VALUE(SUBSTITUTE(SUBSTITUTE(SUBSTITUTE(UPPER(TRIM(U181)),"M",""),",","")," ",""))),0))</f>
        <v/>
      </c>
      <c r="BZ181" s="5">
        <f>INDEX(Projects[Solution Type],180)&amp;""</f>
        <v/>
      </c>
      <c r="CA181" s="5">
        <f>INDEX(Projects[Client / Region],180)&amp;""</f>
        <v/>
      </c>
      <c r="CB181" s="5">
        <f>INDEX(Projects[Year],180)</f>
        <v/>
      </c>
      <c r="CC181" s="5">
        <f>INDEX(Projects[Won?],180)&amp;""</f>
        <v/>
      </c>
      <c r="CD181" s="5">
        <f>INDEX(Projects[Value (USD M)],180)</f>
        <v/>
      </c>
    </row>
    <row r="182" ht="15" customHeight="1" s="74">
      <c r="A182" s="66">
        <f>INDEX(Projects[Project ID *],181)&amp;""</f>
        <v/>
      </c>
      <c r="B182" s="66">
        <f>INDEX(Projects[Project Name *],181)&amp;""</f>
        <v/>
      </c>
      <c r="C182" s="66">
        <f>INDEX(Projects[MS Shuttles],181)</f>
        <v/>
      </c>
      <c r="D182" s="66">
        <f>INDEX(Projects[MS Tote Locations],181)</f>
        <v/>
      </c>
      <c r="E182" s="66">
        <f>INDEX(Projects[AS Robots],181)</f>
        <v/>
      </c>
      <c r="F182" s="66">
        <f>INDEX(Projects[AS Tote Locations],181)</f>
        <v/>
      </c>
      <c r="G182" s="66">
        <f>INDEX(Projects[PS Shuttles],181)</f>
        <v/>
      </c>
      <c r="H182" s="66">
        <f>INDEX(Projects[PS Pallet Locations],181)</f>
        <v/>
      </c>
      <c r="I182" s="66">
        <f>INDEX(Projects[SRM Cranes],181)</f>
        <v/>
      </c>
      <c r="J182" s="66">
        <f>INDEX(Projects[SRM Pallet Locations],181)</f>
        <v/>
      </c>
      <c r="K182" s="66">
        <f>INDEX(Projects[Case Conv (m)],181)</f>
        <v/>
      </c>
      <c r="L182" s="66">
        <f>INDEX(Projects[Pallet Conv (m)],181)</f>
        <v/>
      </c>
      <c r="M182" s="66">
        <f>INDEX(Projects[Mech Eng (wks)],181)</f>
        <v/>
      </c>
      <c r="N182" s="66">
        <f>INDEX(Projects[Controls Eng (wks)],181)</f>
        <v/>
      </c>
      <c r="O182" s="66">
        <f>INDEX(Projects[Systems Eng (wks)],181)</f>
        <v/>
      </c>
      <c r="P182" s="66">
        <f>INDEX(Projects[Software Eng (wks)],181)</f>
        <v/>
      </c>
      <c r="Q182" s="66">
        <f>INDEX(Projects[M&amp;E Installation (wks)],181)</f>
        <v/>
      </c>
      <c r="R182" s="66">
        <f>INDEX(Projects[Commissioning (wks)],181)</f>
        <v/>
      </c>
      <c r="S182" s="66">
        <f>INDEX(Projects[Total Timeline (wks)],181)</f>
        <v/>
      </c>
      <c r="T182" s="66">
        <f>INDEX(Projects[Currency],181)&amp;""</f>
        <v/>
      </c>
      <c r="U182" s="67">
        <f>INDEX(Projects[Value (M)],181)</f>
        <v/>
      </c>
      <c r="V182" s="66">
        <f>IF('Smart Search'!B13=1,IFERROR(1/'Smart Search'!H13,0),0)</f>
        <v/>
      </c>
      <c r="W182" s="66">
        <f>IF('Smart Search'!B13=1,IFERROR(1/'Smart Search'!H13,0),0)</f>
        <v/>
      </c>
      <c r="X182" s="66">
        <f>IF('Smart Search'!C13=1,IFERROR(1/'Smart Search'!H13,0),0)</f>
        <v/>
      </c>
      <c r="Y182" s="66">
        <f>IF('Smart Search'!C13=1,IFERROR(1/'Smart Search'!H13,0),0)</f>
        <v/>
      </c>
      <c r="Z182" s="66">
        <f>IF('Smart Search'!D13=1,IFERROR(1/'Smart Search'!H13,0),0)</f>
        <v/>
      </c>
      <c r="AA182" s="66">
        <f>IF('Smart Search'!D13=1,IFERROR(1/'Smart Search'!H13,0),0)</f>
        <v/>
      </c>
      <c r="AB182" s="66">
        <f>IF('Smart Search'!E13=1,IFERROR(1/'Smart Search'!H13,0),0)</f>
        <v/>
      </c>
      <c r="AC182" s="66">
        <f>IF('Smart Search'!E13=1,IFERROR(1/'Smart Search'!H13,0),0)</f>
        <v/>
      </c>
      <c r="AD182" s="66">
        <f>IF('Smart Search'!F13=1,IFERROR(1/'Smart Search'!H13,0),0)</f>
        <v/>
      </c>
      <c r="AE182" s="66">
        <f>IF('Smart Search'!F13=1,IFERROR(1/'Smart Search'!H13,0),0)</f>
        <v/>
      </c>
      <c r="AF182" s="66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66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66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66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66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66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66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66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66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66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66">
        <f>AF182*V182</f>
        <v/>
      </c>
      <c r="AQ182" s="66">
        <f>AG182*W182</f>
        <v/>
      </c>
      <c r="AR182" s="66">
        <f>AH182*X182</f>
        <v/>
      </c>
      <c r="AS182" s="66">
        <f>AI182*Y182</f>
        <v/>
      </c>
      <c r="AT182" s="66">
        <f>AJ182*Z182</f>
        <v/>
      </c>
      <c r="AU182" s="66">
        <f>AK182*AA182</f>
        <v/>
      </c>
      <c r="AV182" s="66">
        <f>AL182*AB182</f>
        <v/>
      </c>
      <c r="AW182" s="66">
        <f>AM182*AC182</f>
        <v/>
      </c>
      <c r="AX182" s="66">
        <f>AN182*AD182</f>
        <v/>
      </c>
      <c r="AY182" s="66">
        <f>AO182*AE182</f>
        <v/>
      </c>
      <c r="AZ182" s="66">
        <f>INDEX(Projects[Automation Equipment],181)&amp;""</f>
        <v/>
      </c>
      <c r="BA182" s="66">
        <f>IF(OR(A182="",'Smart Search'!H13=0),"",MAX(0,BE182*BF182*MAX(0,1-BG182)))</f>
        <v/>
      </c>
      <c r="BB182" s="66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66">
        <f>IF('Smart Search'!G13=1,IFERROR(1/'Smart Search'!H13,0),0)</f>
        <v/>
      </c>
      <c r="BD182" s="66">
        <f>BB182*BC182</f>
        <v/>
      </c>
      <c r="BE182" s="66">
        <f>AP182+AQ182+AR182+AS182+AT182+AU182+AV182+AW182+AX182+AY182+BD182</f>
        <v/>
      </c>
      <c r="BF182" s="5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5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5">
        <f>IF(AND(A182&lt;&gt;"",OR('Smart Search'!$L$5="",'Smart Search'!$L$5="All",TRIM(BZ182)=TRIM('Smart Search'!$L$5)),OR(TRIM('Smart Search'!$L$6)="",TRIM('Smart Search'!$L$6)="All",ISNUMBER(SEARCH(SUBSTITUTE(SUBSTITUTE(SUBSTITUTE(TRIM('Smart Search'!$L$6),"~","~~"),"*","~*"),"?","~?"),CA182))),OR('Smart Search'!$L$7="",AND(CB182&lt;&gt;0,CB182='Smart Search'!$L$7)),OR('Smart Search'!$L$8="",'Smart Search'!$L$8="All",TRIM(CC182)=TRIM('Smart Search'!$L$8))),IF(BA182="","",BA182+ROW()*0.0000000001),"")</f>
        <v/>
      </c>
      <c r="BI182" s="5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5">
        <f>IF(A182="","",N(INDEX(Projects[Mech Inst],181)))</f>
        <v/>
      </c>
      <c r="BK182" s="5">
        <f>IF(A182="","",N(INDEX(Projects[Elec Inst],181)))</f>
        <v/>
      </c>
      <c r="BL182" s="5">
        <f>IF(A182="","",N(INDEX(Projects[Project Management],181)))</f>
        <v/>
      </c>
      <c r="BM182" s="5">
        <f>IF(A182="","",N(INDEX(Projects[Systems Eng],181)))</f>
        <v/>
      </c>
      <c r="BN182" s="5">
        <f>IF(A182="","",N(INDEX(Projects[Mechanical Eng],181)))</f>
        <v/>
      </c>
      <c r="BO182" s="5">
        <f>IF(A182="","",N(INDEX(Projects[Structural Engineering],181)))</f>
        <v/>
      </c>
      <c r="BP182" s="5">
        <f>IF(A182="","",N(INDEX(Projects[Site Sup],181)))</f>
        <v/>
      </c>
      <c r="BQ182" s="5">
        <f>IF(A182="","",N(INDEX(Projects[Controls Commissioning],181)))</f>
        <v/>
      </c>
      <c r="BR182" s="5">
        <f>IF(A182="","",N(INDEX(Projects[Systems Commissioning],181)))</f>
        <v/>
      </c>
      <c r="BS182" s="5">
        <f>IF(A182="","",N(INDEX(Projects[Service Commissioning],181)))</f>
        <v/>
      </c>
      <c r="BT182" s="5">
        <f>IF(A182="","",N(INDEX(Projects[Controls Eng],181)))</f>
        <v/>
      </c>
      <c r="BU182" s="5">
        <f>IF(A182="","",N(INDEX(Projects[Controls Purchase],181)))</f>
        <v/>
      </c>
      <c r="BV182" s="5">
        <f>IF(A182="","",N(INDEX(Projects[Software Eng],181)))</f>
        <v/>
      </c>
      <c r="BW182" s="5">
        <f>IF(A182="","",N(INDEX(Projects[Misc],181)))</f>
        <v/>
      </c>
      <c r="BX182" s="5">
        <f>IF(A182="","",SUM(BJ182:BW182))</f>
        <v/>
      </c>
      <c r="BY182" s="5">
        <f>IF(A182="","",IFERROR(IF(ISNUMBER(U182),U182,VALUE(SUBSTITUTE(SUBSTITUTE(SUBSTITUTE(UPPER(TRIM(U182)),"M",""),",","")," ",""))),0))</f>
        <v/>
      </c>
      <c r="BZ182" s="5">
        <f>INDEX(Projects[Solution Type],181)&amp;""</f>
        <v/>
      </c>
      <c r="CA182" s="5">
        <f>INDEX(Projects[Client / Region],181)&amp;""</f>
        <v/>
      </c>
      <c r="CB182" s="5">
        <f>INDEX(Projects[Year],181)</f>
        <v/>
      </c>
      <c r="CC182" s="5">
        <f>INDEX(Projects[Won?],181)&amp;""</f>
        <v/>
      </c>
      <c r="CD182" s="5">
        <f>INDEX(Projects[Value (USD M)],181)</f>
        <v/>
      </c>
    </row>
    <row r="183" ht="15" customHeight="1" s="74">
      <c r="A183" s="66">
        <f>INDEX(Projects[Project ID *],182)&amp;""</f>
        <v/>
      </c>
      <c r="B183" s="66">
        <f>INDEX(Projects[Project Name *],182)&amp;""</f>
        <v/>
      </c>
      <c r="C183" s="66">
        <f>INDEX(Projects[MS Shuttles],182)</f>
        <v/>
      </c>
      <c r="D183" s="66">
        <f>INDEX(Projects[MS Tote Locations],182)</f>
        <v/>
      </c>
      <c r="E183" s="66">
        <f>INDEX(Projects[AS Robots],182)</f>
        <v/>
      </c>
      <c r="F183" s="66">
        <f>INDEX(Projects[AS Tote Locations],182)</f>
        <v/>
      </c>
      <c r="G183" s="66">
        <f>INDEX(Projects[PS Shuttles],182)</f>
        <v/>
      </c>
      <c r="H183" s="66">
        <f>INDEX(Projects[PS Pallet Locations],182)</f>
        <v/>
      </c>
      <c r="I183" s="66">
        <f>INDEX(Projects[SRM Cranes],182)</f>
        <v/>
      </c>
      <c r="J183" s="66">
        <f>INDEX(Projects[SRM Pallet Locations],182)</f>
        <v/>
      </c>
      <c r="K183" s="66">
        <f>INDEX(Projects[Case Conv (m)],182)</f>
        <v/>
      </c>
      <c r="L183" s="66">
        <f>INDEX(Projects[Pallet Conv (m)],182)</f>
        <v/>
      </c>
      <c r="M183" s="66">
        <f>INDEX(Projects[Mech Eng (wks)],182)</f>
        <v/>
      </c>
      <c r="N183" s="66">
        <f>INDEX(Projects[Controls Eng (wks)],182)</f>
        <v/>
      </c>
      <c r="O183" s="66">
        <f>INDEX(Projects[Systems Eng (wks)],182)</f>
        <v/>
      </c>
      <c r="P183" s="66">
        <f>INDEX(Projects[Software Eng (wks)],182)</f>
        <v/>
      </c>
      <c r="Q183" s="66">
        <f>INDEX(Projects[M&amp;E Installation (wks)],182)</f>
        <v/>
      </c>
      <c r="R183" s="66">
        <f>INDEX(Projects[Commissioning (wks)],182)</f>
        <v/>
      </c>
      <c r="S183" s="66">
        <f>INDEX(Projects[Total Timeline (wks)],182)</f>
        <v/>
      </c>
      <c r="T183" s="66">
        <f>INDEX(Projects[Currency],182)&amp;""</f>
        <v/>
      </c>
      <c r="U183" s="67">
        <f>INDEX(Projects[Value (M)],182)</f>
        <v/>
      </c>
      <c r="V183" s="66">
        <f>IF('Smart Search'!B13=1,IFERROR(1/'Smart Search'!H13,0),0)</f>
        <v/>
      </c>
      <c r="W183" s="66">
        <f>IF('Smart Search'!B13=1,IFERROR(1/'Smart Search'!H13,0),0)</f>
        <v/>
      </c>
      <c r="X183" s="66">
        <f>IF('Smart Search'!C13=1,IFERROR(1/'Smart Search'!H13,0),0)</f>
        <v/>
      </c>
      <c r="Y183" s="66">
        <f>IF('Smart Search'!C13=1,IFERROR(1/'Smart Search'!H13,0),0)</f>
        <v/>
      </c>
      <c r="Z183" s="66">
        <f>IF('Smart Search'!D13=1,IFERROR(1/'Smart Search'!H13,0),0)</f>
        <v/>
      </c>
      <c r="AA183" s="66">
        <f>IF('Smart Search'!D13=1,IFERROR(1/'Smart Search'!H13,0),0)</f>
        <v/>
      </c>
      <c r="AB183" s="66">
        <f>IF('Smart Search'!E13=1,IFERROR(1/'Smart Search'!H13,0),0)</f>
        <v/>
      </c>
      <c r="AC183" s="66">
        <f>IF('Smart Search'!E13=1,IFERROR(1/'Smart Search'!H13,0),0)</f>
        <v/>
      </c>
      <c r="AD183" s="66">
        <f>IF('Smart Search'!F13=1,IFERROR(1/'Smart Search'!H13,0),0)</f>
        <v/>
      </c>
      <c r="AE183" s="66">
        <f>IF('Smart Search'!F13=1,IFERROR(1/'Smart Search'!H13,0),0)</f>
        <v/>
      </c>
      <c r="AF183" s="66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66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66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66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66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66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66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66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66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66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66">
        <f>AF183*V183</f>
        <v/>
      </c>
      <c r="AQ183" s="66">
        <f>AG183*W183</f>
        <v/>
      </c>
      <c r="AR183" s="66">
        <f>AH183*X183</f>
        <v/>
      </c>
      <c r="AS183" s="66">
        <f>AI183*Y183</f>
        <v/>
      </c>
      <c r="AT183" s="66">
        <f>AJ183*Z183</f>
        <v/>
      </c>
      <c r="AU183" s="66">
        <f>AK183*AA183</f>
        <v/>
      </c>
      <c r="AV183" s="66">
        <f>AL183*AB183</f>
        <v/>
      </c>
      <c r="AW183" s="66">
        <f>AM183*AC183</f>
        <v/>
      </c>
      <c r="AX183" s="66">
        <f>AN183*AD183</f>
        <v/>
      </c>
      <c r="AY183" s="66">
        <f>AO183*AE183</f>
        <v/>
      </c>
      <c r="AZ183" s="66">
        <f>INDEX(Projects[Automation Equipment],182)&amp;""</f>
        <v/>
      </c>
      <c r="BA183" s="66">
        <f>IF(OR(A183="",'Smart Search'!H13=0),"",MAX(0,BE183*BF183*MAX(0,1-BG183)))</f>
        <v/>
      </c>
      <c r="BB183" s="66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66">
        <f>IF('Smart Search'!G13=1,IFERROR(1/'Smart Search'!H13,0),0)</f>
        <v/>
      </c>
      <c r="BD183" s="66">
        <f>BB183*BC183</f>
        <v/>
      </c>
      <c r="BE183" s="66">
        <f>AP183+AQ183+AR183+AS183+AT183+AU183+AV183+AW183+AX183+AY183+BD183</f>
        <v/>
      </c>
      <c r="BF183" s="5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5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5">
        <f>IF(AND(A183&lt;&gt;"",OR('Smart Search'!$L$5="",'Smart Search'!$L$5="All",TRIM(BZ183)=TRIM('Smart Search'!$L$5)),OR(TRIM('Smart Search'!$L$6)="",TRIM('Smart Search'!$L$6)="All",ISNUMBER(SEARCH(SUBSTITUTE(SUBSTITUTE(SUBSTITUTE(TRIM('Smart Search'!$L$6),"~","~~"),"*","~*"),"?","~?"),CA183))),OR('Smart Search'!$L$7="",AND(CB183&lt;&gt;0,CB183='Smart Search'!$L$7)),OR('Smart Search'!$L$8="",'Smart Search'!$L$8="All",TRIM(CC183)=TRIM('Smart Search'!$L$8))),IF(BA183="","",BA183+ROW()*0.0000000001),"")</f>
        <v/>
      </c>
      <c r="BI183" s="5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5">
        <f>IF(A183="","",N(INDEX(Projects[Mech Inst],182)))</f>
        <v/>
      </c>
      <c r="BK183" s="5">
        <f>IF(A183="","",N(INDEX(Projects[Elec Inst],182)))</f>
        <v/>
      </c>
      <c r="BL183" s="5">
        <f>IF(A183="","",N(INDEX(Projects[Project Management],182)))</f>
        <v/>
      </c>
      <c r="BM183" s="5">
        <f>IF(A183="","",N(INDEX(Projects[Systems Eng],182)))</f>
        <v/>
      </c>
      <c r="BN183" s="5">
        <f>IF(A183="","",N(INDEX(Projects[Mechanical Eng],182)))</f>
        <v/>
      </c>
      <c r="BO183" s="5">
        <f>IF(A183="","",N(INDEX(Projects[Structural Engineering],182)))</f>
        <v/>
      </c>
      <c r="BP183" s="5">
        <f>IF(A183="","",N(INDEX(Projects[Site Sup],182)))</f>
        <v/>
      </c>
      <c r="BQ183" s="5">
        <f>IF(A183="","",N(INDEX(Projects[Controls Commissioning],182)))</f>
        <v/>
      </c>
      <c r="BR183" s="5">
        <f>IF(A183="","",N(INDEX(Projects[Systems Commissioning],182)))</f>
        <v/>
      </c>
      <c r="BS183" s="5">
        <f>IF(A183="","",N(INDEX(Projects[Service Commissioning],182)))</f>
        <v/>
      </c>
      <c r="BT183" s="5">
        <f>IF(A183="","",N(INDEX(Projects[Controls Eng],182)))</f>
        <v/>
      </c>
      <c r="BU183" s="5">
        <f>IF(A183="","",N(INDEX(Projects[Controls Purchase],182)))</f>
        <v/>
      </c>
      <c r="BV183" s="5">
        <f>IF(A183="","",N(INDEX(Projects[Software Eng],182)))</f>
        <v/>
      </c>
      <c r="BW183" s="5">
        <f>IF(A183="","",N(INDEX(Projects[Misc],182)))</f>
        <v/>
      </c>
      <c r="BX183" s="5">
        <f>IF(A183="","",SUM(BJ183:BW183))</f>
        <v/>
      </c>
      <c r="BY183" s="5">
        <f>IF(A183="","",IFERROR(IF(ISNUMBER(U183),U183,VALUE(SUBSTITUTE(SUBSTITUTE(SUBSTITUTE(UPPER(TRIM(U183)),"M",""),",","")," ",""))),0))</f>
        <v/>
      </c>
      <c r="BZ183" s="5">
        <f>INDEX(Projects[Solution Type],182)&amp;""</f>
        <v/>
      </c>
      <c r="CA183" s="5">
        <f>INDEX(Projects[Client / Region],182)&amp;""</f>
        <v/>
      </c>
      <c r="CB183" s="5">
        <f>INDEX(Projects[Year],182)</f>
        <v/>
      </c>
      <c r="CC183" s="5">
        <f>INDEX(Projects[Won?],182)&amp;""</f>
        <v/>
      </c>
      <c r="CD183" s="5">
        <f>INDEX(Projects[Value (USD M)],182)</f>
        <v/>
      </c>
    </row>
    <row r="184" ht="15" customHeight="1" s="74">
      <c r="A184" s="66">
        <f>INDEX(Projects[Project ID *],183)&amp;""</f>
        <v/>
      </c>
      <c r="B184" s="66">
        <f>INDEX(Projects[Project Name *],183)&amp;""</f>
        <v/>
      </c>
      <c r="C184" s="66">
        <f>INDEX(Projects[MS Shuttles],183)</f>
        <v/>
      </c>
      <c r="D184" s="66">
        <f>INDEX(Projects[MS Tote Locations],183)</f>
        <v/>
      </c>
      <c r="E184" s="66">
        <f>INDEX(Projects[AS Robots],183)</f>
        <v/>
      </c>
      <c r="F184" s="66">
        <f>INDEX(Projects[AS Tote Locations],183)</f>
        <v/>
      </c>
      <c r="G184" s="66">
        <f>INDEX(Projects[PS Shuttles],183)</f>
        <v/>
      </c>
      <c r="H184" s="66">
        <f>INDEX(Projects[PS Pallet Locations],183)</f>
        <v/>
      </c>
      <c r="I184" s="66">
        <f>INDEX(Projects[SRM Cranes],183)</f>
        <v/>
      </c>
      <c r="J184" s="66">
        <f>INDEX(Projects[SRM Pallet Locations],183)</f>
        <v/>
      </c>
      <c r="K184" s="66">
        <f>INDEX(Projects[Case Conv (m)],183)</f>
        <v/>
      </c>
      <c r="L184" s="66">
        <f>INDEX(Projects[Pallet Conv (m)],183)</f>
        <v/>
      </c>
      <c r="M184" s="66">
        <f>INDEX(Projects[Mech Eng (wks)],183)</f>
        <v/>
      </c>
      <c r="N184" s="66">
        <f>INDEX(Projects[Controls Eng (wks)],183)</f>
        <v/>
      </c>
      <c r="O184" s="66">
        <f>INDEX(Projects[Systems Eng (wks)],183)</f>
        <v/>
      </c>
      <c r="P184" s="66">
        <f>INDEX(Projects[Software Eng (wks)],183)</f>
        <v/>
      </c>
      <c r="Q184" s="66">
        <f>INDEX(Projects[M&amp;E Installation (wks)],183)</f>
        <v/>
      </c>
      <c r="R184" s="66">
        <f>INDEX(Projects[Commissioning (wks)],183)</f>
        <v/>
      </c>
      <c r="S184" s="66">
        <f>INDEX(Projects[Total Timeline (wks)],183)</f>
        <v/>
      </c>
      <c r="T184" s="66">
        <f>INDEX(Projects[Currency],183)&amp;""</f>
        <v/>
      </c>
      <c r="U184" s="67">
        <f>INDEX(Projects[Value (M)],183)</f>
        <v/>
      </c>
      <c r="V184" s="66">
        <f>IF('Smart Search'!B13=1,IFERROR(1/'Smart Search'!H13,0),0)</f>
        <v/>
      </c>
      <c r="W184" s="66">
        <f>IF('Smart Search'!B13=1,IFERROR(1/'Smart Search'!H13,0),0)</f>
        <v/>
      </c>
      <c r="X184" s="66">
        <f>IF('Smart Search'!C13=1,IFERROR(1/'Smart Search'!H13,0),0)</f>
        <v/>
      </c>
      <c r="Y184" s="66">
        <f>IF('Smart Search'!C13=1,IFERROR(1/'Smart Search'!H13,0),0)</f>
        <v/>
      </c>
      <c r="Z184" s="66">
        <f>IF('Smart Search'!D13=1,IFERROR(1/'Smart Search'!H13,0),0)</f>
        <v/>
      </c>
      <c r="AA184" s="66">
        <f>IF('Smart Search'!D13=1,IFERROR(1/'Smart Search'!H13,0),0)</f>
        <v/>
      </c>
      <c r="AB184" s="66">
        <f>IF('Smart Search'!E13=1,IFERROR(1/'Smart Search'!H13,0),0)</f>
        <v/>
      </c>
      <c r="AC184" s="66">
        <f>IF('Smart Search'!E13=1,IFERROR(1/'Smart Search'!H13,0),0)</f>
        <v/>
      </c>
      <c r="AD184" s="66">
        <f>IF('Smart Search'!F13=1,IFERROR(1/'Smart Search'!H13,0),0)</f>
        <v/>
      </c>
      <c r="AE184" s="66">
        <f>IF('Smart Search'!F13=1,IFERROR(1/'Smart Search'!H13,0),0)</f>
        <v/>
      </c>
      <c r="AF184" s="66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66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66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66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66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66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66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66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66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66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66">
        <f>AF184*V184</f>
        <v/>
      </c>
      <c r="AQ184" s="66">
        <f>AG184*W184</f>
        <v/>
      </c>
      <c r="AR184" s="66">
        <f>AH184*X184</f>
        <v/>
      </c>
      <c r="AS184" s="66">
        <f>AI184*Y184</f>
        <v/>
      </c>
      <c r="AT184" s="66">
        <f>AJ184*Z184</f>
        <v/>
      </c>
      <c r="AU184" s="66">
        <f>AK184*AA184</f>
        <v/>
      </c>
      <c r="AV184" s="66">
        <f>AL184*AB184</f>
        <v/>
      </c>
      <c r="AW184" s="66">
        <f>AM184*AC184</f>
        <v/>
      </c>
      <c r="AX184" s="66">
        <f>AN184*AD184</f>
        <v/>
      </c>
      <c r="AY184" s="66">
        <f>AO184*AE184</f>
        <v/>
      </c>
      <c r="AZ184" s="66">
        <f>INDEX(Projects[Automation Equipment],183)&amp;""</f>
        <v/>
      </c>
      <c r="BA184" s="66">
        <f>IF(OR(A184="",'Smart Search'!H13=0),"",MAX(0,BE184*BF184*MAX(0,1-BG184)))</f>
        <v/>
      </c>
      <c r="BB184" s="66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66">
        <f>IF('Smart Search'!G13=1,IFERROR(1/'Smart Search'!H13,0),0)</f>
        <v/>
      </c>
      <c r="BD184" s="66">
        <f>BB184*BC184</f>
        <v/>
      </c>
      <c r="BE184" s="66">
        <f>AP184+AQ184+AR184+AS184+AT184+AU184+AV184+AW184+AX184+AY184+BD184</f>
        <v/>
      </c>
      <c r="BF184" s="5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5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5">
        <f>IF(AND(A184&lt;&gt;"",OR('Smart Search'!$L$5="",'Smart Search'!$L$5="All",TRIM(BZ184)=TRIM('Smart Search'!$L$5)),OR(TRIM('Smart Search'!$L$6)="",TRIM('Smart Search'!$L$6)="All",ISNUMBER(SEARCH(SUBSTITUTE(SUBSTITUTE(SUBSTITUTE(TRIM('Smart Search'!$L$6),"~","~~"),"*","~*"),"?","~?"),CA184))),OR('Smart Search'!$L$7="",AND(CB184&lt;&gt;0,CB184='Smart Search'!$L$7)),OR('Smart Search'!$L$8="",'Smart Search'!$L$8="All",TRIM(CC184)=TRIM('Smart Search'!$L$8))),IF(BA184="","",BA184+ROW()*0.0000000001),"")</f>
        <v/>
      </c>
      <c r="BI184" s="5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5">
        <f>IF(A184="","",N(INDEX(Projects[Mech Inst],183)))</f>
        <v/>
      </c>
      <c r="BK184" s="5">
        <f>IF(A184="","",N(INDEX(Projects[Elec Inst],183)))</f>
        <v/>
      </c>
      <c r="BL184" s="5">
        <f>IF(A184="","",N(INDEX(Projects[Project Management],183)))</f>
        <v/>
      </c>
      <c r="BM184" s="5">
        <f>IF(A184="","",N(INDEX(Projects[Systems Eng],183)))</f>
        <v/>
      </c>
      <c r="BN184" s="5">
        <f>IF(A184="","",N(INDEX(Projects[Mechanical Eng],183)))</f>
        <v/>
      </c>
      <c r="BO184" s="5">
        <f>IF(A184="","",N(INDEX(Projects[Structural Engineering],183)))</f>
        <v/>
      </c>
      <c r="BP184" s="5">
        <f>IF(A184="","",N(INDEX(Projects[Site Sup],183)))</f>
        <v/>
      </c>
      <c r="BQ184" s="5">
        <f>IF(A184="","",N(INDEX(Projects[Controls Commissioning],183)))</f>
        <v/>
      </c>
      <c r="BR184" s="5">
        <f>IF(A184="","",N(INDEX(Projects[Systems Commissioning],183)))</f>
        <v/>
      </c>
      <c r="BS184" s="5">
        <f>IF(A184="","",N(INDEX(Projects[Service Commissioning],183)))</f>
        <v/>
      </c>
      <c r="BT184" s="5">
        <f>IF(A184="","",N(INDEX(Projects[Controls Eng],183)))</f>
        <v/>
      </c>
      <c r="BU184" s="5">
        <f>IF(A184="","",N(INDEX(Projects[Controls Purchase],183)))</f>
        <v/>
      </c>
      <c r="BV184" s="5">
        <f>IF(A184="","",N(INDEX(Projects[Software Eng],183)))</f>
        <v/>
      </c>
      <c r="BW184" s="5">
        <f>IF(A184="","",N(INDEX(Projects[Misc],183)))</f>
        <v/>
      </c>
      <c r="BX184" s="5">
        <f>IF(A184="","",SUM(BJ184:BW184))</f>
        <v/>
      </c>
      <c r="BY184" s="5">
        <f>IF(A184="","",IFERROR(IF(ISNUMBER(U184),U184,VALUE(SUBSTITUTE(SUBSTITUTE(SUBSTITUTE(UPPER(TRIM(U184)),"M",""),",","")," ",""))),0))</f>
        <v/>
      </c>
      <c r="BZ184" s="5">
        <f>INDEX(Projects[Solution Type],183)&amp;""</f>
        <v/>
      </c>
      <c r="CA184" s="5">
        <f>INDEX(Projects[Client / Region],183)&amp;""</f>
        <v/>
      </c>
      <c r="CB184" s="5">
        <f>INDEX(Projects[Year],183)</f>
        <v/>
      </c>
      <c r="CC184" s="5">
        <f>INDEX(Projects[Won?],183)&amp;""</f>
        <v/>
      </c>
      <c r="CD184" s="5">
        <f>INDEX(Projects[Value (USD M)],183)</f>
        <v/>
      </c>
    </row>
    <row r="185" ht="15" customHeight="1" s="74">
      <c r="A185" s="66">
        <f>INDEX(Projects[Project ID *],184)&amp;""</f>
        <v/>
      </c>
      <c r="B185" s="66">
        <f>INDEX(Projects[Project Name *],184)&amp;""</f>
        <v/>
      </c>
      <c r="C185" s="66">
        <f>INDEX(Projects[MS Shuttles],184)</f>
        <v/>
      </c>
      <c r="D185" s="66">
        <f>INDEX(Projects[MS Tote Locations],184)</f>
        <v/>
      </c>
      <c r="E185" s="66">
        <f>INDEX(Projects[AS Robots],184)</f>
        <v/>
      </c>
      <c r="F185" s="66">
        <f>INDEX(Projects[AS Tote Locations],184)</f>
        <v/>
      </c>
      <c r="G185" s="66">
        <f>INDEX(Projects[PS Shuttles],184)</f>
        <v/>
      </c>
      <c r="H185" s="66">
        <f>INDEX(Projects[PS Pallet Locations],184)</f>
        <v/>
      </c>
      <c r="I185" s="66">
        <f>INDEX(Projects[SRM Cranes],184)</f>
        <v/>
      </c>
      <c r="J185" s="66">
        <f>INDEX(Projects[SRM Pallet Locations],184)</f>
        <v/>
      </c>
      <c r="K185" s="66">
        <f>INDEX(Projects[Case Conv (m)],184)</f>
        <v/>
      </c>
      <c r="L185" s="66">
        <f>INDEX(Projects[Pallet Conv (m)],184)</f>
        <v/>
      </c>
      <c r="M185" s="66">
        <f>INDEX(Projects[Mech Eng (wks)],184)</f>
        <v/>
      </c>
      <c r="N185" s="66">
        <f>INDEX(Projects[Controls Eng (wks)],184)</f>
        <v/>
      </c>
      <c r="O185" s="66">
        <f>INDEX(Projects[Systems Eng (wks)],184)</f>
        <v/>
      </c>
      <c r="P185" s="66">
        <f>INDEX(Projects[Software Eng (wks)],184)</f>
        <v/>
      </c>
      <c r="Q185" s="66">
        <f>INDEX(Projects[M&amp;E Installation (wks)],184)</f>
        <v/>
      </c>
      <c r="R185" s="66">
        <f>INDEX(Projects[Commissioning (wks)],184)</f>
        <v/>
      </c>
      <c r="S185" s="66">
        <f>INDEX(Projects[Total Timeline (wks)],184)</f>
        <v/>
      </c>
      <c r="T185" s="66">
        <f>INDEX(Projects[Currency],184)&amp;""</f>
        <v/>
      </c>
      <c r="U185" s="67">
        <f>INDEX(Projects[Value (M)],184)</f>
        <v/>
      </c>
      <c r="V185" s="66">
        <f>IF('Smart Search'!B13=1,IFERROR(1/'Smart Search'!H13,0),0)</f>
        <v/>
      </c>
      <c r="W185" s="66">
        <f>IF('Smart Search'!B13=1,IFERROR(1/'Smart Search'!H13,0),0)</f>
        <v/>
      </c>
      <c r="X185" s="66">
        <f>IF('Smart Search'!C13=1,IFERROR(1/'Smart Search'!H13,0),0)</f>
        <v/>
      </c>
      <c r="Y185" s="66">
        <f>IF('Smart Search'!C13=1,IFERROR(1/'Smart Search'!H13,0),0)</f>
        <v/>
      </c>
      <c r="Z185" s="66">
        <f>IF('Smart Search'!D13=1,IFERROR(1/'Smart Search'!H13,0),0)</f>
        <v/>
      </c>
      <c r="AA185" s="66">
        <f>IF('Smart Search'!D13=1,IFERROR(1/'Smart Search'!H13,0),0)</f>
        <v/>
      </c>
      <c r="AB185" s="66">
        <f>IF('Smart Search'!E13=1,IFERROR(1/'Smart Search'!H13,0),0)</f>
        <v/>
      </c>
      <c r="AC185" s="66">
        <f>IF('Smart Search'!E13=1,IFERROR(1/'Smart Search'!H13,0),0)</f>
        <v/>
      </c>
      <c r="AD185" s="66">
        <f>IF('Smart Search'!F13=1,IFERROR(1/'Smart Search'!H13,0),0)</f>
        <v/>
      </c>
      <c r="AE185" s="66">
        <f>IF('Smart Search'!F13=1,IFERROR(1/'Smart Search'!H13,0),0)</f>
        <v/>
      </c>
      <c r="AF185" s="66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66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66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66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66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66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66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66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66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66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66">
        <f>AF185*V185</f>
        <v/>
      </c>
      <c r="AQ185" s="66">
        <f>AG185*W185</f>
        <v/>
      </c>
      <c r="AR185" s="66">
        <f>AH185*X185</f>
        <v/>
      </c>
      <c r="AS185" s="66">
        <f>AI185*Y185</f>
        <v/>
      </c>
      <c r="AT185" s="66">
        <f>AJ185*Z185</f>
        <v/>
      </c>
      <c r="AU185" s="66">
        <f>AK185*AA185</f>
        <v/>
      </c>
      <c r="AV185" s="66">
        <f>AL185*AB185</f>
        <v/>
      </c>
      <c r="AW185" s="66">
        <f>AM185*AC185</f>
        <v/>
      </c>
      <c r="AX185" s="66">
        <f>AN185*AD185</f>
        <v/>
      </c>
      <c r="AY185" s="66">
        <f>AO185*AE185</f>
        <v/>
      </c>
      <c r="AZ185" s="66">
        <f>INDEX(Projects[Automation Equipment],184)&amp;""</f>
        <v/>
      </c>
      <c r="BA185" s="66">
        <f>IF(OR(A185="",'Smart Search'!H13=0),"",MAX(0,BE185*BF185*MAX(0,1-BG185)))</f>
        <v/>
      </c>
      <c r="BB185" s="66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66">
        <f>IF('Smart Search'!G13=1,IFERROR(1/'Smart Search'!H13,0),0)</f>
        <v/>
      </c>
      <c r="BD185" s="66">
        <f>BB185*BC185</f>
        <v/>
      </c>
      <c r="BE185" s="66">
        <f>AP185+AQ185+AR185+AS185+AT185+AU185+AV185+AW185+AX185+AY185+BD185</f>
        <v/>
      </c>
      <c r="BF185" s="5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5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5">
        <f>IF(AND(A185&lt;&gt;"",OR('Smart Search'!$L$5="",'Smart Search'!$L$5="All",TRIM(BZ185)=TRIM('Smart Search'!$L$5)),OR(TRIM('Smart Search'!$L$6)="",TRIM('Smart Search'!$L$6)="All",ISNUMBER(SEARCH(SUBSTITUTE(SUBSTITUTE(SUBSTITUTE(TRIM('Smart Search'!$L$6),"~","~~"),"*","~*"),"?","~?"),CA185))),OR('Smart Search'!$L$7="",AND(CB185&lt;&gt;0,CB185='Smart Search'!$L$7)),OR('Smart Search'!$L$8="",'Smart Search'!$L$8="All",TRIM(CC185)=TRIM('Smart Search'!$L$8))),IF(BA185="","",BA185+ROW()*0.0000000001),"")</f>
        <v/>
      </c>
      <c r="BI185" s="5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5">
        <f>IF(A185="","",N(INDEX(Projects[Mech Inst],184)))</f>
        <v/>
      </c>
      <c r="BK185" s="5">
        <f>IF(A185="","",N(INDEX(Projects[Elec Inst],184)))</f>
        <v/>
      </c>
      <c r="BL185" s="5">
        <f>IF(A185="","",N(INDEX(Projects[Project Management],184)))</f>
        <v/>
      </c>
      <c r="BM185" s="5">
        <f>IF(A185="","",N(INDEX(Projects[Systems Eng],184)))</f>
        <v/>
      </c>
      <c r="BN185" s="5">
        <f>IF(A185="","",N(INDEX(Projects[Mechanical Eng],184)))</f>
        <v/>
      </c>
      <c r="BO185" s="5">
        <f>IF(A185="","",N(INDEX(Projects[Structural Engineering],184)))</f>
        <v/>
      </c>
      <c r="BP185" s="5">
        <f>IF(A185="","",N(INDEX(Projects[Site Sup],184)))</f>
        <v/>
      </c>
      <c r="BQ185" s="5">
        <f>IF(A185="","",N(INDEX(Projects[Controls Commissioning],184)))</f>
        <v/>
      </c>
      <c r="BR185" s="5">
        <f>IF(A185="","",N(INDEX(Projects[Systems Commissioning],184)))</f>
        <v/>
      </c>
      <c r="BS185" s="5">
        <f>IF(A185="","",N(INDEX(Projects[Service Commissioning],184)))</f>
        <v/>
      </c>
      <c r="BT185" s="5">
        <f>IF(A185="","",N(INDEX(Projects[Controls Eng],184)))</f>
        <v/>
      </c>
      <c r="BU185" s="5">
        <f>IF(A185="","",N(INDEX(Projects[Controls Purchase],184)))</f>
        <v/>
      </c>
      <c r="BV185" s="5">
        <f>IF(A185="","",N(INDEX(Projects[Software Eng],184)))</f>
        <v/>
      </c>
      <c r="BW185" s="5">
        <f>IF(A185="","",N(INDEX(Projects[Misc],184)))</f>
        <v/>
      </c>
      <c r="BX185" s="5">
        <f>IF(A185="","",SUM(BJ185:BW185))</f>
        <v/>
      </c>
      <c r="BY185" s="5">
        <f>IF(A185="","",IFERROR(IF(ISNUMBER(U185),U185,VALUE(SUBSTITUTE(SUBSTITUTE(SUBSTITUTE(UPPER(TRIM(U185)),"M",""),",","")," ",""))),0))</f>
        <v/>
      </c>
      <c r="BZ185" s="5">
        <f>INDEX(Projects[Solution Type],184)&amp;""</f>
        <v/>
      </c>
      <c r="CA185" s="5">
        <f>INDEX(Projects[Client / Region],184)&amp;""</f>
        <v/>
      </c>
      <c r="CB185" s="5">
        <f>INDEX(Projects[Year],184)</f>
        <v/>
      </c>
      <c r="CC185" s="5">
        <f>INDEX(Projects[Won?],184)&amp;""</f>
        <v/>
      </c>
      <c r="CD185" s="5">
        <f>INDEX(Projects[Value (USD M)],184)</f>
        <v/>
      </c>
    </row>
    <row r="186" ht="15" customHeight="1" s="74">
      <c r="A186" s="66">
        <f>INDEX(Projects[Project ID *],185)&amp;""</f>
        <v/>
      </c>
      <c r="B186" s="66">
        <f>INDEX(Projects[Project Name *],185)&amp;""</f>
        <v/>
      </c>
      <c r="C186" s="66">
        <f>INDEX(Projects[MS Shuttles],185)</f>
        <v/>
      </c>
      <c r="D186" s="66">
        <f>INDEX(Projects[MS Tote Locations],185)</f>
        <v/>
      </c>
      <c r="E186" s="66">
        <f>INDEX(Projects[AS Robots],185)</f>
        <v/>
      </c>
      <c r="F186" s="66">
        <f>INDEX(Projects[AS Tote Locations],185)</f>
        <v/>
      </c>
      <c r="G186" s="66">
        <f>INDEX(Projects[PS Shuttles],185)</f>
        <v/>
      </c>
      <c r="H186" s="66">
        <f>INDEX(Projects[PS Pallet Locations],185)</f>
        <v/>
      </c>
      <c r="I186" s="66">
        <f>INDEX(Projects[SRM Cranes],185)</f>
        <v/>
      </c>
      <c r="J186" s="66">
        <f>INDEX(Projects[SRM Pallet Locations],185)</f>
        <v/>
      </c>
      <c r="K186" s="66">
        <f>INDEX(Projects[Case Conv (m)],185)</f>
        <v/>
      </c>
      <c r="L186" s="66">
        <f>INDEX(Projects[Pallet Conv (m)],185)</f>
        <v/>
      </c>
      <c r="M186" s="66">
        <f>INDEX(Projects[Mech Eng (wks)],185)</f>
        <v/>
      </c>
      <c r="N186" s="66">
        <f>INDEX(Projects[Controls Eng (wks)],185)</f>
        <v/>
      </c>
      <c r="O186" s="66">
        <f>INDEX(Projects[Systems Eng (wks)],185)</f>
        <v/>
      </c>
      <c r="P186" s="66">
        <f>INDEX(Projects[Software Eng (wks)],185)</f>
        <v/>
      </c>
      <c r="Q186" s="66">
        <f>INDEX(Projects[M&amp;E Installation (wks)],185)</f>
        <v/>
      </c>
      <c r="R186" s="66">
        <f>INDEX(Projects[Commissioning (wks)],185)</f>
        <v/>
      </c>
      <c r="S186" s="66">
        <f>INDEX(Projects[Total Timeline (wks)],185)</f>
        <v/>
      </c>
      <c r="T186" s="66">
        <f>INDEX(Projects[Currency],185)&amp;""</f>
        <v/>
      </c>
      <c r="U186" s="67">
        <f>INDEX(Projects[Value (M)],185)</f>
        <v/>
      </c>
      <c r="V186" s="66">
        <f>IF('Smart Search'!B13=1,IFERROR(1/'Smart Search'!H13,0),0)</f>
        <v/>
      </c>
      <c r="W186" s="66">
        <f>IF('Smart Search'!B13=1,IFERROR(1/'Smart Search'!H13,0),0)</f>
        <v/>
      </c>
      <c r="X186" s="66">
        <f>IF('Smart Search'!C13=1,IFERROR(1/'Smart Search'!H13,0),0)</f>
        <v/>
      </c>
      <c r="Y186" s="66">
        <f>IF('Smart Search'!C13=1,IFERROR(1/'Smart Search'!H13,0),0)</f>
        <v/>
      </c>
      <c r="Z186" s="66">
        <f>IF('Smart Search'!D13=1,IFERROR(1/'Smart Search'!H13,0),0)</f>
        <v/>
      </c>
      <c r="AA186" s="66">
        <f>IF('Smart Search'!D13=1,IFERROR(1/'Smart Search'!H13,0),0)</f>
        <v/>
      </c>
      <c r="AB186" s="66">
        <f>IF('Smart Search'!E13=1,IFERROR(1/'Smart Search'!H13,0),0)</f>
        <v/>
      </c>
      <c r="AC186" s="66">
        <f>IF('Smart Search'!E13=1,IFERROR(1/'Smart Search'!H13,0),0)</f>
        <v/>
      </c>
      <c r="AD186" s="66">
        <f>IF('Smart Search'!F13=1,IFERROR(1/'Smart Search'!H13,0),0)</f>
        <v/>
      </c>
      <c r="AE186" s="66">
        <f>IF('Smart Search'!F13=1,IFERROR(1/'Smart Search'!H13,0),0)</f>
        <v/>
      </c>
      <c r="AF186" s="66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66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66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66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66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66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66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66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66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66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66">
        <f>AF186*V186</f>
        <v/>
      </c>
      <c r="AQ186" s="66">
        <f>AG186*W186</f>
        <v/>
      </c>
      <c r="AR186" s="66">
        <f>AH186*X186</f>
        <v/>
      </c>
      <c r="AS186" s="66">
        <f>AI186*Y186</f>
        <v/>
      </c>
      <c r="AT186" s="66">
        <f>AJ186*Z186</f>
        <v/>
      </c>
      <c r="AU186" s="66">
        <f>AK186*AA186</f>
        <v/>
      </c>
      <c r="AV186" s="66">
        <f>AL186*AB186</f>
        <v/>
      </c>
      <c r="AW186" s="66">
        <f>AM186*AC186</f>
        <v/>
      </c>
      <c r="AX186" s="66">
        <f>AN186*AD186</f>
        <v/>
      </c>
      <c r="AY186" s="66">
        <f>AO186*AE186</f>
        <v/>
      </c>
      <c r="AZ186" s="66">
        <f>INDEX(Projects[Automation Equipment],185)&amp;""</f>
        <v/>
      </c>
      <c r="BA186" s="66">
        <f>IF(OR(A186="",'Smart Search'!H13=0),"",MAX(0,BE186*BF186*MAX(0,1-BG186)))</f>
        <v/>
      </c>
      <c r="BB186" s="66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66">
        <f>IF('Smart Search'!G13=1,IFERROR(1/'Smart Search'!H13,0),0)</f>
        <v/>
      </c>
      <c r="BD186" s="66">
        <f>BB186*BC186</f>
        <v/>
      </c>
      <c r="BE186" s="66">
        <f>AP186+AQ186+AR186+AS186+AT186+AU186+AV186+AW186+AX186+AY186+BD186</f>
        <v/>
      </c>
      <c r="BF186" s="5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5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5">
        <f>IF(AND(A186&lt;&gt;"",OR('Smart Search'!$L$5="",'Smart Search'!$L$5="All",TRIM(BZ186)=TRIM('Smart Search'!$L$5)),OR(TRIM('Smart Search'!$L$6)="",TRIM('Smart Search'!$L$6)="All",ISNUMBER(SEARCH(SUBSTITUTE(SUBSTITUTE(SUBSTITUTE(TRIM('Smart Search'!$L$6),"~","~~"),"*","~*"),"?","~?"),CA186))),OR('Smart Search'!$L$7="",AND(CB186&lt;&gt;0,CB186='Smart Search'!$L$7)),OR('Smart Search'!$L$8="",'Smart Search'!$L$8="All",TRIM(CC186)=TRIM('Smart Search'!$L$8))),IF(BA186="","",BA186+ROW()*0.0000000001),"")</f>
        <v/>
      </c>
      <c r="BI186" s="5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5">
        <f>IF(A186="","",N(INDEX(Projects[Mech Inst],185)))</f>
        <v/>
      </c>
      <c r="BK186" s="5">
        <f>IF(A186="","",N(INDEX(Projects[Elec Inst],185)))</f>
        <v/>
      </c>
      <c r="BL186" s="5">
        <f>IF(A186="","",N(INDEX(Projects[Project Management],185)))</f>
        <v/>
      </c>
      <c r="BM186" s="5">
        <f>IF(A186="","",N(INDEX(Projects[Systems Eng],185)))</f>
        <v/>
      </c>
      <c r="BN186" s="5">
        <f>IF(A186="","",N(INDEX(Projects[Mechanical Eng],185)))</f>
        <v/>
      </c>
      <c r="BO186" s="5">
        <f>IF(A186="","",N(INDEX(Projects[Structural Engineering],185)))</f>
        <v/>
      </c>
      <c r="BP186" s="5">
        <f>IF(A186="","",N(INDEX(Projects[Site Sup],185)))</f>
        <v/>
      </c>
      <c r="BQ186" s="5">
        <f>IF(A186="","",N(INDEX(Projects[Controls Commissioning],185)))</f>
        <v/>
      </c>
      <c r="BR186" s="5">
        <f>IF(A186="","",N(INDEX(Projects[Systems Commissioning],185)))</f>
        <v/>
      </c>
      <c r="BS186" s="5">
        <f>IF(A186="","",N(INDEX(Projects[Service Commissioning],185)))</f>
        <v/>
      </c>
      <c r="BT186" s="5">
        <f>IF(A186="","",N(INDEX(Projects[Controls Eng],185)))</f>
        <v/>
      </c>
      <c r="BU186" s="5">
        <f>IF(A186="","",N(INDEX(Projects[Controls Purchase],185)))</f>
        <v/>
      </c>
      <c r="BV186" s="5">
        <f>IF(A186="","",N(INDEX(Projects[Software Eng],185)))</f>
        <v/>
      </c>
      <c r="BW186" s="5">
        <f>IF(A186="","",N(INDEX(Projects[Misc],185)))</f>
        <v/>
      </c>
      <c r="BX186" s="5">
        <f>IF(A186="","",SUM(BJ186:BW186))</f>
        <v/>
      </c>
      <c r="BY186" s="5">
        <f>IF(A186="","",IFERROR(IF(ISNUMBER(U186),U186,VALUE(SUBSTITUTE(SUBSTITUTE(SUBSTITUTE(UPPER(TRIM(U186)),"M",""),",","")," ",""))),0))</f>
        <v/>
      </c>
      <c r="BZ186" s="5">
        <f>INDEX(Projects[Solution Type],185)&amp;""</f>
        <v/>
      </c>
      <c r="CA186" s="5">
        <f>INDEX(Projects[Client / Region],185)&amp;""</f>
        <v/>
      </c>
      <c r="CB186" s="5">
        <f>INDEX(Projects[Year],185)</f>
        <v/>
      </c>
      <c r="CC186" s="5">
        <f>INDEX(Projects[Won?],185)&amp;""</f>
        <v/>
      </c>
      <c r="CD186" s="5">
        <f>INDEX(Projects[Value (USD M)],185)</f>
        <v/>
      </c>
    </row>
    <row r="187" ht="15" customHeight="1" s="74">
      <c r="A187" s="66">
        <f>INDEX(Projects[Project ID *],186)&amp;""</f>
        <v/>
      </c>
      <c r="B187" s="66">
        <f>INDEX(Projects[Project Name *],186)&amp;""</f>
        <v/>
      </c>
      <c r="C187" s="66">
        <f>INDEX(Projects[MS Shuttles],186)</f>
        <v/>
      </c>
      <c r="D187" s="66">
        <f>INDEX(Projects[MS Tote Locations],186)</f>
        <v/>
      </c>
      <c r="E187" s="66">
        <f>INDEX(Projects[AS Robots],186)</f>
        <v/>
      </c>
      <c r="F187" s="66">
        <f>INDEX(Projects[AS Tote Locations],186)</f>
        <v/>
      </c>
      <c r="G187" s="66">
        <f>INDEX(Projects[PS Shuttles],186)</f>
        <v/>
      </c>
      <c r="H187" s="66">
        <f>INDEX(Projects[PS Pallet Locations],186)</f>
        <v/>
      </c>
      <c r="I187" s="66">
        <f>INDEX(Projects[SRM Cranes],186)</f>
        <v/>
      </c>
      <c r="J187" s="66">
        <f>INDEX(Projects[SRM Pallet Locations],186)</f>
        <v/>
      </c>
      <c r="K187" s="66">
        <f>INDEX(Projects[Case Conv (m)],186)</f>
        <v/>
      </c>
      <c r="L187" s="66">
        <f>INDEX(Projects[Pallet Conv (m)],186)</f>
        <v/>
      </c>
      <c r="M187" s="66">
        <f>INDEX(Projects[Mech Eng (wks)],186)</f>
        <v/>
      </c>
      <c r="N187" s="66">
        <f>INDEX(Projects[Controls Eng (wks)],186)</f>
        <v/>
      </c>
      <c r="O187" s="66">
        <f>INDEX(Projects[Systems Eng (wks)],186)</f>
        <v/>
      </c>
      <c r="P187" s="66">
        <f>INDEX(Projects[Software Eng (wks)],186)</f>
        <v/>
      </c>
      <c r="Q187" s="66">
        <f>INDEX(Projects[M&amp;E Installation (wks)],186)</f>
        <v/>
      </c>
      <c r="R187" s="66">
        <f>INDEX(Projects[Commissioning (wks)],186)</f>
        <v/>
      </c>
      <c r="S187" s="66">
        <f>INDEX(Projects[Total Timeline (wks)],186)</f>
        <v/>
      </c>
      <c r="T187" s="66">
        <f>INDEX(Projects[Currency],186)&amp;""</f>
        <v/>
      </c>
      <c r="U187" s="67">
        <f>INDEX(Projects[Value (M)],186)</f>
        <v/>
      </c>
      <c r="V187" s="66">
        <f>IF('Smart Search'!B13=1,IFERROR(1/'Smart Search'!H13,0),0)</f>
        <v/>
      </c>
      <c r="W187" s="66">
        <f>IF('Smart Search'!B13=1,IFERROR(1/'Smart Search'!H13,0),0)</f>
        <v/>
      </c>
      <c r="X187" s="66">
        <f>IF('Smart Search'!C13=1,IFERROR(1/'Smart Search'!H13,0),0)</f>
        <v/>
      </c>
      <c r="Y187" s="66">
        <f>IF('Smart Search'!C13=1,IFERROR(1/'Smart Search'!H13,0),0)</f>
        <v/>
      </c>
      <c r="Z187" s="66">
        <f>IF('Smart Search'!D13=1,IFERROR(1/'Smart Search'!H13,0),0)</f>
        <v/>
      </c>
      <c r="AA187" s="66">
        <f>IF('Smart Search'!D13=1,IFERROR(1/'Smart Search'!H13,0),0)</f>
        <v/>
      </c>
      <c r="AB187" s="66">
        <f>IF('Smart Search'!E13=1,IFERROR(1/'Smart Search'!H13,0),0)</f>
        <v/>
      </c>
      <c r="AC187" s="66">
        <f>IF('Smart Search'!E13=1,IFERROR(1/'Smart Search'!H13,0),0)</f>
        <v/>
      </c>
      <c r="AD187" s="66">
        <f>IF('Smart Search'!F13=1,IFERROR(1/'Smart Search'!H13,0),0)</f>
        <v/>
      </c>
      <c r="AE187" s="66">
        <f>IF('Smart Search'!F13=1,IFERROR(1/'Smart Search'!H13,0),0)</f>
        <v/>
      </c>
      <c r="AF187" s="66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66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66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66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66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66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66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66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66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66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66">
        <f>AF187*V187</f>
        <v/>
      </c>
      <c r="AQ187" s="66">
        <f>AG187*W187</f>
        <v/>
      </c>
      <c r="AR187" s="66">
        <f>AH187*X187</f>
        <v/>
      </c>
      <c r="AS187" s="66">
        <f>AI187*Y187</f>
        <v/>
      </c>
      <c r="AT187" s="66">
        <f>AJ187*Z187</f>
        <v/>
      </c>
      <c r="AU187" s="66">
        <f>AK187*AA187</f>
        <v/>
      </c>
      <c r="AV187" s="66">
        <f>AL187*AB187</f>
        <v/>
      </c>
      <c r="AW187" s="66">
        <f>AM187*AC187</f>
        <v/>
      </c>
      <c r="AX187" s="66">
        <f>AN187*AD187</f>
        <v/>
      </c>
      <c r="AY187" s="66">
        <f>AO187*AE187</f>
        <v/>
      </c>
      <c r="AZ187" s="66">
        <f>INDEX(Projects[Automation Equipment],186)&amp;""</f>
        <v/>
      </c>
      <c r="BA187" s="66">
        <f>IF(OR(A187="",'Smart Search'!H13=0),"",MAX(0,BE187*BF187*MAX(0,1-BG187)))</f>
        <v/>
      </c>
      <c r="BB187" s="66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66">
        <f>IF('Smart Search'!G13=1,IFERROR(1/'Smart Search'!H13,0),0)</f>
        <v/>
      </c>
      <c r="BD187" s="66">
        <f>BB187*BC187</f>
        <v/>
      </c>
      <c r="BE187" s="66">
        <f>AP187+AQ187+AR187+AS187+AT187+AU187+AV187+AW187+AX187+AY187+BD187</f>
        <v/>
      </c>
      <c r="BF187" s="5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5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5">
        <f>IF(AND(A187&lt;&gt;"",OR('Smart Search'!$L$5="",'Smart Search'!$L$5="All",TRIM(BZ187)=TRIM('Smart Search'!$L$5)),OR(TRIM('Smart Search'!$L$6)="",TRIM('Smart Search'!$L$6)="All",ISNUMBER(SEARCH(SUBSTITUTE(SUBSTITUTE(SUBSTITUTE(TRIM('Smart Search'!$L$6),"~","~~"),"*","~*"),"?","~?"),CA187))),OR('Smart Search'!$L$7="",AND(CB187&lt;&gt;0,CB187='Smart Search'!$L$7)),OR('Smart Search'!$L$8="",'Smart Search'!$L$8="All",TRIM(CC187)=TRIM('Smart Search'!$L$8))),IF(BA187="","",BA187+ROW()*0.0000000001),"")</f>
        <v/>
      </c>
      <c r="BI187" s="5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5">
        <f>IF(A187="","",N(INDEX(Projects[Mech Inst],186)))</f>
        <v/>
      </c>
      <c r="BK187" s="5">
        <f>IF(A187="","",N(INDEX(Projects[Elec Inst],186)))</f>
        <v/>
      </c>
      <c r="BL187" s="5">
        <f>IF(A187="","",N(INDEX(Projects[Project Management],186)))</f>
        <v/>
      </c>
      <c r="BM187" s="5">
        <f>IF(A187="","",N(INDEX(Projects[Systems Eng],186)))</f>
        <v/>
      </c>
      <c r="BN187" s="5">
        <f>IF(A187="","",N(INDEX(Projects[Mechanical Eng],186)))</f>
        <v/>
      </c>
      <c r="BO187" s="5">
        <f>IF(A187="","",N(INDEX(Projects[Structural Engineering],186)))</f>
        <v/>
      </c>
      <c r="BP187" s="5">
        <f>IF(A187="","",N(INDEX(Projects[Site Sup],186)))</f>
        <v/>
      </c>
      <c r="BQ187" s="5">
        <f>IF(A187="","",N(INDEX(Projects[Controls Commissioning],186)))</f>
        <v/>
      </c>
      <c r="BR187" s="5">
        <f>IF(A187="","",N(INDEX(Projects[Systems Commissioning],186)))</f>
        <v/>
      </c>
      <c r="BS187" s="5">
        <f>IF(A187="","",N(INDEX(Projects[Service Commissioning],186)))</f>
        <v/>
      </c>
      <c r="BT187" s="5">
        <f>IF(A187="","",N(INDEX(Projects[Controls Eng],186)))</f>
        <v/>
      </c>
      <c r="BU187" s="5">
        <f>IF(A187="","",N(INDEX(Projects[Controls Purchase],186)))</f>
        <v/>
      </c>
      <c r="BV187" s="5">
        <f>IF(A187="","",N(INDEX(Projects[Software Eng],186)))</f>
        <v/>
      </c>
      <c r="BW187" s="5">
        <f>IF(A187="","",N(INDEX(Projects[Misc],186)))</f>
        <v/>
      </c>
      <c r="BX187" s="5">
        <f>IF(A187="","",SUM(BJ187:BW187))</f>
        <v/>
      </c>
      <c r="BY187" s="5">
        <f>IF(A187="","",IFERROR(IF(ISNUMBER(U187),U187,VALUE(SUBSTITUTE(SUBSTITUTE(SUBSTITUTE(UPPER(TRIM(U187)),"M",""),",","")," ",""))),0))</f>
        <v/>
      </c>
      <c r="BZ187" s="5">
        <f>INDEX(Projects[Solution Type],186)&amp;""</f>
        <v/>
      </c>
      <c r="CA187" s="5">
        <f>INDEX(Projects[Client / Region],186)&amp;""</f>
        <v/>
      </c>
      <c r="CB187" s="5">
        <f>INDEX(Projects[Year],186)</f>
        <v/>
      </c>
      <c r="CC187" s="5">
        <f>INDEX(Projects[Won?],186)&amp;""</f>
        <v/>
      </c>
      <c r="CD187" s="5">
        <f>INDEX(Projects[Value (USD M)],186)</f>
        <v/>
      </c>
    </row>
    <row r="188" ht="15" customHeight="1" s="74">
      <c r="A188" s="66">
        <f>INDEX(Projects[Project ID *],187)&amp;""</f>
        <v/>
      </c>
      <c r="B188" s="66">
        <f>INDEX(Projects[Project Name *],187)&amp;""</f>
        <v/>
      </c>
      <c r="C188" s="66">
        <f>INDEX(Projects[MS Shuttles],187)</f>
        <v/>
      </c>
      <c r="D188" s="66">
        <f>INDEX(Projects[MS Tote Locations],187)</f>
        <v/>
      </c>
      <c r="E188" s="66">
        <f>INDEX(Projects[AS Robots],187)</f>
        <v/>
      </c>
      <c r="F188" s="66">
        <f>INDEX(Projects[AS Tote Locations],187)</f>
        <v/>
      </c>
      <c r="G188" s="66">
        <f>INDEX(Projects[PS Shuttles],187)</f>
        <v/>
      </c>
      <c r="H188" s="66">
        <f>INDEX(Projects[PS Pallet Locations],187)</f>
        <v/>
      </c>
      <c r="I188" s="66">
        <f>INDEX(Projects[SRM Cranes],187)</f>
        <v/>
      </c>
      <c r="J188" s="66">
        <f>INDEX(Projects[SRM Pallet Locations],187)</f>
        <v/>
      </c>
      <c r="K188" s="66">
        <f>INDEX(Projects[Case Conv (m)],187)</f>
        <v/>
      </c>
      <c r="L188" s="66">
        <f>INDEX(Projects[Pallet Conv (m)],187)</f>
        <v/>
      </c>
      <c r="M188" s="66">
        <f>INDEX(Projects[Mech Eng (wks)],187)</f>
        <v/>
      </c>
      <c r="N188" s="66">
        <f>INDEX(Projects[Controls Eng (wks)],187)</f>
        <v/>
      </c>
      <c r="O188" s="66">
        <f>INDEX(Projects[Systems Eng (wks)],187)</f>
        <v/>
      </c>
      <c r="P188" s="66">
        <f>INDEX(Projects[Software Eng (wks)],187)</f>
        <v/>
      </c>
      <c r="Q188" s="66">
        <f>INDEX(Projects[M&amp;E Installation (wks)],187)</f>
        <v/>
      </c>
      <c r="R188" s="66">
        <f>INDEX(Projects[Commissioning (wks)],187)</f>
        <v/>
      </c>
      <c r="S188" s="66">
        <f>INDEX(Projects[Total Timeline (wks)],187)</f>
        <v/>
      </c>
      <c r="T188" s="66">
        <f>INDEX(Projects[Currency],187)&amp;""</f>
        <v/>
      </c>
      <c r="U188" s="67">
        <f>INDEX(Projects[Value (M)],187)</f>
        <v/>
      </c>
      <c r="V188" s="66">
        <f>IF('Smart Search'!B13=1,IFERROR(1/'Smart Search'!H13,0),0)</f>
        <v/>
      </c>
      <c r="W188" s="66">
        <f>IF('Smart Search'!B13=1,IFERROR(1/'Smart Search'!H13,0),0)</f>
        <v/>
      </c>
      <c r="X188" s="66">
        <f>IF('Smart Search'!C13=1,IFERROR(1/'Smart Search'!H13,0),0)</f>
        <v/>
      </c>
      <c r="Y188" s="66">
        <f>IF('Smart Search'!C13=1,IFERROR(1/'Smart Search'!H13,0),0)</f>
        <v/>
      </c>
      <c r="Z188" s="66">
        <f>IF('Smart Search'!D13=1,IFERROR(1/'Smart Search'!H13,0),0)</f>
        <v/>
      </c>
      <c r="AA188" s="66">
        <f>IF('Smart Search'!D13=1,IFERROR(1/'Smart Search'!H13,0),0)</f>
        <v/>
      </c>
      <c r="AB188" s="66">
        <f>IF('Smart Search'!E13=1,IFERROR(1/'Smart Search'!H13,0),0)</f>
        <v/>
      </c>
      <c r="AC188" s="66">
        <f>IF('Smart Search'!E13=1,IFERROR(1/'Smart Search'!H13,0),0)</f>
        <v/>
      </c>
      <c r="AD188" s="66">
        <f>IF('Smart Search'!F13=1,IFERROR(1/'Smart Search'!H13,0),0)</f>
        <v/>
      </c>
      <c r="AE188" s="66">
        <f>IF('Smart Search'!F13=1,IFERROR(1/'Smart Search'!H13,0),0)</f>
        <v/>
      </c>
      <c r="AF188" s="66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66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66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66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66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66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66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66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66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66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66">
        <f>AF188*V188</f>
        <v/>
      </c>
      <c r="AQ188" s="66">
        <f>AG188*W188</f>
        <v/>
      </c>
      <c r="AR188" s="66">
        <f>AH188*X188</f>
        <v/>
      </c>
      <c r="AS188" s="66">
        <f>AI188*Y188</f>
        <v/>
      </c>
      <c r="AT188" s="66">
        <f>AJ188*Z188</f>
        <v/>
      </c>
      <c r="AU188" s="66">
        <f>AK188*AA188</f>
        <v/>
      </c>
      <c r="AV188" s="66">
        <f>AL188*AB188</f>
        <v/>
      </c>
      <c r="AW188" s="66">
        <f>AM188*AC188</f>
        <v/>
      </c>
      <c r="AX188" s="66">
        <f>AN188*AD188</f>
        <v/>
      </c>
      <c r="AY188" s="66">
        <f>AO188*AE188</f>
        <v/>
      </c>
      <c r="AZ188" s="66">
        <f>INDEX(Projects[Automation Equipment],187)&amp;""</f>
        <v/>
      </c>
      <c r="BA188" s="66">
        <f>IF(OR(A188="",'Smart Search'!H13=0),"",MAX(0,BE188*BF188*MAX(0,1-BG188)))</f>
        <v/>
      </c>
      <c r="BB188" s="66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66">
        <f>IF('Smart Search'!G13=1,IFERROR(1/'Smart Search'!H13,0),0)</f>
        <v/>
      </c>
      <c r="BD188" s="66">
        <f>BB188*BC188</f>
        <v/>
      </c>
      <c r="BE188" s="66">
        <f>AP188+AQ188+AR188+AS188+AT188+AU188+AV188+AW188+AX188+AY188+BD188</f>
        <v/>
      </c>
      <c r="BF188" s="5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5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5">
        <f>IF(AND(A188&lt;&gt;"",OR('Smart Search'!$L$5="",'Smart Search'!$L$5="All",TRIM(BZ188)=TRIM('Smart Search'!$L$5)),OR(TRIM('Smart Search'!$L$6)="",TRIM('Smart Search'!$L$6)="All",ISNUMBER(SEARCH(SUBSTITUTE(SUBSTITUTE(SUBSTITUTE(TRIM('Smart Search'!$L$6),"~","~~"),"*","~*"),"?","~?"),CA188))),OR('Smart Search'!$L$7="",AND(CB188&lt;&gt;0,CB188='Smart Search'!$L$7)),OR('Smart Search'!$L$8="",'Smart Search'!$L$8="All",TRIM(CC188)=TRIM('Smart Search'!$L$8))),IF(BA188="","",BA188+ROW()*0.0000000001),"")</f>
        <v/>
      </c>
      <c r="BI188" s="5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5">
        <f>IF(A188="","",N(INDEX(Projects[Mech Inst],187)))</f>
        <v/>
      </c>
      <c r="BK188" s="5">
        <f>IF(A188="","",N(INDEX(Projects[Elec Inst],187)))</f>
        <v/>
      </c>
      <c r="BL188" s="5">
        <f>IF(A188="","",N(INDEX(Projects[Project Management],187)))</f>
        <v/>
      </c>
      <c r="BM188" s="5">
        <f>IF(A188="","",N(INDEX(Projects[Systems Eng],187)))</f>
        <v/>
      </c>
      <c r="BN188" s="5">
        <f>IF(A188="","",N(INDEX(Projects[Mechanical Eng],187)))</f>
        <v/>
      </c>
      <c r="BO188" s="5">
        <f>IF(A188="","",N(INDEX(Projects[Structural Engineering],187)))</f>
        <v/>
      </c>
      <c r="BP188" s="5">
        <f>IF(A188="","",N(INDEX(Projects[Site Sup],187)))</f>
        <v/>
      </c>
      <c r="BQ188" s="5">
        <f>IF(A188="","",N(INDEX(Projects[Controls Commissioning],187)))</f>
        <v/>
      </c>
      <c r="BR188" s="5">
        <f>IF(A188="","",N(INDEX(Projects[Systems Commissioning],187)))</f>
        <v/>
      </c>
      <c r="BS188" s="5">
        <f>IF(A188="","",N(INDEX(Projects[Service Commissioning],187)))</f>
        <v/>
      </c>
      <c r="BT188" s="5">
        <f>IF(A188="","",N(INDEX(Projects[Controls Eng],187)))</f>
        <v/>
      </c>
      <c r="BU188" s="5">
        <f>IF(A188="","",N(INDEX(Projects[Controls Purchase],187)))</f>
        <v/>
      </c>
      <c r="BV188" s="5">
        <f>IF(A188="","",N(INDEX(Projects[Software Eng],187)))</f>
        <v/>
      </c>
      <c r="BW188" s="5">
        <f>IF(A188="","",N(INDEX(Projects[Misc],187)))</f>
        <v/>
      </c>
      <c r="BX188" s="5">
        <f>IF(A188="","",SUM(BJ188:BW188))</f>
        <v/>
      </c>
      <c r="BY188" s="5">
        <f>IF(A188="","",IFERROR(IF(ISNUMBER(U188),U188,VALUE(SUBSTITUTE(SUBSTITUTE(SUBSTITUTE(UPPER(TRIM(U188)),"M",""),",","")," ",""))),0))</f>
        <v/>
      </c>
      <c r="BZ188" s="5">
        <f>INDEX(Projects[Solution Type],187)&amp;""</f>
        <v/>
      </c>
      <c r="CA188" s="5">
        <f>INDEX(Projects[Client / Region],187)&amp;""</f>
        <v/>
      </c>
      <c r="CB188" s="5">
        <f>INDEX(Projects[Year],187)</f>
        <v/>
      </c>
      <c r="CC188" s="5">
        <f>INDEX(Projects[Won?],187)&amp;""</f>
        <v/>
      </c>
      <c r="CD188" s="5">
        <f>INDEX(Projects[Value (USD M)],187)</f>
        <v/>
      </c>
    </row>
    <row r="189" ht="15" customHeight="1" s="74">
      <c r="A189" s="66">
        <f>INDEX(Projects[Project ID *],188)&amp;""</f>
        <v/>
      </c>
      <c r="B189" s="66">
        <f>INDEX(Projects[Project Name *],188)&amp;""</f>
        <v/>
      </c>
      <c r="C189" s="66">
        <f>INDEX(Projects[MS Shuttles],188)</f>
        <v/>
      </c>
      <c r="D189" s="66">
        <f>INDEX(Projects[MS Tote Locations],188)</f>
        <v/>
      </c>
      <c r="E189" s="66">
        <f>INDEX(Projects[AS Robots],188)</f>
        <v/>
      </c>
      <c r="F189" s="66">
        <f>INDEX(Projects[AS Tote Locations],188)</f>
        <v/>
      </c>
      <c r="G189" s="66">
        <f>INDEX(Projects[PS Shuttles],188)</f>
        <v/>
      </c>
      <c r="H189" s="66">
        <f>INDEX(Projects[PS Pallet Locations],188)</f>
        <v/>
      </c>
      <c r="I189" s="66">
        <f>INDEX(Projects[SRM Cranes],188)</f>
        <v/>
      </c>
      <c r="J189" s="66">
        <f>INDEX(Projects[SRM Pallet Locations],188)</f>
        <v/>
      </c>
      <c r="K189" s="66">
        <f>INDEX(Projects[Case Conv (m)],188)</f>
        <v/>
      </c>
      <c r="L189" s="66">
        <f>INDEX(Projects[Pallet Conv (m)],188)</f>
        <v/>
      </c>
      <c r="M189" s="66">
        <f>INDEX(Projects[Mech Eng (wks)],188)</f>
        <v/>
      </c>
      <c r="N189" s="66">
        <f>INDEX(Projects[Controls Eng (wks)],188)</f>
        <v/>
      </c>
      <c r="O189" s="66">
        <f>INDEX(Projects[Systems Eng (wks)],188)</f>
        <v/>
      </c>
      <c r="P189" s="66">
        <f>INDEX(Projects[Software Eng (wks)],188)</f>
        <v/>
      </c>
      <c r="Q189" s="66">
        <f>INDEX(Projects[M&amp;E Installation (wks)],188)</f>
        <v/>
      </c>
      <c r="R189" s="66">
        <f>INDEX(Projects[Commissioning (wks)],188)</f>
        <v/>
      </c>
      <c r="S189" s="66">
        <f>INDEX(Projects[Total Timeline (wks)],188)</f>
        <v/>
      </c>
      <c r="T189" s="66">
        <f>INDEX(Projects[Currency],188)&amp;""</f>
        <v/>
      </c>
      <c r="U189" s="67">
        <f>INDEX(Projects[Value (M)],188)</f>
        <v/>
      </c>
      <c r="V189" s="66">
        <f>IF('Smart Search'!B13=1,IFERROR(1/'Smart Search'!H13,0),0)</f>
        <v/>
      </c>
      <c r="W189" s="66">
        <f>IF('Smart Search'!B13=1,IFERROR(1/'Smart Search'!H13,0),0)</f>
        <v/>
      </c>
      <c r="X189" s="66">
        <f>IF('Smart Search'!C13=1,IFERROR(1/'Smart Search'!H13,0),0)</f>
        <v/>
      </c>
      <c r="Y189" s="66">
        <f>IF('Smart Search'!C13=1,IFERROR(1/'Smart Search'!H13,0),0)</f>
        <v/>
      </c>
      <c r="Z189" s="66">
        <f>IF('Smart Search'!D13=1,IFERROR(1/'Smart Search'!H13,0),0)</f>
        <v/>
      </c>
      <c r="AA189" s="66">
        <f>IF('Smart Search'!D13=1,IFERROR(1/'Smart Search'!H13,0),0)</f>
        <v/>
      </c>
      <c r="AB189" s="66">
        <f>IF('Smart Search'!E13=1,IFERROR(1/'Smart Search'!H13,0),0)</f>
        <v/>
      </c>
      <c r="AC189" s="66">
        <f>IF('Smart Search'!E13=1,IFERROR(1/'Smart Search'!H13,0),0)</f>
        <v/>
      </c>
      <c r="AD189" s="66">
        <f>IF('Smart Search'!F13=1,IFERROR(1/'Smart Search'!H13,0),0)</f>
        <v/>
      </c>
      <c r="AE189" s="66">
        <f>IF('Smart Search'!F13=1,IFERROR(1/'Smart Search'!H13,0),0)</f>
        <v/>
      </c>
      <c r="AF189" s="66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66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66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66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66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66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66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66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66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66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66">
        <f>AF189*V189</f>
        <v/>
      </c>
      <c r="AQ189" s="66">
        <f>AG189*W189</f>
        <v/>
      </c>
      <c r="AR189" s="66">
        <f>AH189*X189</f>
        <v/>
      </c>
      <c r="AS189" s="66">
        <f>AI189*Y189</f>
        <v/>
      </c>
      <c r="AT189" s="66">
        <f>AJ189*Z189</f>
        <v/>
      </c>
      <c r="AU189" s="66">
        <f>AK189*AA189</f>
        <v/>
      </c>
      <c r="AV189" s="66">
        <f>AL189*AB189</f>
        <v/>
      </c>
      <c r="AW189" s="66">
        <f>AM189*AC189</f>
        <v/>
      </c>
      <c r="AX189" s="66">
        <f>AN189*AD189</f>
        <v/>
      </c>
      <c r="AY189" s="66">
        <f>AO189*AE189</f>
        <v/>
      </c>
      <c r="AZ189" s="66">
        <f>INDEX(Projects[Automation Equipment],188)&amp;""</f>
        <v/>
      </c>
      <c r="BA189" s="66">
        <f>IF(OR(A189="",'Smart Search'!H13=0),"",MAX(0,BE189*BF189*MAX(0,1-BG189)))</f>
        <v/>
      </c>
      <c r="BB189" s="66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66">
        <f>IF('Smart Search'!G13=1,IFERROR(1/'Smart Search'!H13,0),0)</f>
        <v/>
      </c>
      <c r="BD189" s="66">
        <f>BB189*BC189</f>
        <v/>
      </c>
      <c r="BE189" s="66">
        <f>AP189+AQ189+AR189+AS189+AT189+AU189+AV189+AW189+AX189+AY189+BD189</f>
        <v/>
      </c>
      <c r="BF189" s="5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5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5">
        <f>IF(AND(A189&lt;&gt;"",OR('Smart Search'!$L$5="",'Smart Search'!$L$5="All",TRIM(BZ189)=TRIM('Smart Search'!$L$5)),OR(TRIM('Smart Search'!$L$6)="",TRIM('Smart Search'!$L$6)="All",ISNUMBER(SEARCH(SUBSTITUTE(SUBSTITUTE(SUBSTITUTE(TRIM('Smart Search'!$L$6),"~","~~"),"*","~*"),"?","~?"),CA189))),OR('Smart Search'!$L$7="",AND(CB189&lt;&gt;0,CB189='Smart Search'!$L$7)),OR('Smart Search'!$L$8="",'Smart Search'!$L$8="All",TRIM(CC189)=TRIM('Smart Search'!$L$8))),IF(BA189="","",BA189+ROW()*0.0000000001),"")</f>
        <v/>
      </c>
      <c r="BI189" s="5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5">
        <f>IF(A189="","",N(INDEX(Projects[Mech Inst],188)))</f>
        <v/>
      </c>
      <c r="BK189" s="5">
        <f>IF(A189="","",N(INDEX(Projects[Elec Inst],188)))</f>
        <v/>
      </c>
      <c r="BL189" s="5">
        <f>IF(A189="","",N(INDEX(Projects[Project Management],188)))</f>
        <v/>
      </c>
      <c r="BM189" s="5">
        <f>IF(A189="","",N(INDEX(Projects[Systems Eng],188)))</f>
        <v/>
      </c>
      <c r="BN189" s="5">
        <f>IF(A189="","",N(INDEX(Projects[Mechanical Eng],188)))</f>
        <v/>
      </c>
      <c r="BO189" s="5">
        <f>IF(A189="","",N(INDEX(Projects[Structural Engineering],188)))</f>
        <v/>
      </c>
      <c r="BP189" s="5">
        <f>IF(A189="","",N(INDEX(Projects[Site Sup],188)))</f>
        <v/>
      </c>
      <c r="BQ189" s="5">
        <f>IF(A189="","",N(INDEX(Projects[Controls Commissioning],188)))</f>
        <v/>
      </c>
      <c r="BR189" s="5">
        <f>IF(A189="","",N(INDEX(Projects[Systems Commissioning],188)))</f>
        <v/>
      </c>
      <c r="BS189" s="5">
        <f>IF(A189="","",N(INDEX(Projects[Service Commissioning],188)))</f>
        <v/>
      </c>
      <c r="BT189" s="5">
        <f>IF(A189="","",N(INDEX(Projects[Controls Eng],188)))</f>
        <v/>
      </c>
      <c r="BU189" s="5">
        <f>IF(A189="","",N(INDEX(Projects[Controls Purchase],188)))</f>
        <v/>
      </c>
      <c r="BV189" s="5">
        <f>IF(A189="","",N(INDEX(Projects[Software Eng],188)))</f>
        <v/>
      </c>
      <c r="BW189" s="5">
        <f>IF(A189="","",N(INDEX(Projects[Misc],188)))</f>
        <v/>
      </c>
      <c r="BX189" s="5">
        <f>IF(A189="","",SUM(BJ189:BW189))</f>
        <v/>
      </c>
      <c r="BY189" s="5">
        <f>IF(A189="","",IFERROR(IF(ISNUMBER(U189),U189,VALUE(SUBSTITUTE(SUBSTITUTE(SUBSTITUTE(UPPER(TRIM(U189)),"M",""),",","")," ",""))),0))</f>
        <v/>
      </c>
      <c r="BZ189" s="5">
        <f>INDEX(Projects[Solution Type],188)&amp;""</f>
        <v/>
      </c>
      <c r="CA189" s="5">
        <f>INDEX(Projects[Client / Region],188)&amp;""</f>
        <v/>
      </c>
      <c r="CB189" s="5">
        <f>INDEX(Projects[Year],188)</f>
        <v/>
      </c>
      <c r="CC189" s="5">
        <f>INDEX(Projects[Won?],188)&amp;""</f>
        <v/>
      </c>
      <c r="CD189" s="5">
        <f>INDEX(Projects[Value (USD M)],188)</f>
        <v/>
      </c>
    </row>
    <row r="190" ht="15" customHeight="1" s="74">
      <c r="A190" s="66">
        <f>INDEX(Projects[Project ID *],189)&amp;""</f>
        <v/>
      </c>
      <c r="B190" s="66">
        <f>INDEX(Projects[Project Name *],189)&amp;""</f>
        <v/>
      </c>
      <c r="C190" s="66">
        <f>INDEX(Projects[MS Shuttles],189)</f>
        <v/>
      </c>
      <c r="D190" s="66">
        <f>INDEX(Projects[MS Tote Locations],189)</f>
        <v/>
      </c>
      <c r="E190" s="66">
        <f>INDEX(Projects[AS Robots],189)</f>
        <v/>
      </c>
      <c r="F190" s="66">
        <f>INDEX(Projects[AS Tote Locations],189)</f>
        <v/>
      </c>
      <c r="G190" s="66">
        <f>INDEX(Projects[PS Shuttles],189)</f>
        <v/>
      </c>
      <c r="H190" s="66">
        <f>INDEX(Projects[PS Pallet Locations],189)</f>
        <v/>
      </c>
      <c r="I190" s="66">
        <f>INDEX(Projects[SRM Cranes],189)</f>
        <v/>
      </c>
      <c r="J190" s="66">
        <f>INDEX(Projects[SRM Pallet Locations],189)</f>
        <v/>
      </c>
      <c r="K190" s="66">
        <f>INDEX(Projects[Case Conv (m)],189)</f>
        <v/>
      </c>
      <c r="L190" s="66">
        <f>INDEX(Projects[Pallet Conv (m)],189)</f>
        <v/>
      </c>
      <c r="M190" s="66">
        <f>INDEX(Projects[Mech Eng (wks)],189)</f>
        <v/>
      </c>
      <c r="N190" s="66">
        <f>INDEX(Projects[Controls Eng (wks)],189)</f>
        <v/>
      </c>
      <c r="O190" s="66">
        <f>INDEX(Projects[Systems Eng (wks)],189)</f>
        <v/>
      </c>
      <c r="P190" s="66">
        <f>INDEX(Projects[Software Eng (wks)],189)</f>
        <v/>
      </c>
      <c r="Q190" s="66">
        <f>INDEX(Projects[M&amp;E Installation (wks)],189)</f>
        <v/>
      </c>
      <c r="R190" s="66">
        <f>INDEX(Projects[Commissioning (wks)],189)</f>
        <v/>
      </c>
      <c r="S190" s="66">
        <f>INDEX(Projects[Total Timeline (wks)],189)</f>
        <v/>
      </c>
      <c r="T190" s="66">
        <f>INDEX(Projects[Currency],189)&amp;""</f>
        <v/>
      </c>
      <c r="U190" s="67">
        <f>INDEX(Projects[Value (M)],189)</f>
        <v/>
      </c>
      <c r="V190" s="66">
        <f>IF('Smart Search'!B13=1,IFERROR(1/'Smart Search'!H13,0),0)</f>
        <v/>
      </c>
      <c r="W190" s="66">
        <f>IF('Smart Search'!B13=1,IFERROR(1/'Smart Search'!H13,0),0)</f>
        <v/>
      </c>
      <c r="X190" s="66">
        <f>IF('Smart Search'!C13=1,IFERROR(1/'Smart Search'!H13,0),0)</f>
        <v/>
      </c>
      <c r="Y190" s="66">
        <f>IF('Smart Search'!C13=1,IFERROR(1/'Smart Search'!H13,0),0)</f>
        <v/>
      </c>
      <c r="Z190" s="66">
        <f>IF('Smart Search'!D13=1,IFERROR(1/'Smart Search'!H13,0),0)</f>
        <v/>
      </c>
      <c r="AA190" s="66">
        <f>IF('Smart Search'!D13=1,IFERROR(1/'Smart Search'!H13,0),0)</f>
        <v/>
      </c>
      <c r="AB190" s="66">
        <f>IF('Smart Search'!E13=1,IFERROR(1/'Smart Search'!H13,0),0)</f>
        <v/>
      </c>
      <c r="AC190" s="66">
        <f>IF('Smart Search'!E13=1,IFERROR(1/'Smart Search'!H13,0),0)</f>
        <v/>
      </c>
      <c r="AD190" s="66">
        <f>IF('Smart Search'!F13=1,IFERROR(1/'Smart Search'!H13,0),0)</f>
        <v/>
      </c>
      <c r="AE190" s="66">
        <f>IF('Smart Search'!F13=1,IFERROR(1/'Smart Search'!H13,0),0)</f>
        <v/>
      </c>
      <c r="AF190" s="66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66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66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66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66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66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66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66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66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66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66">
        <f>AF190*V190</f>
        <v/>
      </c>
      <c r="AQ190" s="66">
        <f>AG190*W190</f>
        <v/>
      </c>
      <c r="AR190" s="66">
        <f>AH190*X190</f>
        <v/>
      </c>
      <c r="AS190" s="66">
        <f>AI190*Y190</f>
        <v/>
      </c>
      <c r="AT190" s="66">
        <f>AJ190*Z190</f>
        <v/>
      </c>
      <c r="AU190" s="66">
        <f>AK190*AA190</f>
        <v/>
      </c>
      <c r="AV190" s="66">
        <f>AL190*AB190</f>
        <v/>
      </c>
      <c r="AW190" s="66">
        <f>AM190*AC190</f>
        <v/>
      </c>
      <c r="AX190" s="66">
        <f>AN190*AD190</f>
        <v/>
      </c>
      <c r="AY190" s="66">
        <f>AO190*AE190</f>
        <v/>
      </c>
      <c r="AZ190" s="66">
        <f>INDEX(Projects[Automation Equipment],189)&amp;""</f>
        <v/>
      </c>
      <c r="BA190" s="66">
        <f>IF(OR(A190="",'Smart Search'!H13=0),"",MAX(0,BE190*BF190*MAX(0,1-BG190)))</f>
        <v/>
      </c>
      <c r="BB190" s="66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66">
        <f>IF('Smart Search'!G13=1,IFERROR(1/'Smart Search'!H13,0),0)</f>
        <v/>
      </c>
      <c r="BD190" s="66">
        <f>BB190*BC190</f>
        <v/>
      </c>
      <c r="BE190" s="66">
        <f>AP190+AQ190+AR190+AS190+AT190+AU190+AV190+AW190+AX190+AY190+BD190</f>
        <v/>
      </c>
      <c r="BF190" s="5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5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5">
        <f>IF(AND(A190&lt;&gt;"",OR('Smart Search'!$L$5="",'Smart Search'!$L$5="All",TRIM(BZ190)=TRIM('Smart Search'!$L$5)),OR(TRIM('Smart Search'!$L$6)="",TRIM('Smart Search'!$L$6)="All",ISNUMBER(SEARCH(SUBSTITUTE(SUBSTITUTE(SUBSTITUTE(TRIM('Smart Search'!$L$6),"~","~~"),"*","~*"),"?","~?"),CA190))),OR('Smart Search'!$L$7="",AND(CB190&lt;&gt;0,CB190='Smart Search'!$L$7)),OR('Smart Search'!$L$8="",'Smart Search'!$L$8="All",TRIM(CC190)=TRIM('Smart Search'!$L$8))),IF(BA190="","",BA190+ROW()*0.0000000001),"")</f>
        <v/>
      </c>
      <c r="BI190" s="5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5">
        <f>IF(A190="","",N(INDEX(Projects[Mech Inst],189)))</f>
        <v/>
      </c>
      <c r="BK190" s="5">
        <f>IF(A190="","",N(INDEX(Projects[Elec Inst],189)))</f>
        <v/>
      </c>
      <c r="BL190" s="5">
        <f>IF(A190="","",N(INDEX(Projects[Project Management],189)))</f>
        <v/>
      </c>
      <c r="BM190" s="5">
        <f>IF(A190="","",N(INDEX(Projects[Systems Eng],189)))</f>
        <v/>
      </c>
      <c r="BN190" s="5">
        <f>IF(A190="","",N(INDEX(Projects[Mechanical Eng],189)))</f>
        <v/>
      </c>
      <c r="BO190" s="5">
        <f>IF(A190="","",N(INDEX(Projects[Structural Engineering],189)))</f>
        <v/>
      </c>
      <c r="BP190" s="5">
        <f>IF(A190="","",N(INDEX(Projects[Site Sup],189)))</f>
        <v/>
      </c>
      <c r="BQ190" s="5">
        <f>IF(A190="","",N(INDEX(Projects[Controls Commissioning],189)))</f>
        <v/>
      </c>
      <c r="BR190" s="5">
        <f>IF(A190="","",N(INDEX(Projects[Systems Commissioning],189)))</f>
        <v/>
      </c>
      <c r="BS190" s="5">
        <f>IF(A190="","",N(INDEX(Projects[Service Commissioning],189)))</f>
        <v/>
      </c>
      <c r="BT190" s="5">
        <f>IF(A190="","",N(INDEX(Projects[Controls Eng],189)))</f>
        <v/>
      </c>
      <c r="BU190" s="5">
        <f>IF(A190="","",N(INDEX(Projects[Controls Purchase],189)))</f>
        <v/>
      </c>
      <c r="BV190" s="5">
        <f>IF(A190="","",N(INDEX(Projects[Software Eng],189)))</f>
        <v/>
      </c>
      <c r="BW190" s="5">
        <f>IF(A190="","",N(INDEX(Projects[Misc],189)))</f>
        <v/>
      </c>
      <c r="BX190" s="5">
        <f>IF(A190="","",SUM(BJ190:BW190))</f>
        <v/>
      </c>
      <c r="BY190" s="5">
        <f>IF(A190="","",IFERROR(IF(ISNUMBER(U190),U190,VALUE(SUBSTITUTE(SUBSTITUTE(SUBSTITUTE(UPPER(TRIM(U190)),"M",""),",","")," ",""))),0))</f>
        <v/>
      </c>
      <c r="BZ190" s="5">
        <f>INDEX(Projects[Solution Type],189)&amp;""</f>
        <v/>
      </c>
      <c r="CA190" s="5">
        <f>INDEX(Projects[Client / Region],189)&amp;""</f>
        <v/>
      </c>
      <c r="CB190" s="5">
        <f>INDEX(Projects[Year],189)</f>
        <v/>
      </c>
      <c r="CC190" s="5">
        <f>INDEX(Projects[Won?],189)&amp;""</f>
        <v/>
      </c>
      <c r="CD190" s="5">
        <f>INDEX(Projects[Value (USD M)],189)</f>
        <v/>
      </c>
    </row>
    <row r="191" ht="15" customHeight="1" s="74">
      <c r="A191" s="66">
        <f>INDEX(Projects[Project ID *],190)&amp;""</f>
        <v/>
      </c>
      <c r="B191" s="66">
        <f>INDEX(Projects[Project Name *],190)&amp;""</f>
        <v/>
      </c>
      <c r="C191" s="66">
        <f>INDEX(Projects[MS Shuttles],190)</f>
        <v/>
      </c>
      <c r="D191" s="66">
        <f>INDEX(Projects[MS Tote Locations],190)</f>
        <v/>
      </c>
      <c r="E191" s="66">
        <f>INDEX(Projects[AS Robots],190)</f>
        <v/>
      </c>
      <c r="F191" s="66">
        <f>INDEX(Projects[AS Tote Locations],190)</f>
        <v/>
      </c>
      <c r="G191" s="66">
        <f>INDEX(Projects[PS Shuttles],190)</f>
        <v/>
      </c>
      <c r="H191" s="66">
        <f>INDEX(Projects[PS Pallet Locations],190)</f>
        <v/>
      </c>
      <c r="I191" s="66">
        <f>INDEX(Projects[SRM Cranes],190)</f>
        <v/>
      </c>
      <c r="J191" s="66">
        <f>INDEX(Projects[SRM Pallet Locations],190)</f>
        <v/>
      </c>
      <c r="K191" s="66">
        <f>INDEX(Projects[Case Conv (m)],190)</f>
        <v/>
      </c>
      <c r="L191" s="66">
        <f>INDEX(Projects[Pallet Conv (m)],190)</f>
        <v/>
      </c>
      <c r="M191" s="66">
        <f>INDEX(Projects[Mech Eng (wks)],190)</f>
        <v/>
      </c>
      <c r="N191" s="66">
        <f>INDEX(Projects[Controls Eng (wks)],190)</f>
        <v/>
      </c>
      <c r="O191" s="66">
        <f>INDEX(Projects[Systems Eng (wks)],190)</f>
        <v/>
      </c>
      <c r="P191" s="66">
        <f>INDEX(Projects[Software Eng (wks)],190)</f>
        <v/>
      </c>
      <c r="Q191" s="66">
        <f>INDEX(Projects[M&amp;E Installation (wks)],190)</f>
        <v/>
      </c>
      <c r="R191" s="66">
        <f>INDEX(Projects[Commissioning (wks)],190)</f>
        <v/>
      </c>
      <c r="S191" s="66">
        <f>INDEX(Projects[Total Timeline (wks)],190)</f>
        <v/>
      </c>
      <c r="T191" s="66">
        <f>INDEX(Projects[Currency],190)&amp;""</f>
        <v/>
      </c>
      <c r="U191" s="67">
        <f>INDEX(Projects[Value (M)],190)</f>
        <v/>
      </c>
      <c r="V191" s="66">
        <f>IF('Smart Search'!B13=1,IFERROR(1/'Smart Search'!H13,0),0)</f>
        <v/>
      </c>
      <c r="W191" s="66">
        <f>IF('Smart Search'!B13=1,IFERROR(1/'Smart Search'!H13,0),0)</f>
        <v/>
      </c>
      <c r="X191" s="66">
        <f>IF('Smart Search'!C13=1,IFERROR(1/'Smart Search'!H13,0),0)</f>
        <v/>
      </c>
      <c r="Y191" s="66">
        <f>IF('Smart Search'!C13=1,IFERROR(1/'Smart Search'!H13,0),0)</f>
        <v/>
      </c>
      <c r="Z191" s="66">
        <f>IF('Smart Search'!D13=1,IFERROR(1/'Smart Search'!H13,0),0)</f>
        <v/>
      </c>
      <c r="AA191" s="66">
        <f>IF('Smart Search'!D13=1,IFERROR(1/'Smart Search'!H13,0),0)</f>
        <v/>
      </c>
      <c r="AB191" s="66">
        <f>IF('Smart Search'!E13=1,IFERROR(1/'Smart Search'!H13,0),0)</f>
        <v/>
      </c>
      <c r="AC191" s="66">
        <f>IF('Smart Search'!E13=1,IFERROR(1/'Smart Search'!H13,0),0)</f>
        <v/>
      </c>
      <c r="AD191" s="66">
        <f>IF('Smart Search'!F13=1,IFERROR(1/'Smart Search'!H13,0),0)</f>
        <v/>
      </c>
      <c r="AE191" s="66">
        <f>IF('Smart Search'!F13=1,IFERROR(1/'Smart Search'!H13,0),0)</f>
        <v/>
      </c>
      <c r="AF191" s="66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66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66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66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66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66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66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66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66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66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66">
        <f>AF191*V191</f>
        <v/>
      </c>
      <c r="AQ191" s="66">
        <f>AG191*W191</f>
        <v/>
      </c>
      <c r="AR191" s="66">
        <f>AH191*X191</f>
        <v/>
      </c>
      <c r="AS191" s="66">
        <f>AI191*Y191</f>
        <v/>
      </c>
      <c r="AT191" s="66">
        <f>AJ191*Z191</f>
        <v/>
      </c>
      <c r="AU191" s="66">
        <f>AK191*AA191</f>
        <v/>
      </c>
      <c r="AV191" s="66">
        <f>AL191*AB191</f>
        <v/>
      </c>
      <c r="AW191" s="66">
        <f>AM191*AC191</f>
        <v/>
      </c>
      <c r="AX191" s="66">
        <f>AN191*AD191</f>
        <v/>
      </c>
      <c r="AY191" s="66">
        <f>AO191*AE191</f>
        <v/>
      </c>
      <c r="AZ191" s="66">
        <f>INDEX(Projects[Automation Equipment],190)&amp;""</f>
        <v/>
      </c>
      <c r="BA191" s="66">
        <f>IF(OR(A191="",'Smart Search'!H13=0),"",MAX(0,BE191*BF191*MAX(0,1-BG191)))</f>
        <v/>
      </c>
      <c r="BB191" s="66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66">
        <f>IF('Smart Search'!G13=1,IFERROR(1/'Smart Search'!H13,0),0)</f>
        <v/>
      </c>
      <c r="BD191" s="66">
        <f>BB191*BC191</f>
        <v/>
      </c>
      <c r="BE191" s="66">
        <f>AP191+AQ191+AR191+AS191+AT191+AU191+AV191+AW191+AX191+AY191+BD191</f>
        <v/>
      </c>
      <c r="BF191" s="5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5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5">
        <f>IF(AND(A191&lt;&gt;"",OR('Smart Search'!$L$5="",'Smart Search'!$L$5="All",TRIM(BZ191)=TRIM('Smart Search'!$L$5)),OR(TRIM('Smart Search'!$L$6)="",TRIM('Smart Search'!$L$6)="All",ISNUMBER(SEARCH(SUBSTITUTE(SUBSTITUTE(SUBSTITUTE(TRIM('Smart Search'!$L$6),"~","~~"),"*","~*"),"?","~?"),CA191))),OR('Smart Search'!$L$7="",AND(CB191&lt;&gt;0,CB191='Smart Search'!$L$7)),OR('Smart Search'!$L$8="",'Smart Search'!$L$8="All",TRIM(CC191)=TRIM('Smart Search'!$L$8))),IF(BA191="","",BA191+ROW()*0.0000000001),"")</f>
        <v/>
      </c>
      <c r="BI191" s="5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5">
        <f>IF(A191="","",N(INDEX(Projects[Mech Inst],190)))</f>
        <v/>
      </c>
      <c r="BK191" s="5">
        <f>IF(A191="","",N(INDEX(Projects[Elec Inst],190)))</f>
        <v/>
      </c>
      <c r="BL191" s="5">
        <f>IF(A191="","",N(INDEX(Projects[Project Management],190)))</f>
        <v/>
      </c>
      <c r="BM191" s="5">
        <f>IF(A191="","",N(INDEX(Projects[Systems Eng],190)))</f>
        <v/>
      </c>
      <c r="BN191" s="5">
        <f>IF(A191="","",N(INDEX(Projects[Mechanical Eng],190)))</f>
        <v/>
      </c>
      <c r="BO191" s="5">
        <f>IF(A191="","",N(INDEX(Projects[Structural Engineering],190)))</f>
        <v/>
      </c>
      <c r="BP191" s="5">
        <f>IF(A191="","",N(INDEX(Projects[Site Sup],190)))</f>
        <v/>
      </c>
      <c r="BQ191" s="5">
        <f>IF(A191="","",N(INDEX(Projects[Controls Commissioning],190)))</f>
        <v/>
      </c>
      <c r="BR191" s="5">
        <f>IF(A191="","",N(INDEX(Projects[Systems Commissioning],190)))</f>
        <v/>
      </c>
      <c r="BS191" s="5">
        <f>IF(A191="","",N(INDEX(Projects[Service Commissioning],190)))</f>
        <v/>
      </c>
      <c r="BT191" s="5">
        <f>IF(A191="","",N(INDEX(Projects[Controls Eng],190)))</f>
        <v/>
      </c>
      <c r="BU191" s="5">
        <f>IF(A191="","",N(INDEX(Projects[Controls Purchase],190)))</f>
        <v/>
      </c>
      <c r="BV191" s="5">
        <f>IF(A191="","",N(INDEX(Projects[Software Eng],190)))</f>
        <v/>
      </c>
      <c r="BW191" s="5">
        <f>IF(A191="","",N(INDEX(Projects[Misc],190)))</f>
        <v/>
      </c>
      <c r="BX191" s="5">
        <f>IF(A191="","",SUM(BJ191:BW191))</f>
        <v/>
      </c>
      <c r="BY191" s="5">
        <f>IF(A191="","",IFERROR(IF(ISNUMBER(U191),U191,VALUE(SUBSTITUTE(SUBSTITUTE(SUBSTITUTE(UPPER(TRIM(U191)),"M",""),",","")," ",""))),0))</f>
        <v/>
      </c>
      <c r="BZ191" s="5">
        <f>INDEX(Projects[Solution Type],190)&amp;""</f>
        <v/>
      </c>
      <c r="CA191" s="5">
        <f>INDEX(Projects[Client / Region],190)&amp;""</f>
        <v/>
      </c>
      <c r="CB191" s="5">
        <f>INDEX(Projects[Year],190)</f>
        <v/>
      </c>
      <c r="CC191" s="5">
        <f>INDEX(Projects[Won?],190)&amp;""</f>
        <v/>
      </c>
      <c r="CD191" s="5">
        <f>INDEX(Projects[Value (USD M)],190)</f>
        <v/>
      </c>
    </row>
    <row r="192" ht="15" customHeight="1" s="74">
      <c r="A192" s="66">
        <f>INDEX(Projects[Project ID *],191)&amp;""</f>
        <v/>
      </c>
      <c r="B192" s="66">
        <f>INDEX(Projects[Project Name *],191)&amp;""</f>
        <v/>
      </c>
      <c r="C192" s="66">
        <f>INDEX(Projects[MS Shuttles],191)</f>
        <v/>
      </c>
      <c r="D192" s="66">
        <f>INDEX(Projects[MS Tote Locations],191)</f>
        <v/>
      </c>
      <c r="E192" s="66">
        <f>INDEX(Projects[AS Robots],191)</f>
        <v/>
      </c>
      <c r="F192" s="66">
        <f>INDEX(Projects[AS Tote Locations],191)</f>
        <v/>
      </c>
      <c r="G192" s="66">
        <f>INDEX(Projects[PS Shuttles],191)</f>
        <v/>
      </c>
      <c r="H192" s="66">
        <f>INDEX(Projects[PS Pallet Locations],191)</f>
        <v/>
      </c>
      <c r="I192" s="66">
        <f>INDEX(Projects[SRM Cranes],191)</f>
        <v/>
      </c>
      <c r="J192" s="66">
        <f>INDEX(Projects[SRM Pallet Locations],191)</f>
        <v/>
      </c>
      <c r="K192" s="66">
        <f>INDEX(Projects[Case Conv (m)],191)</f>
        <v/>
      </c>
      <c r="L192" s="66">
        <f>INDEX(Projects[Pallet Conv (m)],191)</f>
        <v/>
      </c>
      <c r="M192" s="66">
        <f>INDEX(Projects[Mech Eng (wks)],191)</f>
        <v/>
      </c>
      <c r="N192" s="66">
        <f>INDEX(Projects[Controls Eng (wks)],191)</f>
        <v/>
      </c>
      <c r="O192" s="66">
        <f>INDEX(Projects[Systems Eng (wks)],191)</f>
        <v/>
      </c>
      <c r="P192" s="66">
        <f>INDEX(Projects[Software Eng (wks)],191)</f>
        <v/>
      </c>
      <c r="Q192" s="66">
        <f>INDEX(Projects[M&amp;E Installation (wks)],191)</f>
        <v/>
      </c>
      <c r="R192" s="66">
        <f>INDEX(Projects[Commissioning (wks)],191)</f>
        <v/>
      </c>
      <c r="S192" s="66">
        <f>INDEX(Projects[Total Timeline (wks)],191)</f>
        <v/>
      </c>
      <c r="T192" s="66">
        <f>INDEX(Projects[Currency],191)&amp;""</f>
        <v/>
      </c>
      <c r="U192" s="67">
        <f>INDEX(Projects[Value (M)],191)</f>
        <v/>
      </c>
      <c r="V192" s="66">
        <f>IF('Smart Search'!B13=1,IFERROR(1/'Smart Search'!H13,0),0)</f>
        <v/>
      </c>
      <c r="W192" s="66">
        <f>IF('Smart Search'!B13=1,IFERROR(1/'Smart Search'!H13,0),0)</f>
        <v/>
      </c>
      <c r="X192" s="66">
        <f>IF('Smart Search'!C13=1,IFERROR(1/'Smart Search'!H13,0),0)</f>
        <v/>
      </c>
      <c r="Y192" s="66">
        <f>IF('Smart Search'!C13=1,IFERROR(1/'Smart Search'!H13,0),0)</f>
        <v/>
      </c>
      <c r="Z192" s="66">
        <f>IF('Smart Search'!D13=1,IFERROR(1/'Smart Search'!H13,0),0)</f>
        <v/>
      </c>
      <c r="AA192" s="66">
        <f>IF('Smart Search'!D13=1,IFERROR(1/'Smart Search'!H13,0),0)</f>
        <v/>
      </c>
      <c r="AB192" s="66">
        <f>IF('Smart Search'!E13=1,IFERROR(1/'Smart Search'!H13,0),0)</f>
        <v/>
      </c>
      <c r="AC192" s="66">
        <f>IF('Smart Search'!E13=1,IFERROR(1/'Smart Search'!H13,0),0)</f>
        <v/>
      </c>
      <c r="AD192" s="66">
        <f>IF('Smart Search'!F13=1,IFERROR(1/'Smart Search'!H13,0),0)</f>
        <v/>
      </c>
      <c r="AE192" s="66">
        <f>IF('Smart Search'!F13=1,IFERROR(1/'Smart Search'!H13,0),0)</f>
        <v/>
      </c>
      <c r="AF192" s="66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66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66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66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66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66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66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66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66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66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66">
        <f>AF192*V192</f>
        <v/>
      </c>
      <c r="AQ192" s="66">
        <f>AG192*W192</f>
        <v/>
      </c>
      <c r="AR192" s="66">
        <f>AH192*X192</f>
        <v/>
      </c>
      <c r="AS192" s="66">
        <f>AI192*Y192</f>
        <v/>
      </c>
      <c r="AT192" s="66">
        <f>AJ192*Z192</f>
        <v/>
      </c>
      <c r="AU192" s="66">
        <f>AK192*AA192</f>
        <v/>
      </c>
      <c r="AV192" s="66">
        <f>AL192*AB192</f>
        <v/>
      </c>
      <c r="AW192" s="66">
        <f>AM192*AC192</f>
        <v/>
      </c>
      <c r="AX192" s="66">
        <f>AN192*AD192</f>
        <v/>
      </c>
      <c r="AY192" s="66">
        <f>AO192*AE192</f>
        <v/>
      </c>
      <c r="AZ192" s="66">
        <f>INDEX(Projects[Automation Equipment],191)&amp;""</f>
        <v/>
      </c>
      <c r="BA192" s="66">
        <f>IF(OR(A192="",'Smart Search'!H13=0),"",MAX(0,BE192*BF192*MAX(0,1-BG192)))</f>
        <v/>
      </c>
      <c r="BB192" s="66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66">
        <f>IF('Smart Search'!G13=1,IFERROR(1/'Smart Search'!H13,0),0)</f>
        <v/>
      </c>
      <c r="BD192" s="66">
        <f>BB192*BC192</f>
        <v/>
      </c>
      <c r="BE192" s="66">
        <f>AP192+AQ192+AR192+AS192+AT192+AU192+AV192+AW192+AX192+AY192+BD192</f>
        <v/>
      </c>
      <c r="BF192" s="5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5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5">
        <f>IF(AND(A192&lt;&gt;"",OR('Smart Search'!$L$5="",'Smart Search'!$L$5="All",TRIM(BZ192)=TRIM('Smart Search'!$L$5)),OR(TRIM('Smart Search'!$L$6)="",TRIM('Smart Search'!$L$6)="All",ISNUMBER(SEARCH(SUBSTITUTE(SUBSTITUTE(SUBSTITUTE(TRIM('Smart Search'!$L$6),"~","~~"),"*","~*"),"?","~?"),CA192))),OR('Smart Search'!$L$7="",AND(CB192&lt;&gt;0,CB192='Smart Search'!$L$7)),OR('Smart Search'!$L$8="",'Smart Search'!$L$8="All",TRIM(CC192)=TRIM('Smart Search'!$L$8))),IF(BA192="","",BA192+ROW()*0.0000000001),"")</f>
        <v/>
      </c>
      <c r="BI192" s="5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5">
        <f>IF(A192="","",N(INDEX(Projects[Mech Inst],191)))</f>
        <v/>
      </c>
      <c r="BK192" s="5">
        <f>IF(A192="","",N(INDEX(Projects[Elec Inst],191)))</f>
        <v/>
      </c>
      <c r="BL192" s="5">
        <f>IF(A192="","",N(INDEX(Projects[Project Management],191)))</f>
        <v/>
      </c>
      <c r="BM192" s="5">
        <f>IF(A192="","",N(INDEX(Projects[Systems Eng],191)))</f>
        <v/>
      </c>
      <c r="BN192" s="5">
        <f>IF(A192="","",N(INDEX(Projects[Mechanical Eng],191)))</f>
        <v/>
      </c>
      <c r="BO192" s="5">
        <f>IF(A192="","",N(INDEX(Projects[Structural Engineering],191)))</f>
        <v/>
      </c>
      <c r="BP192" s="5">
        <f>IF(A192="","",N(INDEX(Projects[Site Sup],191)))</f>
        <v/>
      </c>
      <c r="BQ192" s="5">
        <f>IF(A192="","",N(INDEX(Projects[Controls Commissioning],191)))</f>
        <v/>
      </c>
      <c r="BR192" s="5">
        <f>IF(A192="","",N(INDEX(Projects[Systems Commissioning],191)))</f>
        <v/>
      </c>
      <c r="BS192" s="5">
        <f>IF(A192="","",N(INDEX(Projects[Service Commissioning],191)))</f>
        <v/>
      </c>
      <c r="BT192" s="5">
        <f>IF(A192="","",N(INDEX(Projects[Controls Eng],191)))</f>
        <v/>
      </c>
      <c r="BU192" s="5">
        <f>IF(A192="","",N(INDEX(Projects[Controls Purchase],191)))</f>
        <v/>
      </c>
      <c r="BV192" s="5">
        <f>IF(A192="","",N(INDEX(Projects[Software Eng],191)))</f>
        <v/>
      </c>
      <c r="BW192" s="5">
        <f>IF(A192="","",N(INDEX(Projects[Misc],191)))</f>
        <v/>
      </c>
      <c r="BX192" s="5">
        <f>IF(A192="","",SUM(BJ192:BW192))</f>
        <v/>
      </c>
      <c r="BY192" s="5">
        <f>IF(A192="","",IFERROR(IF(ISNUMBER(U192),U192,VALUE(SUBSTITUTE(SUBSTITUTE(SUBSTITUTE(UPPER(TRIM(U192)),"M",""),",","")," ",""))),0))</f>
        <v/>
      </c>
      <c r="BZ192" s="5">
        <f>INDEX(Projects[Solution Type],191)&amp;""</f>
        <v/>
      </c>
      <c r="CA192" s="5">
        <f>INDEX(Projects[Client / Region],191)&amp;""</f>
        <v/>
      </c>
      <c r="CB192" s="5">
        <f>INDEX(Projects[Year],191)</f>
        <v/>
      </c>
      <c r="CC192" s="5">
        <f>INDEX(Projects[Won?],191)&amp;""</f>
        <v/>
      </c>
      <c r="CD192" s="5">
        <f>INDEX(Projects[Value (USD M)],191)</f>
        <v/>
      </c>
    </row>
    <row r="193" ht="15" customHeight="1" s="74">
      <c r="A193" s="66">
        <f>INDEX(Projects[Project ID *],192)&amp;""</f>
        <v/>
      </c>
      <c r="B193" s="66">
        <f>INDEX(Projects[Project Name *],192)&amp;""</f>
        <v/>
      </c>
      <c r="C193" s="66">
        <f>INDEX(Projects[MS Shuttles],192)</f>
        <v/>
      </c>
      <c r="D193" s="66">
        <f>INDEX(Projects[MS Tote Locations],192)</f>
        <v/>
      </c>
      <c r="E193" s="66">
        <f>INDEX(Projects[AS Robots],192)</f>
        <v/>
      </c>
      <c r="F193" s="66">
        <f>INDEX(Projects[AS Tote Locations],192)</f>
        <v/>
      </c>
      <c r="G193" s="66">
        <f>INDEX(Projects[PS Shuttles],192)</f>
        <v/>
      </c>
      <c r="H193" s="66">
        <f>INDEX(Projects[PS Pallet Locations],192)</f>
        <v/>
      </c>
      <c r="I193" s="66">
        <f>INDEX(Projects[SRM Cranes],192)</f>
        <v/>
      </c>
      <c r="J193" s="66">
        <f>INDEX(Projects[SRM Pallet Locations],192)</f>
        <v/>
      </c>
      <c r="K193" s="66">
        <f>INDEX(Projects[Case Conv (m)],192)</f>
        <v/>
      </c>
      <c r="L193" s="66">
        <f>INDEX(Projects[Pallet Conv (m)],192)</f>
        <v/>
      </c>
      <c r="M193" s="66">
        <f>INDEX(Projects[Mech Eng (wks)],192)</f>
        <v/>
      </c>
      <c r="N193" s="66">
        <f>INDEX(Projects[Controls Eng (wks)],192)</f>
        <v/>
      </c>
      <c r="O193" s="66">
        <f>INDEX(Projects[Systems Eng (wks)],192)</f>
        <v/>
      </c>
      <c r="P193" s="66">
        <f>INDEX(Projects[Software Eng (wks)],192)</f>
        <v/>
      </c>
      <c r="Q193" s="66">
        <f>INDEX(Projects[M&amp;E Installation (wks)],192)</f>
        <v/>
      </c>
      <c r="R193" s="66">
        <f>INDEX(Projects[Commissioning (wks)],192)</f>
        <v/>
      </c>
      <c r="S193" s="66">
        <f>INDEX(Projects[Total Timeline (wks)],192)</f>
        <v/>
      </c>
      <c r="T193" s="66">
        <f>INDEX(Projects[Currency],192)&amp;""</f>
        <v/>
      </c>
      <c r="U193" s="67">
        <f>INDEX(Projects[Value (M)],192)</f>
        <v/>
      </c>
      <c r="V193" s="66">
        <f>IF('Smart Search'!B13=1,IFERROR(1/'Smart Search'!H13,0),0)</f>
        <v/>
      </c>
      <c r="W193" s="66">
        <f>IF('Smart Search'!B13=1,IFERROR(1/'Smart Search'!H13,0),0)</f>
        <v/>
      </c>
      <c r="X193" s="66">
        <f>IF('Smart Search'!C13=1,IFERROR(1/'Smart Search'!H13,0),0)</f>
        <v/>
      </c>
      <c r="Y193" s="66">
        <f>IF('Smart Search'!C13=1,IFERROR(1/'Smart Search'!H13,0),0)</f>
        <v/>
      </c>
      <c r="Z193" s="66">
        <f>IF('Smart Search'!D13=1,IFERROR(1/'Smart Search'!H13,0),0)</f>
        <v/>
      </c>
      <c r="AA193" s="66">
        <f>IF('Smart Search'!D13=1,IFERROR(1/'Smart Search'!H13,0),0)</f>
        <v/>
      </c>
      <c r="AB193" s="66">
        <f>IF('Smart Search'!E13=1,IFERROR(1/'Smart Search'!H13,0),0)</f>
        <v/>
      </c>
      <c r="AC193" s="66">
        <f>IF('Smart Search'!E13=1,IFERROR(1/'Smart Search'!H13,0),0)</f>
        <v/>
      </c>
      <c r="AD193" s="66">
        <f>IF('Smart Search'!F13=1,IFERROR(1/'Smart Search'!H13,0),0)</f>
        <v/>
      </c>
      <c r="AE193" s="66">
        <f>IF('Smart Search'!F13=1,IFERROR(1/'Smart Search'!H13,0),0)</f>
        <v/>
      </c>
      <c r="AF193" s="66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66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66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66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66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66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66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66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66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66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66">
        <f>AF193*V193</f>
        <v/>
      </c>
      <c r="AQ193" s="66">
        <f>AG193*W193</f>
        <v/>
      </c>
      <c r="AR193" s="66">
        <f>AH193*X193</f>
        <v/>
      </c>
      <c r="AS193" s="66">
        <f>AI193*Y193</f>
        <v/>
      </c>
      <c r="AT193" s="66">
        <f>AJ193*Z193</f>
        <v/>
      </c>
      <c r="AU193" s="66">
        <f>AK193*AA193</f>
        <v/>
      </c>
      <c r="AV193" s="66">
        <f>AL193*AB193</f>
        <v/>
      </c>
      <c r="AW193" s="66">
        <f>AM193*AC193</f>
        <v/>
      </c>
      <c r="AX193" s="66">
        <f>AN193*AD193</f>
        <v/>
      </c>
      <c r="AY193" s="66">
        <f>AO193*AE193</f>
        <v/>
      </c>
      <c r="AZ193" s="66">
        <f>INDEX(Projects[Automation Equipment],192)&amp;""</f>
        <v/>
      </c>
      <c r="BA193" s="66">
        <f>IF(OR(A193="",'Smart Search'!H13=0),"",MAX(0,BE193*BF193*MAX(0,1-BG193)))</f>
        <v/>
      </c>
      <c r="BB193" s="66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66">
        <f>IF('Smart Search'!G13=1,IFERROR(1/'Smart Search'!H13,0),0)</f>
        <v/>
      </c>
      <c r="BD193" s="66">
        <f>BB193*BC193</f>
        <v/>
      </c>
      <c r="BE193" s="66">
        <f>AP193+AQ193+AR193+AS193+AT193+AU193+AV193+AW193+AX193+AY193+BD193</f>
        <v/>
      </c>
      <c r="BF193" s="5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5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5">
        <f>IF(AND(A193&lt;&gt;"",OR('Smart Search'!$L$5="",'Smart Search'!$L$5="All",TRIM(BZ193)=TRIM('Smart Search'!$L$5)),OR(TRIM('Smart Search'!$L$6)="",TRIM('Smart Search'!$L$6)="All",ISNUMBER(SEARCH(SUBSTITUTE(SUBSTITUTE(SUBSTITUTE(TRIM('Smart Search'!$L$6),"~","~~"),"*","~*"),"?","~?"),CA193))),OR('Smart Search'!$L$7="",AND(CB193&lt;&gt;0,CB193='Smart Search'!$L$7)),OR('Smart Search'!$L$8="",'Smart Search'!$L$8="All",TRIM(CC193)=TRIM('Smart Search'!$L$8))),IF(BA193="","",BA193+ROW()*0.0000000001),"")</f>
        <v/>
      </c>
      <c r="BI193" s="5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5">
        <f>IF(A193="","",N(INDEX(Projects[Mech Inst],192)))</f>
        <v/>
      </c>
      <c r="BK193" s="5">
        <f>IF(A193="","",N(INDEX(Projects[Elec Inst],192)))</f>
        <v/>
      </c>
      <c r="BL193" s="5">
        <f>IF(A193="","",N(INDEX(Projects[Project Management],192)))</f>
        <v/>
      </c>
      <c r="BM193" s="5">
        <f>IF(A193="","",N(INDEX(Projects[Systems Eng],192)))</f>
        <v/>
      </c>
      <c r="BN193" s="5">
        <f>IF(A193="","",N(INDEX(Projects[Mechanical Eng],192)))</f>
        <v/>
      </c>
      <c r="BO193" s="5">
        <f>IF(A193="","",N(INDEX(Projects[Structural Engineering],192)))</f>
        <v/>
      </c>
      <c r="BP193" s="5">
        <f>IF(A193="","",N(INDEX(Projects[Site Sup],192)))</f>
        <v/>
      </c>
      <c r="BQ193" s="5">
        <f>IF(A193="","",N(INDEX(Projects[Controls Commissioning],192)))</f>
        <v/>
      </c>
      <c r="BR193" s="5">
        <f>IF(A193="","",N(INDEX(Projects[Systems Commissioning],192)))</f>
        <v/>
      </c>
      <c r="BS193" s="5">
        <f>IF(A193="","",N(INDEX(Projects[Service Commissioning],192)))</f>
        <v/>
      </c>
      <c r="BT193" s="5">
        <f>IF(A193="","",N(INDEX(Projects[Controls Eng],192)))</f>
        <v/>
      </c>
      <c r="BU193" s="5">
        <f>IF(A193="","",N(INDEX(Projects[Controls Purchase],192)))</f>
        <v/>
      </c>
      <c r="BV193" s="5">
        <f>IF(A193="","",N(INDEX(Projects[Software Eng],192)))</f>
        <v/>
      </c>
      <c r="BW193" s="5">
        <f>IF(A193="","",N(INDEX(Projects[Misc],192)))</f>
        <v/>
      </c>
      <c r="BX193" s="5">
        <f>IF(A193="","",SUM(BJ193:BW193))</f>
        <v/>
      </c>
      <c r="BY193" s="5">
        <f>IF(A193="","",IFERROR(IF(ISNUMBER(U193),U193,VALUE(SUBSTITUTE(SUBSTITUTE(SUBSTITUTE(UPPER(TRIM(U193)),"M",""),",","")," ",""))),0))</f>
        <v/>
      </c>
      <c r="BZ193" s="5">
        <f>INDEX(Projects[Solution Type],192)&amp;""</f>
        <v/>
      </c>
      <c r="CA193" s="5">
        <f>INDEX(Projects[Client / Region],192)&amp;""</f>
        <v/>
      </c>
      <c r="CB193" s="5">
        <f>INDEX(Projects[Year],192)</f>
        <v/>
      </c>
      <c r="CC193" s="5">
        <f>INDEX(Projects[Won?],192)&amp;""</f>
        <v/>
      </c>
      <c r="CD193" s="5">
        <f>INDEX(Projects[Value (USD M)],192)</f>
        <v/>
      </c>
    </row>
    <row r="194" ht="15" customHeight="1" s="74">
      <c r="A194" s="66">
        <f>INDEX(Projects[Project ID *],193)&amp;""</f>
        <v/>
      </c>
      <c r="B194" s="66">
        <f>INDEX(Projects[Project Name *],193)&amp;""</f>
        <v/>
      </c>
      <c r="C194" s="66">
        <f>INDEX(Projects[MS Shuttles],193)</f>
        <v/>
      </c>
      <c r="D194" s="66">
        <f>INDEX(Projects[MS Tote Locations],193)</f>
        <v/>
      </c>
      <c r="E194" s="66">
        <f>INDEX(Projects[AS Robots],193)</f>
        <v/>
      </c>
      <c r="F194" s="66">
        <f>INDEX(Projects[AS Tote Locations],193)</f>
        <v/>
      </c>
      <c r="G194" s="66">
        <f>INDEX(Projects[PS Shuttles],193)</f>
        <v/>
      </c>
      <c r="H194" s="66">
        <f>INDEX(Projects[PS Pallet Locations],193)</f>
        <v/>
      </c>
      <c r="I194" s="66">
        <f>INDEX(Projects[SRM Cranes],193)</f>
        <v/>
      </c>
      <c r="J194" s="66">
        <f>INDEX(Projects[SRM Pallet Locations],193)</f>
        <v/>
      </c>
      <c r="K194" s="66">
        <f>INDEX(Projects[Case Conv (m)],193)</f>
        <v/>
      </c>
      <c r="L194" s="66">
        <f>INDEX(Projects[Pallet Conv (m)],193)</f>
        <v/>
      </c>
      <c r="M194" s="66">
        <f>INDEX(Projects[Mech Eng (wks)],193)</f>
        <v/>
      </c>
      <c r="N194" s="66">
        <f>INDEX(Projects[Controls Eng (wks)],193)</f>
        <v/>
      </c>
      <c r="O194" s="66">
        <f>INDEX(Projects[Systems Eng (wks)],193)</f>
        <v/>
      </c>
      <c r="P194" s="66">
        <f>INDEX(Projects[Software Eng (wks)],193)</f>
        <v/>
      </c>
      <c r="Q194" s="66">
        <f>INDEX(Projects[M&amp;E Installation (wks)],193)</f>
        <v/>
      </c>
      <c r="R194" s="66">
        <f>INDEX(Projects[Commissioning (wks)],193)</f>
        <v/>
      </c>
      <c r="S194" s="66">
        <f>INDEX(Projects[Total Timeline (wks)],193)</f>
        <v/>
      </c>
      <c r="T194" s="66">
        <f>INDEX(Projects[Currency],193)&amp;""</f>
        <v/>
      </c>
      <c r="U194" s="67">
        <f>INDEX(Projects[Value (M)],193)</f>
        <v/>
      </c>
      <c r="V194" s="66">
        <f>IF('Smart Search'!B13=1,IFERROR(1/'Smart Search'!H13,0),0)</f>
        <v/>
      </c>
      <c r="W194" s="66">
        <f>IF('Smart Search'!B13=1,IFERROR(1/'Smart Search'!H13,0),0)</f>
        <v/>
      </c>
      <c r="X194" s="66">
        <f>IF('Smart Search'!C13=1,IFERROR(1/'Smart Search'!H13,0),0)</f>
        <v/>
      </c>
      <c r="Y194" s="66">
        <f>IF('Smart Search'!C13=1,IFERROR(1/'Smart Search'!H13,0),0)</f>
        <v/>
      </c>
      <c r="Z194" s="66">
        <f>IF('Smart Search'!D13=1,IFERROR(1/'Smart Search'!H13,0),0)</f>
        <v/>
      </c>
      <c r="AA194" s="66">
        <f>IF('Smart Search'!D13=1,IFERROR(1/'Smart Search'!H13,0),0)</f>
        <v/>
      </c>
      <c r="AB194" s="66">
        <f>IF('Smart Search'!E13=1,IFERROR(1/'Smart Search'!H13,0),0)</f>
        <v/>
      </c>
      <c r="AC194" s="66">
        <f>IF('Smart Search'!E13=1,IFERROR(1/'Smart Search'!H13,0),0)</f>
        <v/>
      </c>
      <c r="AD194" s="66">
        <f>IF('Smart Search'!F13=1,IFERROR(1/'Smart Search'!H13,0),0)</f>
        <v/>
      </c>
      <c r="AE194" s="66">
        <f>IF('Smart Search'!F13=1,IFERROR(1/'Smart Search'!H13,0),0)</f>
        <v/>
      </c>
      <c r="AF194" s="66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66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66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66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66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66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66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66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66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66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66">
        <f>AF194*V194</f>
        <v/>
      </c>
      <c r="AQ194" s="66">
        <f>AG194*W194</f>
        <v/>
      </c>
      <c r="AR194" s="66">
        <f>AH194*X194</f>
        <v/>
      </c>
      <c r="AS194" s="66">
        <f>AI194*Y194</f>
        <v/>
      </c>
      <c r="AT194" s="66">
        <f>AJ194*Z194</f>
        <v/>
      </c>
      <c r="AU194" s="66">
        <f>AK194*AA194</f>
        <v/>
      </c>
      <c r="AV194" s="66">
        <f>AL194*AB194</f>
        <v/>
      </c>
      <c r="AW194" s="66">
        <f>AM194*AC194</f>
        <v/>
      </c>
      <c r="AX194" s="66">
        <f>AN194*AD194</f>
        <v/>
      </c>
      <c r="AY194" s="66">
        <f>AO194*AE194</f>
        <v/>
      </c>
      <c r="AZ194" s="66">
        <f>INDEX(Projects[Automation Equipment],193)&amp;""</f>
        <v/>
      </c>
      <c r="BA194" s="66">
        <f>IF(OR(A194="",'Smart Search'!H13=0),"",MAX(0,BE194*BF194*MAX(0,1-BG194)))</f>
        <v/>
      </c>
      <c r="BB194" s="66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66">
        <f>IF('Smart Search'!G13=1,IFERROR(1/'Smart Search'!H13,0),0)</f>
        <v/>
      </c>
      <c r="BD194" s="66">
        <f>BB194*BC194</f>
        <v/>
      </c>
      <c r="BE194" s="66">
        <f>AP194+AQ194+AR194+AS194+AT194+AU194+AV194+AW194+AX194+AY194+BD194</f>
        <v/>
      </c>
      <c r="BF194" s="5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5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5">
        <f>IF(AND(A194&lt;&gt;"",OR('Smart Search'!$L$5="",'Smart Search'!$L$5="All",TRIM(BZ194)=TRIM('Smart Search'!$L$5)),OR(TRIM('Smart Search'!$L$6)="",TRIM('Smart Search'!$L$6)="All",ISNUMBER(SEARCH(SUBSTITUTE(SUBSTITUTE(SUBSTITUTE(TRIM('Smart Search'!$L$6),"~","~~"),"*","~*"),"?","~?"),CA194))),OR('Smart Search'!$L$7="",AND(CB194&lt;&gt;0,CB194='Smart Search'!$L$7)),OR('Smart Search'!$L$8="",'Smart Search'!$L$8="All",TRIM(CC194)=TRIM('Smart Search'!$L$8))),IF(BA194="","",BA194+ROW()*0.0000000001),"")</f>
        <v/>
      </c>
      <c r="BI194" s="5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5">
        <f>IF(A194="","",N(INDEX(Projects[Mech Inst],193)))</f>
        <v/>
      </c>
      <c r="BK194" s="5">
        <f>IF(A194="","",N(INDEX(Projects[Elec Inst],193)))</f>
        <v/>
      </c>
      <c r="BL194" s="5">
        <f>IF(A194="","",N(INDEX(Projects[Project Management],193)))</f>
        <v/>
      </c>
      <c r="BM194" s="5">
        <f>IF(A194="","",N(INDEX(Projects[Systems Eng],193)))</f>
        <v/>
      </c>
      <c r="BN194" s="5">
        <f>IF(A194="","",N(INDEX(Projects[Mechanical Eng],193)))</f>
        <v/>
      </c>
      <c r="BO194" s="5">
        <f>IF(A194="","",N(INDEX(Projects[Structural Engineering],193)))</f>
        <v/>
      </c>
      <c r="BP194" s="5">
        <f>IF(A194="","",N(INDEX(Projects[Site Sup],193)))</f>
        <v/>
      </c>
      <c r="BQ194" s="5">
        <f>IF(A194="","",N(INDEX(Projects[Controls Commissioning],193)))</f>
        <v/>
      </c>
      <c r="BR194" s="5">
        <f>IF(A194="","",N(INDEX(Projects[Systems Commissioning],193)))</f>
        <v/>
      </c>
      <c r="BS194" s="5">
        <f>IF(A194="","",N(INDEX(Projects[Service Commissioning],193)))</f>
        <v/>
      </c>
      <c r="BT194" s="5">
        <f>IF(A194="","",N(INDEX(Projects[Controls Eng],193)))</f>
        <v/>
      </c>
      <c r="BU194" s="5">
        <f>IF(A194="","",N(INDEX(Projects[Controls Purchase],193)))</f>
        <v/>
      </c>
      <c r="BV194" s="5">
        <f>IF(A194="","",N(INDEX(Projects[Software Eng],193)))</f>
        <v/>
      </c>
      <c r="BW194" s="5">
        <f>IF(A194="","",N(INDEX(Projects[Misc],193)))</f>
        <v/>
      </c>
      <c r="BX194" s="5">
        <f>IF(A194="","",SUM(BJ194:BW194))</f>
        <v/>
      </c>
      <c r="BY194" s="5">
        <f>IF(A194="","",IFERROR(IF(ISNUMBER(U194),U194,VALUE(SUBSTITUTE(SUBSTITUTE(SUBSTITUTE(UPPER(TRIM(U194)),"M",""),",","")," ",""))),0))</f>
        <v/>
      </c>
      <c r="BZ194" s="5">
        <f>INDEX(Projects[Solution Type],193)&amp;""</f>
        <v/>
      </c>
      <c r="CA194" s="5">
        <f>INDEX(Projects[Client / Region],193)&amp;""</f>
        <v/>
      </c>
      <c r="CB194" s="5">
        <f>INDEX(Projects[Year],193)</f>
        <v/>
      </c>
      <c r="CC194" s="5">
        <f>INDEX(Projects[Won?],193)&amp;""</f>
        <v/>
      </c>
      <c r="CD194" s="5">
        <f>INDEX(Projects[Value (USD M)],193)</f>
        <v/>
      </c>
    </row>
    <row r="195" ht="15" customHeight="1" s="74">
      <c r="A195" s="66">
        <f>INDEX(Projects[Project ID *],194)&amp;""</f>
        <v/>
      </c>
      <c r="B195" s="66">
        <f>INDEX(Projects[Project Name *],194)&amp;""</f>
        <v/>
      </c>
      <c r="C195" s="66">
        <f>INDEX(Projects[MS Shuttles],194)</f>
        <v/>
      </c>
      <c r="D195" s="66">
        <f>INDEX(Projects[MS Tote Locations],194)</f>
        <v/>
      </c>
      <c r="E195" s="66">
        <f>INDEX(Projects[AS Robots],194)</f>
        <v/>
      </c>
      <c r="F195" s="66">
        <f>INDEX(Projects[AS Tote Locations],194)</f>
        <v/>
      </c>
      <c r="G195" s="66">
        <f>INDEX(Projects[PS Shuttles],194)</f>
        <v/>
      </c>
      <c r="H195" s="66">
        <f>INDEX(Projects[PS Pallet Locations],194)</f>
        <v/>
      </c>
      <c r="I195" s="66">
        <f>INDEX(Projects[SRM Cranes],194)</f>
        <v/>
      </c>
      <c r="J195" s="66">
        <f>INDEX(Projects[SRM Pallet Locations],194)</f>
        <v/>
      </c>
      <c r="K195" s="66">
        <f>INDEX(Projects[Case Conv (m)],194)</f>
        <v/>
      </c>
      <c r="L195" s="66">
        <f>INDEX(Projects[Pallet Conv (m)],194)</f>
        <v/>
      </c>
      <c r="M195" s="66">
        <f>INDEX(Projects[Mech Eng (wks)],194)</f>
        <v/>
      </c>
      <c r="N195" s="66">
        <f>INDEX(Projects[Controls Eng (wks)],194)</f>
        <v/>
      </c>
      <c r="O195" s="66">
        <f>INDEX(Projects[Systems Eng (wks)],194)</f>
        <v/>
      </c>
      <c r="P195" s="66">
        <f>INDEX(Projects[Software Eng (wks)],194)</f>
        <v/>
      </c>
      <c r="Q195" s="66">
        <f>INDEX(Projects[M&amp;E Installation (wks)],194)</f>
        <v/>
      </c>
      <c r="R195" s="66">
        <f>INDEX(Projects[Commissioning (wks)],194)</f>
        <v/>
      </c>
      <c r="S195" s="66">
        <f>INDEX(Projects[Total Timeline (wks)],194)</f>
        <v/>
      </c>
      <c r="T195" s="66">
        <f>INDEX(Projects[Currency],194)&amp;""</f>
        <v/>
      </c>
      <c r="U195" s="67">
        <f>INDEX(Projects[Value (M)],194)</f>
        <v/>
      </c>
      <c r="V195" s="66">
        <f>IF('Smart Search'!B13=1,IFERROR(1/'Smart Search'!H13,0),0)</f>
        <v/>
      </c>
      <c r="W195" s="66">
        <f>IF('Smart Search'!B13=1,IFERROR(1/'Smart Search'!H13,0),0)</f>
        <v/>
      </c>
      <c r="X195" s="66">
        <f>IF('Smart Search'!C13=1,IFERROR(1/'Smart Search'!H13,0),0)</f>
        <v/>
      </c>
      <c r="Y195" s="66">
        <f>IF('Smart Search'!C13=1,IFERROR(1/'Smart Search'!H13,0),0)</f>
        <v/>
      </c>
      <c r="Z195" s="66">
        <f>IF('Smart Search'!D13=1,IFERROR(1/'Smart Search'!H13,0),0)</f>
        <v/>
      </c>
      <c r="AA195" s="66">
        <f>IF('Smart Search'!D13=1,IFERROR(1/'Smart Search'!H13,0),0)</f>
        <v/>
      </c>
      <c r="AB195" s="66">
        <f>IF('Smart Search'!E13=1,IFERROR(1/'Smart Search'!H13,0),0)</f>
        <v/>
      </c>
      <c r="AC195" s="66">
        <f>IF('Smart Search'!E13=1,IFERROR(1/'Smart Search'!H13,0),0)</f>
        <v/>
      </c>
      <c r="AD195" s="66">
        <f>IF('Smart Search'!F13=1,IFERROR(1/'Smart Search'!H13,0),0)</f>
        <v/>
      </c>
      <c r="AE195" s="66">
        <f>IF('Smart Search'!F13=1,IFERROR(1/'Smart Search'!H13,0),0)</f>
        <v/>
      </c>
      <c r="AF195" s="66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66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66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66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66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66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66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66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66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66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66">
        <f>AF195*V195</f>
        <v/>
      </c>
      <c r="AQ195" s="66">
        <f>AG195*W195</f>
        <v/>
      </c>
      <c r="AR195" s="66">
        <f>AH195*X195</f>
        <v/>
      </c>
      <c r="AS195" s="66">
        <f>AI195*Y195</f>
        <v/>
      </c>
      <c r="AT195" s="66">
        <f>AJ195*Z195</f>
        <v/>
      </c>
      <c r="AU195" s="66">
        <f>AK195*AA195</f>
        <v/>
      </c>
      <c r="AV195" s="66">
        <f>AL195*AB195</f>
        <v/>
      </c>
      <c r="AW195" s="66">
        <f>AM195*AC195</f>
        <v/>
      </c>
      <c r="AX195" s="66">
        <f>AN195*AD195</f>
        <v/>
      </c>
      <c r="AY195" s="66">
        <f>AO195*AE195</f>
        <v/>
      </c>
      <c r="AZ195" s="66">
        <f>INDEX(Projects[Automation Equipment],194)&amp;""</f>
        <v/>
      </c>
      <c r="BA195" s="66">
        <f>IF(OR(A195="",'Smart Search'!H13=0),"",MAX(0,BE195*BF195*MAX(0,1-BG195)))</f>
        <v/>
      </c>
      <c r="BB195" s="66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66">
        <f>IF('Smart Search'!G13=1,IFERROR(1/'Smart Search'!H13,0),0)</f>
        <v/>
      </c>
      <c r="BD195" s="66">
        <f>BB195*BC195</f>
        <v/>
      </c>
      <c r="BE195" s="66">
        <f>AP195+AQ195+AR195+AS195+AT195+AU195+AV195+AW195+AX195+AY195+BD195</f>
        <v/>
      </c>
      <c r="BF195" s="5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5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5">
        <f>IF(AND(A195&lt;&gt;"",OR('Smart Search'!$L$5="",'Smart Search'!$L$5="All",TRIM(BZ195)=TRIM('Smart Search'!$L$5)),OR(TRIM('Smart Search'!$L$6)="",TRIM('Smart Search'!$L$6)="All",ISNUMBER(SEARCH(SUBSTITUTE(SUBSTITUTE(SUBSTITUTE(TRIM('Smart Search'!$L$6),"~","~~"),"*","~*"),"?","~?"),CA195))),OR('Smart Search'!$L$7="",AND(CB195&lt;&gt;0,CB195='Smart Search'!$L$7)),OR('Smart Search'!$L$8="",'Smart Search'!$L$8="All",TRIM(CC195)=TRIM('Smart Search'!$L$8))),IF(BA195="","",BA195+ROW()*0.0000000001),"")</f>
        <v/>
      </c>
      <c r="BI195" s="5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5">
        <f>IF(A195="","",N(INDEX(Projects[Mech Inst],194)))</f>
        <v/>
      </c>
      <c r="BK195" s="5">
        <f>IF(A195="","",N(INDEX(Projects[Elec Inst],194)))</f>
        <v/>
      </c>
      <c r="BL195" s="5">
        <f>IF(A195="","",N(INDEX(Projects[Project Management],194)))</f>
        <v/>
      </c>
      <c r="BM195" s="5">
        <f>IF(A195="","",N(INDEX(Projects[Systems Eng],194)))</f>
        <v/>
      </c>
      <c r="BN195" s="5">
        <f>IF(A195="","",N(INDEX(Projects[Mechanical Eng],194)))</f>
        <v/>
      </c>
      <c r="BO195" s="5">
        <f>IF(A195="","",N(INDEX(Projects[Structural Engineering],194)))</f>
        <v/>
      </c>
      <c r="BP195" s="5">
        <f>IF(A195="","",N(INDEX(Projects[Site Sup],194)))</f>
        <v/>
      </c>
      <c r="BQ195" s="5">
        <f>IF(A195="","",N(INDEX(Projects[Controls Commissioning],194)))</f>
        <v/>
      </c>
      <c r="BR195" s="5">
        <f>IF(A195="","",N(INDEX(Projects[Systems Commissioning],194)))</f>
        <v/>
      </c>
      <c r="BS195" s="5">
        <f>IF(A195="","",N(INDEX(Projects[Service Commissioning],194)))</f>
        <v/>
      </c>
      <c r="BT195" s="5">
        <f>IF(A195="","",N(INDEX(Projects[Controls Eng],194)))</f>
        <v/>
      </c>
      <c r="BU195" s="5">
        <f>IF(A195="","",N(INDEX(Projects[Controls Purchase],194)))</f>
        <v/>
      </c>
      <c r="BV195" s="5">
        <f>IF(A195="","",N(INDEX(Projects[Software Eng],194)))</f>
        <v/>
      </c>
      <c r="BW195" s="5">
        <f>IF(A195="","",N(INDEX(Projects[Misc],194)))</f>
        <v/>
      </c>
      <c r="BX195" s="5">
        <f>IF(A195="","",SUM(BJ195:BW195))</f>
        <v/>
      </c>
      <c r="BY195" s="5">
        <f>IF(A195="","",IFERROR(IF(ISNUMBER(U195),U195,VALUE(SUBSTITUTE(SUBSTITUTE(SUBSTITUTE(UPPER(TRIM(U195)),"M",""),",","")," ",""))),0))</f>
        <v/>
      </c>
      <c r="BZ195" s="5">
        <f>INDEX(Projects[Solution Type],194)&amp;""</f>
        <v/>
      </c>
      <c r="CA195" s="5">
        <f>INDEX(Projects[Client / Region],194)&amp;""</f>
        <v/>
      </c>
      <c r="CB195" s="5">
        <f>INDEX(Projects[Year],194)</f>
        <v/>
      </c>
      <c r="CC195" s="5">
        <f>INDEX(Projects[Won?],194)&amp;""</f>
        <v/>
      </c>
      <c r="CD195" s="5">
        <f>INDEX(Projects[Value (USD M)],194)</f>
        <v/>
      </c>
    </row>
    <row r="196" ht="15" customHeight="1" s="74">
      <c r="A196" s="66">
        <f>INDEX(Projects[Project ID *],195)&amp;""</f>
        <v/>
      </c>
      <c r="B196" s="66">
        <f>INDEX(Projects[Project Name *],195)&amp;""</f>
        <v/>
      </c>
      <c r="C196" s="66">
        <f>INDEX(Projects[MS Shuttles],195)</f>
        <v/>
      </c>
      <c r="D196" s="66">
        <f>INDEX(Projects[MS Tote Locations],195)</f>
        <v/>
      </c>
      <c r="E196" s="66">
        <f>INDEX(Projects[AS Robots],195)</f>
        <v/>
      </c>
      <c r="F196" s="66">
        <f>INDEX(Projects[AS Tote Locations],195)</f>
        <v/>
      </c>
      <c r="G196" s="66">
        <f>INDEX(Projects[PS Shuttles],195)</f>
        <v/>
      </c>
      <c r="H196" s="66">
        <f>INDEX(Projects[PS Pallet Locations],195)</f>
        <v/>
      </c>
      <c r="I196" s="66">
        <f>INDEX(Projects[SRM Cranes],195)</f>
        <v/>
      </c>
      <c r="J196" s="66">
        <f>INDEX(Projects[SRM Pallet Locations],195)</f>
        <v/>
      </c>
      <c r="K196" s="66">
        <f>INDEX(Projects[Case Conv (m)],195)</f>
        <v/>
      </c>
      <c r="L196" s="66">
        <f>INDEX(Projects[Pallet Conv (m)],195)</f>
        <v/>
      </c>
      <c r="M196" s="66">
        <f>INDEX(Projects[Mech Eng (wks)],195)</f>
        <v/>
      </c>
      <c r="N196" s="66">
        <f>INDEX(Projects[Controls Eng (wks)],195)</f>
        <v/>
      </c>
      <c r="O196" s="66">
        <f>INDEX(Projects[Systems Eng (wks)],195)</f>
        <v/>
      </c>
      <c r="P196" s="66">
        <f>INDEX(Projects[Software Eng (wks)],195)</f>
        <v/>
      </c>
      <c r="Q196" s="66">
        <f>INDEX(Projects[M&amp;E Installation (wks)],195)</f>
        <v/>
      </c>
      <c r="R196" s="66">
        <f>INDEX(Projects[Commissioning (wks)],195)</f>
        <v/>
      </c>
      <c r="S196" s="66">
        <f>INDEX(Projects[Total Timeline (wks)],195)</f>
        <v/>
      </c>
      <c r="T196" s="66">
        <f>INDEX(Projects[Currency],195)&amp;""</f>
        <v/>
      </c>
      <c r="U196" s="67">
        <f>INDEX(Projects[Value (M)],195)</f>
        <v/>
      </c>
      <c r="V196" s="66">
        <f>IF('Smart Search'!B13=1,IFERROR(1/'Smart Search'!H13,0),0)</f>
        <v/>
      </c>
      <c r="W196" s="66">
        <f>IF('Smart Search'!B13=1,IFERROR(1/'Smart Search'!H13,0),0)</f>
        <v/>
      </c>
      <c r="X196" s="66">
        <f>IF('Smart Search'!C13=1,IFERROR(1/'Smart Search'!H13,0),0)</f>
        <v/>
      </c>
      <c r="Y196" s="66">
        <f>IF('Smart Search'!C13=1,IFERROR(1/'Smart Search'!H13,0),0)</f>
        <v/>
      </c>
      <c r="Z196" s="66">
        <f>IF('Smart Search'!D13=1,IFERROR(1/'Smart Search'!H13,0),0)</f>
        <v/>
      </c>
      <c r="AA196" s="66">
        <f>IF('Smart Search'!D13=1,IFERROR(1/'Smart Search'!H13,0),0)</f>
        <v/>
      </c>
      <c r="AB196" s="66">
        <f>IF('Smart Search'!E13=1,IFERROR(1/'Smart Search'!H13,0),0)</f>
        <v/>
      </c>
      <c r="AC196" s="66">
        <f>IF('Smart Search'!E13=1,IFERROR(1/'Smart Search'!H13,0),0)</f>
        <v/>
      </c>
      <c r="AD196" s="66">
        <f>IF('Smart Search'!F13=1,IFERROR(1/'Smart Search'!H13,0),0)</f>
        <v/>
      </c>
      <c r="AE196" s="66">
        <f>IF('Smart Search'!F13=1,IFERROR(1/'Smart Search'!H13,0),0)</f>
        <v/>
      </c>
      <c r="AF196" s="66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66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66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66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66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66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66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66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66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66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66">
        <f>AF196*V196</f>
        <v/>
      </c>
      <c r="AQ196" s="66">
        <f>AG196*W196</f>
        <v/>
      </c>
      <c r="AR196" s="66">
        <f>AH196*X196</f>
        <v/>
      </c>
      <c r="AS196" s="66">
        <f>AI196*Y196</f>
        <v/>
      </c>
      <c r="AT196" s="66">
        <f>AJ196*Z196</f>
        <v/>
      </c>
      <c r="AU196" s="66">
        <f>AK196*AA196</f>
        <v/>
      </c>
      <c r="AV196" s="66">
        <f>AL196*AB196</f>
        <v/>
      </c>
      <c r="AW196" s="66">
        <f>AM196*AC196</f>
        <v/>
      </c>
      <c r="AX196" s="66">
        <f>AN196*AD196</f>
        <v/>
      </c>
      <c r="AY196" s="66">
        <f>AO196*AE196</f>
        <v/>
      </c>
      <c r="AZ196" s="66">
        <f>INDEX(Projects[Automation Equipment],195)&amp;""</f>
        <v/>
      </c>
      <c r="BA196" s="66">
        <f>IF(OR(A196="",'Smart Search'!H13=0),"",MAX(0,BE196*BF196*MAX(0,1-BG196)))</f>
        <v/>
      </c>
      <c r="BB196" s="66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66">
        <f>IF('Smart Search'!G13=1,IFERROR(1/'Smart Search'!H13,0),0)</f>
        <v/>
      </c>
      <c r="BD196" s="66">
        <f>BB196*BC196</f>
        <v/>
      </c>
      <c r="BE196" s="66">
        <f>AP196+AQ196+AR196+AS196+AT196+AU196+AV196+AW196+AX196+AY196+BD196</f>
        <v/>
      </c>
      <c r="BF196" s="5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5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5">
        <f>IF(AND(A196&lt;&gt;"",OR('Smart Search'!$L$5="",'Smart Search'!$L$5="All",TRIM(BZ196)=TRIM('Smart Search'!$L$5)),OR(TRIM('Smart Search'!$L$6)="",TRIM('Smart Search'!$L$6)="All",ISNUMBER(SEARCH(SUBSTITUTE(SUBSTITUTE(SUBSTITUTE(TRIM('Smart Search'!$L$6),"~","~~"),"*","~*"),"?","~?"),CA196))),OR('Smart Search'!$L$7="",AND(CB196&lt;&gt;0,CB196='Smart Search'!$L$7)),OR('Smart Search'!$L$8="",'Smart Search'!$L$8="All",TRIM(CC196)=TRIM('Smart Search'!$L$8))),IF(BA196="","",BA196+ROW()*0.0000000001),"")</f>
        <v/>
      </c>
      <c r="BI196" s="5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5">
        <f>IF(A196="","",N(INDEX(Projects[Mech Inst],195)))</f>
        <v/>
      </c>
      <c r="BK196" s="5">
        <f>IF(A196="","",N(INDEX(Projects[Elec Inst],195)))</f>
        <v/>
      </c>
      <c r="BL196" s="5">
        <f>IF(A196="","",N(INDEX(Projects[Project Management],195)))</f>
        <v/>
      </c>
      <c r="BM196" s="5">
        <f>IF(A196="","",N(INDEX(Projects[Systems Eng],195)))</f>
        <v/>
      </c>
      <c r="BN196" s="5">
        <f>IF(A196="","",N(INDEX(Projects[Mechanical Eng],195)))</f>
        <v/>
      </c>
      <c r="BO196" s="5">
        <f>IF(A196="","",N(INDEX(Projects[Structural Engineering],195)))</f>
        <v/>
      </c>
      <c r="BP196" s="5">
        <f>IF(A196="","",N(INDEX(Projects[Site Sup],195)))</f>
        <v/>
      </c>
      <c r="BQ196" s="5">
        <f>IF(A196="","",N(INDEX(Projects[Controls Commissioning],195)))</f>
        <v/>
      </c>
      <c r="BR196" s="5">
        <f>IF(A196="","",N(INDEX(Projects[Systems Commissioning],195)))</f>
        <v/>
      </c>
      <c r="BS196" s="5">
        <f>IF(A196="","",N(INDEX(Projects[Service Commissioning],195)))</f>
        <v/>
      </c>
      <c r="BT196" s="5">
        <f>IF(A196="","",N(INDEX(Projects[Controls Eng],195)))</f>
        <v/>
      </c>
      <c r="BU196" s="5">
        <f>IF(A196="","",N(INDEX(Projects[Controls Purchase],195)))</f>
        <v/>
      </c>
      <c r="BV196" s="5">
        <f>IF(A196="","",N(INDEX(Projects[Software Eng],195)))</f>
        <v/>
      </c>
      <c r="BW196" s="5">
        <f>IF(A196="","",N(INDEX(Projects[Misc],195)))</f>
        <v/>
      </c>
      <c r="BX196" s="5">
        <f>IF(A196="","",SUM(BJ196:BW196))</f>
        <v/>
      </c>
      <c r="BY196" s="5">
        <f>IF(A196="","",IFERROR(IF(ISNUMBER(U196),U196,VALUE(SUBSTITUTE(SUBSTITUTE(SUBSTITUTE(UPPER(TRIM(U196)),"M",""),",","")," ",""))),0))</f>
        <v/>
      </c>
      <c r="BZ196" s="5">
        <f>INDEX(Projects[Solution Type],195)&amp;""</f>
        <v/>
      </c>
      <c r="CA196" s="5">
        <f>INDEX(Projects[Client / Region],195)&amp;""</f>
        <v/>
      </c>
      <c r="CB196" s="5">
        <f>INDEX(Projects[Year],195)</f>
        <v/>
      </c>
      <c r="CC196" s="5">
        <f>INDEX(Projects[Won?],195)&amp;""</f>
        <v/>
      </c>
      <c r="CD196" s="5">
        <f>INDEX(Projects[Value (USD M)],195)</f>
        <v/>
      </c>
    </row>
    <row r="197" ht="15" customHeight="1" s="74">
      <c r="A197" s="66">
        <f>INDEX(Projects[Project ID *],196)&amp;""</f>
        <v/>
      </c>
      <c r="B197" s="66">
        <f>INDEX(Projects[Project Name *],196)&amp;""</f>
        <v/>
      </c>
      <c r="C197" s="66">
        <f>INDEX(Projects[MS Shuttles],196)</f>
        <v/>
      </c>
      <c r="D197" s="66">
        <f>INDEX(Projects[MS Tote Locations],196)</f>
        <v/>
      </c>
      <c r="E197" s="66">
        <f>INDEX(Projects[AS Robots],196)</f>
        <v/>
      </c>
      <c r="F197" s="66">
        <f>INDEX(Projects[AS Tote Locations],196)</f>
        <v/>
      </c>
      <c r="G197" s="66">
        <f>INDEX(Projects[PS Shuttles],196)</f>
        <v/>
      </c>
      <c r="H197" s="66">
        <f>INDEX(Projects[PS Pallet Locations],196)</f>
        <v/>
      </c>
      <c r="I197" s="66">
        <f>INDEX(Projects[SRM Cranes],196)</f>
        <v/>
      </c>
      <c r="J197" s="66">
        <f>INDEX(Projects[SRM Pallet Locations],196)</f>
        <v/>
      </c>
      <c r="K197" s="66">
        <f>INDEX(Projects[Case Conv (m)],196)</f>
        <v/>
      </c>
      <c r="L197" s="66">
        <f>INDEX(Projects[Pallet Conv (m)],196)</f>
        <v/>
      </c>
      <c r="M197" s="66">
        <f>INDEX(Projects[Mech Eng (wks)],196)</f>
        <v/>
      </c>
      <c r="N197" s="66">
        <f>INDEX(Projects[Controls Eng (wks)],196)</f>
        <v/>
      </c>
      <c r="O197" s="66">
        <f>INDEX(Projects[Systems Eng (wks)],196)</f>
        <v/>
      </c>
      <c r="P197" s="66">
        <f>INDEX(Projects[Software Eng (wks)],196)</f>
        <v/>
      </c>
      <c r="Q197" s="66">
        <f>INDEX(Projects[M&amp;E Installation (wks)],196)</f>
        <v/>
      </c>
      <c r="R197" s="66">
        <f>INDEX(Projects[Commissioning (wks)],196)</f>
        <v/>
      </c>
      <c r="S197" s="66">
        <f>INDEX(Projects[Total Timeline (wks)],196)</f>
        <v/>
      </c>
      <c r="T197" s="66">
        <f>INDEX(Projects[Currency],196)&amp;""</f>
        <v/>
      </c>
      <c r="U197" s="67">
        <f>INDEX(Projects[Value (M)],196)</f>
        <v/>
      </c>
      <c r="V197" s="66">
        <f>IF('Smart Search'!B13=1,IFERROR(1/'Smart Search'!H13,0),0)</f>
        <v/>
      </c>
      <c r="W197" s="66">
        <f>IF('Smart Search'!B13=1,IFERROR(1/'Smart Search'!H13,0),0)</f>
        <v/>
      </c>
      <c r="X197" s="66">
        <f>IF('Smart Search'!C13=1,IFERROR(1/'Smart Search'!H13,0),0)</f>
        <v/>
      </c>
      <c r="Y197" s="66">
        <f>IF('Smart Search'!C13=1,IFERROR(1/'Smart Search'!H13,0),0)</f>
        <v/>
      </c>
      <c r="Z197" s="66">
        <f>IF('Smart Search'!D13=1,IFERROR(1/'Smart Search'!H13,0),0)</f>
        <v/>
      </c>
      <c r="AA197" s="66">
        <f>IF('Smart Search'!D13=1,IFERROR(1/'Smart Search'!H13,0),0)</f>
        <v/>
      </c>
      <c r="AB197" s="66">
        <f>IF('Smart Search'!E13=1,IFERROR(1/'Smart Search'!H13,0),0)</f>
        <v/>
      </c>
      <c r="AC197" s="66">
        <f>IF('Smart Search'!E13=1,IFERROR(1/'Smart Search'!H13,0),0)</f>
        <v/>
      </c>
      <c r="AD197" s="66">
        <f>IF('Smart Search'!F13=1,IFERROR(1/'Smart Search'!H13,0),0)</f>
        <v/>
      </c>
      <c r="AE197" s="66">
        <f>IF('Smart Search'!F13=1,IFERROR(1/'Smart Search'!H13,0),0)</f>
        <v/>
      </c>
      <c r="AF197" s="66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66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66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66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66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66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66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66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66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66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66">
        <f>AF197*V197</f>
        <v/>
      </c>
      <c r="AQ197" s="66">
        <f>AG197*W197</f>
        <v/>
      </c>
      <c r="AR197" s="66">
        <f>AH197*X197</f>
        <v/>
      </c>
      <c r="AS197" s="66">
        <f>AI197*Y197</f>
        <v/>
      </c>
      <c r="AT197" s="66">
        <f>AJ197*Z197</f>
        <v/>
      </c>
      <c r="AU197" s="66">
        <f>AK197*AA197</f>
        <v/>
      </c>
      <c r="AV197" s="66">
        <f>AL197*AB197</f>
        <v/>
      </c>
      <c r="AW197" s="66">
        <f>AM197*AC197</f>
        <v/>
      </c>
      <c r="AX197" s="66">
        <f>AN197*AD197</f>
        <v/>
      </c>
      <c r="AY197" s="66">
        <f>AO197*AE197</f>
        <v/>
      </c>
      <c r="AZ197" s="66">
        <f>INDEX(Projects[Automation Equipment],196)&amp;""</f>
        <v/>
      </c>
      <c r="BA197" s="66">
        <f>IF(OR(A197="",'Smart Search'!H13=0),"",MAX(0,BE197*BF197*MAX(0,1-BG197)))</f>
        <v/>
      </c>
      <c r="BB197" s="66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66">
        <f>IF('Smart Search'!G13=1,IFERROR(1/'Smart Search'!H13,0),0)</f>
        <v/>
      </c>
      <c r="BD197" s="66">
        <f>BB197*BC197</f>
        <v/>
      </c>
      <c r="BE197" s="66">
        <f>AP197+AQ197+AR197+AS197+AT197+AU197+AV197+AW197+AX197+AY197+BD197</f>
        <v/>
      </c>
      <c r="BF197" s="5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5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5">
        <f>IF(AND(A197&lt;&gt;"",OR('Smart Search'!$L$5="",'Smart Search'!$L$5="All",TRIM(BZ197)=TRIM('Smart Search'!$L$5)),OR(TRIM('Smart Search'!$L$6)="",TRIM('Smart Search'!$L$6)="All",ISNUMBER(SEARCH(SUBSTITUTE(SUBSTITUTE(SUBSTITUTE(TRIM('Smart Search'!$L$6),"~","~~"),"*","~*"),"?","~?"),CA197))),OR('Smart Search'!$L$7="",AND(CB197&lt;&gt;0,CB197='Smart Search'!$L$7)),OR('Smart Search'!$L$8="",'Smart Search'!$L$8="All",TRIM(CC197)=TRIM('Smart Search'!$L$8))),IF(BA197="","",BA197+ROW()*0.0000000001),"")</f>
        <v/>
      </c>
      <c r="BI197" s="5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5">
        <f>IF(A197="","",N(INDEX(Projects[Mech Inst],196)))</f>
        <v/>
      </c>
      <c r="BK197" s="5">
        <f>IF(A197="","",N(INDEX(Projects[Elec Inst],196)))</f>
        <v/>
      </c>
      <c r="BL197" s="5">
        <f>IF(A197="","",N(INDEX(Projects[Project Management],196)))</f>
        <v/>
      </c>
      <c r="BM197" s="5">
        <f>IF(A197="","",N(INDEX(Projects[Systems Eng],196)))</f>
        <v/>
      </c>
      <c r="BN197" s="5">
        <f>IF(A197="","",N(INDEX(Projects[Mechanical Eng],196)))</f>
        <v/>
      </c>
      <c r="BO197" s="5">
        <f>IF(A197="","",N(INDEX(Projects[Structural Engineering],196)))</f>
        <v/>
      </c>
      <c r="BP197" s="5">
        <f>IF(A197="","",N(INDEX(Projects[Site Sup],196)))</f>
        <v/>
      </c>
      <c r="BQ197" s="5">
        <f>IF(A197="","",N(INDEX(Projects[Controls Commissioning],196)))</f>
        <v/>
      </c>
      <c r="BR197" s="5">
        <f>IF(A197="","",N(INDEX(Projects[Systems Commissioning],196)))</f>
        <v/>
      </c>
      <c r="BS197" s="5">
        <f>IF(A197="","",N(INDEX(Projects[Service Commissioning],196)))</f>
        <v/>
      </c>
      <c r="BT197" s="5">
        <f>IF(A197="","",N(INDEX(Projects[Controls Eng],196)))</f>
        <v/>
      </c>
      <c r="BU197" s="5">
        <f>IF(A197="","",N(INDEX(Projects[Controls Purchase],196)))</f>
        <v/>
      </c>
      <c r="BV197" s="5">
        <f>IF(A197="","",N(INDEX(Projects[Software Eng],196)))</f>
        <v/>
      </c>
      <c r="BW197" s="5">
        <f>IF(A197="","",N(INDEX(Projects[Misc],196)))</f>
        <v/>
      </c>
      <c r="BX197" s="5">
        <f>IF(A197="","",SUM(BJ197:BW197))</f>
        <v/>
      </c>
      <c r="BY197" s="5">
        <f>IF(A197="","",IFERROR(IF(ISNUMBER(U197),U197,VALUE(SUBSTITUTE(SUBSTITUTE(SUBSTITUTE(UPPER(TRIM(U197)),"M",""),",","")," ",""))),0))</f>
        <v/>
      </c>
      <c r="BZ197" s="5">
        <f>INDEX(Projects[Solution Type],196)&amp;""</f>
        <v/>
      </c>
      <c r="CA197" s="5">
        <f>INDEX(Projects[Client / Region],196)&amp;""</f>
        <v/>
      </c>
      <c r="CB197" s="5">
        <f>INDEX(Projects[Year],196)</f>
        <v/>
      </c>
      <c r="CC197" s="5">
        <f>INDEX(Projects[Won?],196)&amp;""</f>
        <v/>
      </c>
      <c r="CD197" s="5">
        <f>INDEX(Projects[Value (USD M)],196)</f>
        <v/>
      </c>
    </row>
    <row r="198" ht="15" customHeight="1" s="74">
      <c r="A198" s="66">
        <f>INDEX(Projects[Project ID *],197)&amp;""</f>
        <v/>
      </c>
      <c r="B198" s="66">
        <f>INDEX(Projects[Project Name *],197)&amp;""</f>
        <v/>
      </c>
      <c r="C198" s="66">
        <f>INDEX(Projects[MS Shuttles],197)</f>
        <v/>
      </c>
      <c r="D198" s="66">
        <f>INDEX(Projects[MS Tote Locations],197)</f>
        <v/>
      </c>
      <c r="E198" s="66">
        <f>INDEX(Projects[AS Robots],197)</f>
        <v/>
      </c>
      <c r="F198" s="66">
        <f>INDEX(Projects[AS Tote Locations],197)</f>
        <v/>
      </c>
      <c r="G198" s="66">
        <f>INDEX(Projects[PS Shuttles],197)</f>
        <v/>
      </c>
      <c r="H198" s="66">
        <f>INDEX(Projects[PS Pallet Locations],197)</f>
        <v/>
      </c>
      <c r="I198" s="66">
        <f>INDEX(Projects[SRM Cranes],197)</f>
        <v/>
      </c>
      <c r="J198" s="66">
        <f>INDEX(Projects[SRM Pallet Locations],197)</f>
        <v/>
      </c>
      <c r="K198" s="66">
        <f>INDEX(Projects[Case Conv (m)],197)</f>
        <v/>
      </c>
      <c r="L198" s="66">
        <f>INDEX(Projects[Pallet Conv (m)],197)</f>
        <v/>
      </c>
      <c r="M198" s="66">
        <f>INDEX(Projects[Mech Eng (wks)],197)</f>
        <v/>
      </c>
      <c r="N198" s="66">
        <f>INDEX(Projects[Controls Eng (wks)],197)</f>
        <v/>
      </c>
      <c r="O198" s="66">
        <f>INDEX(Projects[Systems Eng (wks)],197)</f>
        <v/>
      </c>
      <c r="P198" s="66">
        <f>INDEX(Projects[Software Eng (wks)],197)</f>
        <v/>
      </c>
      <c r="Q198" s="66">
        <f>INDEX(Projects[M&amp;E Installation (wks)],197)</f>
        <v/>
      </c>
      <c r="R198" s="66">
        <f>INDEX(Projects[Commissioning (wks)],197)</f>
        <v/>
      </c>
      <c r="S198" s="66">
        <f>INDEX(Projects[Total Timeline (wks)],197)</f>
        <v/>
      </c>
      <c r="T198" s="66">
        <f>INDEX(Projects[Currency],197)&amp;""</f>
        <v/>
      </c>
      <c r="U198" s="67">
        <f>INDEX(Projects[Value (M)],197)</f>
        <v/>
      </c>
      <c r="V198" s="66">
        <f>IF('Smart Search'!B13=1,IFERROR(1/'Smart Search'!H13,0),0)</f>
        <v/>
      </c>
      <c r="W198" s="66">
        <f>IF('Smart Search'!B13=1,IFERROR(1/'Smart Search'!H13,0),0)</f>
        <v/>
      </c>
      <c r="X198" s="66">
        <f>IF('Smart Search'!C13=1,IFERROR(1/'Smart Search'!H13,0),0)</f>
        <v/>
      </c>
      <c r="Y198" s="66">
        <f>IF('Smart Search'!C13=1,IFERROR(1/'Smart Search'!H13,0),0)</f>
        <v/>
      </c>
      <c r="Z198" s="66">
        <f>IF('Smart Search'!D13=1,IFERROR(1/'Smart Search'!H13,0),0)</f>
        <v/>
      </c>
      <c r="AA198" s="66">
        <f>IF('Smart Search'!D13=1,IFERROR(1/'Smart Search'!H13,0),0)</f>
        <v/>
      </c>
      <c r="AB198" s="66">
        <f>IF('Smart Search'!E13=1,IFERROR(1/'Smart Search'!H13,0),0)</f>
        <v/>
      </c>
      <c r="AC198" s="66">
        <f>IF('Smart Search'!E13=1,IFERROR(1/'Smart Search'!H13,0),0)</f>
        <v/>
      </c>
      <c r="AD198" s="66">
        <f>IF('Smart Search'!F13=1,IFERROR(1/'Smart Search'!H13,0),0)</f>
        <v/>
      </c>
      <c r="AE198" s="66">
        <f>IF('Smart Search'!F13=1,IFERROR(1/'Smart Search'!H13,0),0)</f>
        <v/>
      </c>
      <c r="AF198" s="66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66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66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66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66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66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66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66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66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66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66">
        <f>AF198*V198</f>
        <v/>
      </c>
      <c r="AQ198" s="66">
        <f>AG198*W198</f>
        <v/>
      </c>
      <c r="AR198" s="66">
        <f>AH198*X198</f>
        <v/>
      </c>
      <c r="AS198" s="66">
        <f>AI198*Y198</f>
        <v/>
      </c>
      <c r="AT198" s="66">
        <f>AJ198*Z198</f>
        <v/>
      </c>
      <c r="AU198" s="66">
        <f>AK198*AA198</f>
        <v/>
      </c>
      <c r="AV198" s="66">
        <f>AL198*AB198</f>
        <v/>
      </c>
      <c r="AW198" s="66">
        <f>AM198*AC198</f>
        <v/>
      </c>
      <c r="AX198" s="66">
        <f>AN198*AD198</f>
        <v/>
      </c>
      <c r="AY198" s="66">
        <f>AO198*AE198</f>
        <v/>
      </c>
      <c r="AZ198" s="66">
        <f>INDEX(Projects[Automation Equipment],197)&amp;""</f>
        <v/>
      </c>
      <c r="BA198" s="66">
        <f>IF(OR(A198="",'Smart Search'!H13=0),"",MAX(0,BE198*BF198*MAX(0,1-BG198)))</f>
        <v/>
      </c>
      <c r="BB198" s="66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66">
        <f>IF('Smart Search'!G13=1,IFERROR(1/'Smart Search'!H13,0),0)</f>
        <v/>
      </c>
      <c r="BD198" s="66">
        <f>BB198*BC198</f>
        <v/>
      </c>
      <c r="BE198" s="66">
        <f>AP198+AQ198+AR198+AS198+AT198+AU198+AV198+AW198+AX198+AY198+BD198</f>
        <v/>
      </c>
      <c r="BF198" s="5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5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5">
        <f>IF(AND(A198&lt;&gt;"",OR('Smart Search'!$L$5="",'Smart Search'!$L$5="All",TRIM(BZ198)=TRIM('Smart Search'!$L$5)),OR(TRIM('Smart Search'!$L$6)="",TRIM('Smart Search'!$L$6)="All",ISNUMBER(SEARCH(SUBSTITUTE(SUBSTITUTE(SUBSTITUTE(TRIM('Smart Search'!$L$6),"~","~~"),"*","~*"),"?","~?"),CA198))),OR('Smart Search'!$L$7="",AND(CB198&lt;&gt;0,CB198='Smart Search'!$L$7)),OR('Smart Search'!$L$8="",'Smart Search'!$L$8="All",TRIM(CC198)=TRIM('Smart Search'!$L$8))),IF(BA198="","",BA198+ROW()*0.0000000001),"")</f>
        <v/>
      </c>
      <c r="BI198" s="5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5">
        <f>IF(A198="","",N(INDEX(Projects[Mech Inst],197)))</f>
        <v/>
      </c>
      <c r="BK198" s="5">
        <f>IF(A198="","",N(INDEX(Projects[Elec Inst],197)))</f>
        <v/>
      </c>
      <c r="BL198" s="5">
        <f>IF(A198="","",N(INDEX(Projects[Project Management],197)))</f>
        <v/>
      </c>
      <c r="BM198" s="5">
        <f>IF(A198="","",N(INDEX(Projects[Systems Eng],197)))</f>
        <v/>
      </c>
      <c r="BN198" s="5">
        <f>IF(A198="","",N(INDEX(Projects[Mechanical Eng],197)))</f>
        <v/>
      </c>
      <c r="BO198" s="5">
        <f>IF(A198="","",N(INDEX(Projects[Structural Engineering],197)))</f>
        <v/>
      </c>
      <c r="BP198" s="5">
        <f>IF(A198="","",N(INDEX(Projects[Site Sup],197)))</f>
        <v/>
      </c>
      <c r="BQ198" s="5">
        <f>IF(A198="","",N(INDEX(Projects[Controls Commissioning],197)))</f>
        <v/>
      </c>
      <c r="BR198" s="5">
        <f>IF(A198="","",N(INDEX(Projects[Systems Commissioning],197)))</f>
        <v/>
      </c>
      <c r="BS198" s="5">
        <f>IF(A198="","",N(INDEX(Projects[Service Commissioning],197)))</f>
        <v/>
      </c>
      <c r="BT198" s="5">
        <f>IF(A198="","",N(INDEX(Projects[Controls Eng],197)))</f>
        <v/>
      </c>
      <c r="BU198" s="5">
        <f>IF(A198="","",N(INDEX(Projects[Controls Purchase],197)))</f>
        <v/>
      </c>
      <c r="BV198" s="5">
        <f>IF(A198="","",N(INDEX(Projects[Software Eng],197)))</f>
        <v/>
      </c>
      <c r="BW198" s="5">
        <f>IF(A198="","",N(INDEX(Projects[Misc],197)))</f>
        <v/>
      </c>
      <c r="BX198" s="5">
        <f>IF(A198="","",SUM(BJ198:BW198))</f>
        <v/>
      </c>
      <c r="BY198" s="5">
        <f>IF(A198="","",IFERROR(IF(ISNUMBER(U198),U198,VALUE(SUBSTITUTE(SUBSTITUTE(SUBSTITUTE(UPPER(TRIM(U198)),"M",""),",","")," ",""))),0))</f>
        <v/>
      </c>
      <c r="BZ198" s="5">
        <f>INDEX(Projects[Solution Type],197)&amp;""</f>
        <v/>
      </c>
      <c r="CA198" s="5">
        <f>INDEX(Projects[Client / Region],197)&amp;""</f>
        <v/>
      </c>
      <c r="CB198" s="5">
        <f>INDEX(Projects[Year],197)</f>
        <v/>
      </c>
      <c r="CC198" s="5">
        <f>INDEX(Projects[Won?],197)&amp;""</f>
        <v/>
      </c>
      <c r="CD198" s="5">
        <f>INDEX(Projects[Value (USD M)],197)</f>
        <v/>
      </c>
    </row>
    <row r="199" ht="15" customHeight="1" s="74">
      <c r="A199" s="66">
        <f>INDEX(Projects[Project ID *],198)&amp;""</f>
        <v/>
      </c>
      <c r="B199" s="66">
        <f>INDEX(Projects[Project Name *],198)&amp;""</f>
        <v/>
      </c>
      <c r="C199" s="66">
        <f>INDEX(Projects[MS Shuttles],198)</f>
        <v/>
      </c>
      <c r="D199" s="66">
        <f>INDEX(Projects[MS Tote Locations],198)</f>
        <v/>
      </c>
      <c r="E199" s="66">
        <f>INDEX(Projects[AS Robots],198)</f>
        <v/>
      </c>
      <c r="F199" s="66">
        <f>INDEX(Projects[AS Tote Locations],198)</f>
        <v/>
      </c>
      <c r="G199" s="66">
        <f>INDEX(Projects[PS Shuttles],198)</f>
        <v/>
      </c>
      <c r="H199" s="66">
        <f>INDEX(Projects[PS Pallet Locations],198)</f>
        <v/>
      </c>
      <c r="I199" s="66">
        <f>INDEX(Projects[SRM Cranes],198)</f>
        <v/>
      </c>
      <c r="J199" s="66">
        <f>INDEX(Projects[SRM Pallet Locations],198)</f>
        <v/>
      </c>
      <c r="K199" s="66">
        <f>INDEX(Projects[Case Conv (m)],198)</f>
        <v/>
      </c>
      <c r="L199" s="66">
        <f>INDEX(Projects[Pallet Conv (m)],198)</f>
        <v/>
      </c>
      <c r="M199" s="66">
        <f>INDEX(Projects[Mech Eng (wks)],198)</f>
        <v/>
      </c>
      <c r="N199" s="66">
        <f>INDEX(Projects[Controls Eng (wks)],198)</f>
        <v/>
      </c>
      <c r="O199" s="66">
        <f>INDEX(Projects[Systems Eng (wks)],198)</f>
        <v/>
      </c>
      <c r="P199" s="66">
        <f>INDEX(Projects[Software Eng (wks)],198)</f>
        <v/>
      </c>
      <c r="Q199" s="66">
        <f>INDEX(Projects[M&amp;E Installation (wks)],198)</f>
        <v/>
      </c>
      <c r="R199" s="66">
        <f>INDEX(Projects[Commissioning (wks)],198)</f>
        <v/>
      </c>
      <c r="S199" s="66">
        <f>INDEX(Projects[Total Timeline (wks)],198)</f>
        <v/>
      </c>
      <c r="T199" s="66">
        <f>INDEX(Projects[Currency],198)&amp;""</f>
        <v/>
      </c>
      <c r="U199" s="67">
        <f>INDEX(Projects[Value (M)],198)</f>
        <v/>
      </c>
      <c r="V199" s="66">
        <f>IF('Smart Search'!B13=1,IFERROR(1/'Smart Search'!H13,0),0)</f>
        <v/>
      </c>
      <c r="W199" s="66">
        <f>IF('Smart Search'!B13=1,IFERROR(1/'Smart Search'!H13,0),0)</f>
        <v/>
      </c>
      <c r="X199" s="66">
        <f>IF('Smart Search'!C13=1,IFERROR(1/'Smart Search'!H13,0),0)</f>
        <v/>
      </c>
      <c r="Y199" s="66">
        <f>IF('Smart Search'!C13=1,IFERROR(1/'Smart Search'!H13,0),0)</f>
        <v/>
      </c>
      <c r="Z199" s="66">
        <f>IF('Smart Search'!D13=1,IFERROR(1/'Smart Search'!H13,0),0)</f>
        <v/>
      </c>
      <c r="AA199" s="66">
        <f>IF('Smart Search'!D13=1,IFERROR(1/'Smart Search'!H13,0),0)</f>
        <v/>
      </c>
      <c r="AB199" s="66">
        <f>IF('Smart Search'!E13=1,IFERROR(1/'Smart Search'!H13,0),0)</f>
        <v/>
      </c>
      <c r="AC199" s="66">
        <f>IF('Smart Search'!E13=1,IFERROR(1/'Smart Search'!H13,0),0)</f>
        <v/>
      </c>
      <c r="AD199" s="66">
        <f>IF('Smart Search'!F13=1,IFERROR(1/'Smart Search'!H13,0),0)</f>
        <v/>
      </c>
      <c r="AE199" s="66">
        <f>IF('Smart Search'!F13=1,IFERROR(1/'Smart Search'!H13,0),0)</f>
        <v/>
      </c>
      <c r="AF199" s="66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66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66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66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66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66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66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66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66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66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66">
        <f>AF199*V199</f>
        <v/>
      </c>
      <c r="AQ199" s="66">
        <f>AG199*W199</f>
        <v/>
      </c>
      <c r="AR199" s="66">
        <f>AH199*X199</f>
        <v/>
      </c>
      <c r="AS199" s="66">
        <f>AI199*Y199</f>
        <v/>
      </c>
      <c r="AT199" s="66">
        <f>AJ199*Z199</f>
        <v/>
      </c>
      <c r="AU199" s="66">
        <f>AK199*AA199</f>
        <v/>
      </c>
      <c r="AV199" s="66">
        <f>AL199*AB199</f>
        <v/>
      </c>
      <c r="AW199" s="66">
        <f>AM199*AC199</f>
        <v/>
      </c>
      <c r="AX199" s="66">
        <f>AN199*AD199</f>
        <v/>
      </c>
      <c r="AY199" s="66">
        <f>AO199*AE199</f>
        <v/>
      </c>
      <c r="AZ199" s="66">
        <f>INDEX(Projects[Automation Equipment],198)&amp;""</f>
        <v/>
      </c>
      <c r="BA199" s="66">
        <f>IF(OR(A199="",'Smart Search'!H13=0),"",MAX(0,BE199*BF199*MAX(0,1-BG199)))</f>
        <v/>
      </c>
      <c r="BB199" s="66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66">
        <f>IF('Smart Search'!G13=1,IFERROR(1/'Smart Search'!H13,0),0)</f>
        <v/>
      </c>
      <c r="BD199" s="66">
        <f>BB199*BC199</f>
        <v/>
      </c>
      <c r="BE199" s="66">
        <f>AP199+AQ199+AR199+AS199+AT199+AU199+AV199+AW199+AX199+AY199+BD199</f>
        <v/>
      </c>
      <c r="BF199" s="5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5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5">
        <f>IF(AND(A199&lt;&gt;"",OR('Smart Search'!$L$5="",'Smart Search'!$L$5="All",TRIM(BZ199)=TRIM('Smart Search'!$L$5)),OR(TRIM('Smart Search'!$L$6)="",TRIM('Smart Search'!$L$6)="All",ISNUMBER(SEARCH(SUBSTITUTE(SUBSTITUTE(SUBSTITUTE(TRIM('Smart Search'!$L$6),"~","~~"),"*","~*"),"?","~?"),CA199))),OR('Smart Search'!$L$7="",AND(CB199&lt;&gt;0,CB199='Smart Search'!$L$7)),OR('Smart Search'!$L$8="",'Smart Search'!$L$8="All",TRIM(CC199)=TRIM('Smart Search'!$L$8))),IF(BA199="","",BA199+ROW()*0.0000000001),"")</f>
        <v/>
      </c>
      <c r="BI199" s="5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5">
        <f>IF(A199="","",N(INDEX(Projects[Mech Inst],198)))</f>
        <v/>
      </c>
      <c r="BK199" s="5">
        <f>IF(A199="","",N(INDEX(Projects[Elec Inst],198)))</f>
        <v/>
      </c>
      <c r="BL199" s="5">
        <f>IF(A199="","",N(INDEX(Projects[Project Management],198)))</f>
        <v/>
      </c>
      <c r="BM199" s="5">
        <f>IF(A199="","",N(INDEX(Projects[Systems Eng],198)))</f>
        <v/>
      </c>
      <c r="BN199" s="5">
        <f>IF(A199="","",N(INDEX(Projects[Mechanical Eng],198)))</f>
        <v/>
      </c>
      <c r="BO199" s="5">
        <f>IF(A199="","",N(INDEX(Projects[Structural Engineering],198)))</f>
        <v/>
      </c>
      <c r="BP199" s="5">
        <f>IF(A199="","",N(INDEX(Projects[Site Sup],198)))</f>
        <v/>
      </c>
      <c r="BQ199" s="5">
        <f>IF(A199="","",N(INDEX(Projects[Controls Commissioning],198)))</f>
        <v/>
      </c>
      <c r="BR199" s="5">
        <f>IF(A199="","",N(INDEX(Projects[Systems Commissioning],198)))</f>
        <v/>
      </c>
      <c r="BS199" s="5">
        <f>IF(A199="","",N(INDEX(Projects[Service Commissioning],198)))</f>
        <v/>
      </c>
      <c r="BT199" s="5">
        <f>IF(A199="","",N(INDEX(Projects[Controls Eng],198)))</f>
        <v/>
      </c>
      <c r="BU199" s="5">
        <f>IF(A199="","",N(INDEX(Projects[Controls Purchase],198)))</f>
        <v/>
      </c>
      <c r="BV199" s="5">
        <f>IF(A199="","",N(INDEX(Projects[Software Eng],198)))</f>
        <v/>
      </c>
      <c r="BW199" s="5">
        <f>IF(A199="","",N(INDEX(Projects[Misc],198)))</f>
        <v/>
      </c>
      <c r="BX199" s="5">
        <f>IF(A199="","",SUM(BJ199:BW199))</f>
        <v/>
      </c>
      <c r="BY199" s="5">
        <f>IF(A199="","",IFERROR(IF(ISNUMBER(U199),U199,VALUE(SUBSTITUTE(SUBSTITUTE(SUBSTITUTE(UPPER(TRIM(U199)),"M",""),",","")," ",""))),0))</f>
        <v/>
      </c>
      <c r="BZ199" s="5">
        <f>INDEX(Projects[Solution Type],198)&amp;""</f>
        <v/>
      </c>
      <c r="CA199" s="5">
        <f>INDEX(Projects[Client / Region],198)&amp;""</f>
        <v/>
      </c>
      <c r="CB199" s="5">
        <f>INDEX(Projects[Year],198)</f>
        <v/>
      </c>
      <c r="CC199" s="5">
        <f>INDEX(Projects[Won?],198)&amp;""</f>
        <v/>
      </c>
      <c r="CD199" s="5">
        <f>INDEX(Projects[Value (USD M)],198)</f>
        <v/>
      </c>
    </row>
    <row r="200" ht="15" customHeight="1" s="74">
      <c r="A200" s="66">
        <f>INDEX(Projects[Project ID *],199)&amp;""</f>
        <v/>
      </c>
      <c r="B200" s="66">
        <f>INDEX(Projects[Project Name *],199)&amp;""</f>
        <v/>
      </c>
      <c r="C200" s="66">
        <f>INDEX(Projects[MS Shuttles],199)</f>
        <v/>
      </c>
      <c r="D200" s="66">
        <f>INDEX(Projects[MS Tote Locations],199)</f>
        <v/>
      </c>
      <c r="E200" s="66">
        <f>INDEX(Projects[AS Robots],199)</f>
        <v/>
      </c>
      <c r="F200" s="66">
        <f>INDEX(Projects[AS Tote Locations],199)</f>
        <v/>
      </c>
      <c r="G200" s="66">
        <f>INDEX(Projects[PS Shuttles],199)</f>
        <v/>
      </c>
      <c r="H200" s="66">
        <f>INDEX(Projects[PS Pallet Locations],199)</f>
        <v/>
      </c>
      <c r="I200" s="66">
        <f>INDEX(Projects[SRM Cranes],199)</f>
        <v/>
      </c>
      <c r="J200" s="66">
        <f>INDEX(Projects[SRM Pallet Locations],199)</f>
        <v/>
      </c>
      <c r="K200" s="66">
        <f>INDEX(Projects[Case Conv (m)],199)</f>
        <v/>
      </c>
      <c r="L200" s="66">
        <f>INDEX(Projects[Pallet Conv (m)],199)</f>
        <v/>
      </c>
      <c r="M200" s="66">
        <f>INDEX(Projects[Mech Eng (wks)],199)</f>
        <v/>
      </c>
      <c r="N200" s="66">
        <f>INDEX(Projects[Controls Eng (wks)],199)</f>
        <v/>
      </c>
      <c r="O200" s="66">
        <f>INDEX(Projects[Systems Eng (wks)],199)</f>
        <v/>
      </c>
      <c r="P200" s="66">
        <f>INDEX(Projects[Software Eng (wks)],199)</f>
        <v/>
      </c>
      <c r="Q200" s="66">
        <f>INDEX(Projects[M&amp;E Installation (wks)],199)</f>
        <v/>
      </c>
      <c r="R200" s="66">
        <f>INDEX(Projects[Commissioning (wks)],199)</f>
        <v/>
      </c>
      <c r="S200" s="66">
        <f>INDEX(Projects[Total Timeline (wks)],199)</f>
        <v/>
      </c>
      <c r="T200" s="66">
        <f>INDEX(Projects[Currency],199)&amp;""</f>
        <v/>
      </c>
      <c r="U200" s="67">
        <f>INDEX(Projects[Value (M)],199)</f>
        <v/>
      </c>
      <c r="V200" s="66">
        <f>IF('Smart Search'!B13=1,IFERROR(1/'Smart Search'!H13,0),0)</f>
        <v/>
      </c>
      <c r="W200" s="66">
        <f>IF('Smart Search'!B13=1,IFERROR(1/'Smart Search'!H13,0),0)</f>
        <v/>
      </c>
      <c r="X200" s="66">
        <f>IF('Smart Search'!C13=1,IFERROR(1/'Smart Search'!H13,0),0)</f>
        <v/>
      </c>
      <c r="Y200" s="66">
        <f>IF('Smart Search'!C13=1,IFERROR(1/'Smart Search'!H13,0),0)</f>
        <v/>
      </c>
      <c r="Z200" s="66">
        <f>IF('Smart Search'!D13=1,IFERROR(1/'Smart Search'!H13,0),0)</f>
        <v/>
      </c>
      <c r="AA200" s="66">
        <f>IF('Smart Search'!D13=1,IFERROR(1/'Smart Search'!H13,0),0)</f>
        <v/>
      </c>
      <c r="AB200" s="66">
        <f>IF('Smart Search'!E13=1,IFERROR(1/'Smart Search'!H13,0),0)</f>
        <v/>
      </c>
      <c r="AC200" s="66">
        <f>IF('Smart Search'!E13=1,IFERROR(1/'Smart Search'!H13,0),0)</f>
        <v/>
      </c>
      <c r="AD200" s="66">
        <f>IF('Smart Search'!F13=1,IFERROR(1/'Smart Search'!H13,0),0)</f>
        <v/>
      </c>
      <c r="AE200" s="66">
        <f>IF('Smart Search'!F13=1,IFERROR(1/'Smart Search'!H13,0),0)</f>
        <v/>
      </c>
      <c r="AF200" s="66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66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66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66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66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66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66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66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66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66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66">
        <f>AF200*V200</f>
        <v/>
      </c>
      <c r="AQ200" s="66">
        <f>AG200*W200</f>
        <v/>
      </c>
      <c r="AR200" s="66">
        <f>AH200*X200</f>
        <v/>
      </c>
      <c r="AS200" s="66">
        <f>AI200*Y200</f>
        <v/>
      </c>
      <c r="AT200" s="66">
        <f>AJ200*Z200</f>
        <v/>
      </c>
      <c r="AU200" s="66">
        <f>AK200*AA200</f>
        <v/>
      </c>
      <c r="AV200" s="66">
        <f>AL200*AB200</f>
        <v/>
      </c>
      <c r="AW200" s="66">
        <f>AM200*AC200</f>
        <v/>
      </c>
      <c r="AX200" s="66">
        <f>AN200*AD200</f>
        <v/>
      </c>
      <c r="AY200" s="66">
        <f>AO200*AE200</f>
        <v/>
      </c>
      <c r="AZ200" s="66">
        <f>INDEX(Projects[Automation Equipment],199)&amp;""</f>
        <v/>
      </c>
      <c r="BA200" s="66">
        <f>IF(OR(A200="",'Smart Search'!H13=0),"",MAX(0,BE200*BF200*MAX(0,1-BG200)))</f>
        <v/>
      </c>
      <c r="BB200" s="66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66">
        <f>IF('Smart Search'!G13=1,IFERROR(1/'Smart Search'!H13,0),0)</f>
        <v/>
      </c>
      <c r="BD200" s="66">
        <f>BB200*BC200</f>
        <v/>
      </c>
      <c r="BE200" s="66">
        <f>AP200+AQ200+AR200+AS200+AT200+AU200+AV200+AW200+AX200+AY200+BD200</f>
        <v/>
      </c>
      <c r="BF200" s="5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5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5">
        <f>IF(AND(A200&lt;&gt;"",OR('Smart Search'!$L$5="",'Smart Search'!$L$5="All",TRIM(BZ200)=TRIM('Smart Search'!$L$5)),OR(TRIM('Smart Search'!$L$6)="",TRIM('Smart Search'!$L$6)="All",ISNUMBER(SEARCH(SUBSTITUTE(SUBSTITUTE(SUBSTITUTE(TRIM('Smart Search'!$L$6),"~","~~"),"*","~*"),"?","~?"),CA200))),OR('Smart Search'!$L$7="",AND(CB200&lt;&gt;0,CB200='Smart Search'!$L$7)),OR('Smart Search'!$L$8="",'Smart Search'!$L$8="All",TRIM(CC200)=TRIM('Smart Search'!$L$8))),IF(BA200="","",BA200+ROW()*0.0000000001),"")</f>
        <v/>
      </c>
      <c r="BI200" s="5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5">
        <f>IF(A200="","",N(INDEX(Projects[Mech Inst],199)))</f>
        <v/>
      </c>
      <c r="BK200" s="5">
        <f>IF(A200="","",N(INDEX(Projects[Elec Inst],199)))</f>
        <v/>
      </c>
      <c r="BL200" s="5">
        <f>IF(A200="","",N(INDEX(Projects[Project Management],199)))</f>
        <v/>
      </c>
      <c r="BM200" s="5">
        <f>IF(A200="","",N(INDEX(Projects[Systems Eng],199)))</f>
        <v/>
      </c>
      <c r="BN200" s="5">
        <f>IF(A200="","",N(INDEX(Projects[Mechanical Eng],199)))</f>
        <v/>
      </c>
      <c r="BO200" s="5">
        <f>IF(A200="","",N(INDEX(Projects[Structural Engineering],199)))</f>
        <v/>
      </c>
      <c r="BP200" s="5">
        <f>IF(A200="","",N(INDEX(Projects[Site Sup],199)))</f>
        <v/>
      </c>
      <c r="BQ200" s="5">
        <f>IF(A200="","",N(INDEX(Projects[Controls Commissioning],199)))</f>
        <v/>
      </c>
      <c r="BR200" s="5">
        <f>IF(A200="","",N(INDEX(Projects[Systems Commissioning],199)))</f>
        <v/>
      </c>
      <c r="BS200" s="5">
        <f>IF(A200="","",N(INDEX(Projects[Service Commissioning],199)))</f>
        <v/>
      </c>
      <c r="BT200" s="5">
        <f>IF(A200="","",N(INDEX(Projects[Controls Eng],199)))</f>
        <v/>
      </c>
      <c r="BU200" s="5">
        <f>IF(A200="","",N(INDEX(Projects[Controls Purchase],199)))</f>
        <v/>
      </c>
      <c r="BV200" s="5">
        <f>IF(A200="","",N(INDEX(Projects[Software Eng],199)))</f>
        <v/>
      </c>
      <c r="BW200" s="5">
        <f>IF(A200="","",N(INDEX(Projects[Misc],199)))</f>
        <v/>
      </c>
      <c r="BX200" s="5">
        <f>IF(A200="","",SUM(BJ200:BW200))</f>
        <v/>
      </c>
      <c r="BY200" s="5">
        <f>IF(A200="","",IFERROR(IF(ISNUMBER(U200),U200,VALUE(SUBSTITUTE(SUBSTITUTE(SUBSTITUTE(UPPER(TRIM(U200)),"M",""),",","")," ",""))),0))</f>
        <v/>
      </c>
      <c r="BZ200" s="5">
        <f>INDEX(Projects[Solution Type],199)&amp;""</f>
        <v/>
      </c>
      <c r="CA200" s="5">
        <f>INDEX(Projects[Client / Region],199)&amp;""</f>
        <v/>
      </c>
      <c r="CB200" s="5">
        <f>INDEX(Projects[Year],199)</f>
        <v/>
      </c>
      <c r="CC200" s="5">
        <f>INDEX(Projects[Won?],199)&amp;""</f>
        <v/>
      </c>
      <c r="CD200" s="5">
        <f>INDEX(Projects[Value (USD M)],199)</f>
        <v/>
      </c>
    </row>
    <row r="201" ht="15" customHeight="1" s="74">
      <c r="A201" s="66">
        <f>INDEX(Projects[Project ID *],200)&amp;""</f>
        <v/>
      </c>
      <c r="B201" s="66">
        <f>INDEX(Projects[Project Name *],200)&amp;""</f>
        <v/>
      </c>
      <c r="C201" s="66">
        <f>INDEX(Projects[MS Shuttles],200)</f>
        <v/>
      </c>
      <c r="D201" s="66">
        <f>INDEX(Projects[MS Tote Locations],200)</f>
        <v/>
      </c>
      <c r="E201" s="66">
        <f>INDEX(Projects[AS Robots],200)</f>
        <v/>
      </c>
      <c r="F201" s="66">
        <f>INDEX(Projects[AS Tote Locations],200)</f>
        <v/>
      </c>
      <c r="G201" s="66">
        <f>INDEX(Projects[PS Shuttles],200)</f>
        <v/>
      </c>
      <c r="H201" s="66">
        <f>INDEX(Projects[PS Pallet Locations],200)</f>
        <v/>
      </c>
      <c r="I201" s="66">
        <f>INDEX(Projects[SRM Cranes],200)</f>
        <v/>
      </c>
      <c r="J201" s="66">
        <f>INDEX(Projects[SRM Pallet Locations],200)</f>
        <v/>
      </c>
      <c r="K201" s="66">
        <f>INDEX(Projects[Case Conv (m)],200)</f>
        <v/>
      </c>
      <c r="L201" s="66">
        <f>INDEX(Projects[Pallet Conv (m)],200)</f>
        <v/>
      </c>
      <c r="M201" s="66">
        <f>INDEX(Projects[Mech Eng (wks)],200)</f>
        <v/>
      </c>
      <c r="N201" s="66">
        <f>INDEX(Projects[Controls Eng (wks)],200)</f>
        <v/>
      </c>
      <c r="O201" s="66">
        <f>INDEX(Projects[Systems Eng (wks)],200)</f>
        <v/>
      </c>
      <c r="P201" s="66">
        <f>INDEX(Projects[Software Eng (wks)],200)</f>
        <v/>
      </c>
      <c r="Q201" s="66">
        <f>INDEX(Projects[M&amp;E Installation (wks)],200)</f>
        <v/>
      </c>
      <c r="R201" s="66">
        <f>INDEX(Projects[Commissioning (wks)],200)</f>
        <v/>
      </c>
      <c r="S201" s="66">
        <f>INDEX(Projects[Total Timeline (wks)],200)</f>
        <v/>
      </c>
      <c r="T201" s="66">
        <f>INDEX(Projects[Currency],200)&amp;""</f>
        <v/>
      </c>
      <c r="U201" s="67">
        <f>INDEX(Projects[Value (M)],200)</f>
        <v/>
      </c>
      <c r="V201" s="66">
        <f>IF('Smart Search'!B13=1,IFERROR(1/'Smart Search'!H13,0),0)</f>
        <v/>
      </c>
      <c r="W201" s="66">
        <f>IF('Smart Search'!B13=1,IFERROR(1/'Smart Search'!H13,0),0)</f>
        <v/>
      </c>
      <c r="X201" s="66">
        <f>IF('Smart Search'!C13=1,IFERROR(1/'Smart Search'!H13,0),0)</f>
        <v/>
      </c>
      <c r="Y201" s="66">
        <f>IF('Smart Search'!C13=1,IFERROR(1/'Smart Search'!H13,0),0)</f>
        <v/>
      </c>
      <c r="Z201" s="66">
        <f>IF('Smart Search'!D13=1,IFERROR(1/'Smart Search'!H13,0),0)</f>
        <v/>
      </c>
      <c r="AA201" s="66">
        <f>IF('Smart Search'!D13=1,IFERROR(1/'Smart Search'!H13,0),0)</f>
        <v/>
      </c>
      <c r="AB201" s="66">
        <f>IF('Smart Search'!E13=1,IFERROR(1/'Smart Search'!H13,0),0)</f>
        <v/>
      </c>
      <c r="AC201" s="66">
        <f>IF('Smart Search'!E13=1,IFERROR(1/'Smart Search'!H13,0),0)</f>
        <v/>
      </c>
      <c r="AD201" s="66">
        <f>IF('Smart Search'!F13=1,IFERROR(1/'Smart Search'!H13,0),0)</f>
        <v/>
      </c>
      <c r="AE201" s="66">
        <f>IF('Smart Search'!F13=1,IFERROR(1/'Smart Search'!H13,0),0)</f>
        <v/>
      </c>
      <c r="AF201" s="66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66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66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66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66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66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66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66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66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66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66">
        <f>AF201*V201</f>
        <v/>
      </c>
      <c r="AQ201" s="66">
        <f>AG201*W201</f>
        <v/>
      </c>
      <c r="AR201" s="66">
        <f>AH201*X201</f>
        <v/>
      </c>
      <c r="AS201" s="66">
        <f>AI201*Y201</f>
        <v/>
      </c>
      <c r="AT201" s="66">
        <f>AJ201*Z201</f>
        <v/>
      </c>
      <c r="AU201" s="66">
        <f>AK201*AA201</f>
        <v/>
      </c>
      <c r="AV201" s="66">
        <f>AL201*AB201</f>
        <v/>
      </c>
      <c r="AW201" s="66">
        <f>AM201*AC201</f>
        <v/>
      </c>
      <c r="AX201" s="66">
        <f>AN201*AD201</f>
        <v/>
      </c>
      <c r="AY201" s="66">
        <f>AO201*AE201</f>
        <v/>
      </c>
      <c r="AZ201" s="66">
        <f>INDEX(Projects[Automation Equipment],200)&amp;""</f>
        <v/>
      </c>
      <c r="BA201" s="66">
        <f>IF(OR(A201="",'Smart Search'!H13=0),"",MAX(0,BE201*BF201*MAX(0,1-BG201)))</f>
        <v/>
      </c>
      <c r="BB201" s="66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66">
        <f>IF('Smart Search'!G13=1,IFERROR(1/'Smart Search'!H13,0),0)</f>
        <v/>
      </c>
      <c r="BD201" s="66">
        <f>BB201*BC201</f>
        <v/>
      </c>
      <c r="BE201" s="66">
        <f>AP201+AQ201+AR201+AS201+AT201+AU201+AV201+AW201+AX201+AY201+BD201</f>
        <v/>
      </c>
      <c r="BF201" s="5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5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5">
        <f>IF(AND(A201&lt;&gt;"",OR('Smart Search'!$L$5="",'Smart Search'!$L$5="All",TRIM(BZ201)=TRIM('Smart Search'!$L$5)),OR(TRIM('Smart Search'!$L$6)="",TRIM('Smart Search'!$L$6)="All",ISNUMBER(SEARCH(SUBSTITUTE(SUBSTITUTE(SUBSTITUTE(TRIM('Smart Search'!$L$6),"~","~~"),"*","~*"),"?","~?"),CA201))),OR('Smart Search'!$L$7="",AND(CB201&lt;&gt;0,CB201='Smart Search'!$L$7)),OR('Smart Search'!$L$8="",'Smart Search'!$L$8="All",TRIM(CC201)=TRIM('Smart Search'!$L$8))),IF(BA201="","",BA201+ROW()*0.0000000001),"")</f>
        <v/>
      </c>
      <c r="BI201" s="5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5">
        <f>IF(A201="","",N(INDEX(Projects[Mech Inst],200)))</f>
        <v/>
      </c>
      <c r="BK201" s="5">
        <f>IF(A201="","",N(INDEX(Projects[Elec Inst],200)))</f>
        <v/>
      </c>
      <c r="BL201" s="5">
        <f>IF(A201="","",N(INDEX(Projects[Project Management],200)))</f>
        <v/>
      </c>
      <c r="BM201" s="5">
        <f>IF(A201="","",N(INDEX(Projects[Systems Eng],200)))</f>
        <v/>
      </c>
      <c r="BN201" s="5">
        <f>IF(A201="","",N(INDEX(Projects[Mechanical Eng],200)))</f>
        <v/>
      </c>
      <c r="BO201" s="5">
        <f>IF(A201="","",N(INDEX(Projects[Structural Engineering],200)))</f>
        <v/>
      </c>
      <c r="BP201" s="5">
        <f>IF(A201="","",N(INDEX(Projects[Site Sup],200)))</f>
        <v/>
      </c>
      <c r="BQ201" s="5">
        <f>IF(A201="","",N(INDEX(Projects[Controls Commissioning],200)))</f>
        <v/>
      </c>
      <c r="BR201" s="5">
        <f>IF(A201="","",N(INDEX(Projects[Systems Commissioning],200)))</f>
        <v/>
      </c>
      <c r="BS201" s="5">
        <f>IF(A201="","",N(INDEX(Projects[Service Commissioning],200)))</f>
        <v/>
      </c>
      <c r="BT201" s="5">
        <f>IF(A201="","",N(INDEX(Projects[Controls Eng],200)))</f>
        <v/>
      </c>
      <c r="BU201" s="5">
        <f>IF(A201="","",N(INDEX(Projects[Controls Purchase],200)))</f>
        <v/>
      </c>
      <c r="BV201" s="5">
        <f>IF(A201="","",N(INDEX(Projects[Software Eng],200)))</f>
        <v/>
      </c>
      <c r="BW201" s="5">
        <f>IF(A201="","",N(INDEX(Projects[Misc],200)))</f>
        <v/>
      </c>
      <c r="BX201" s="5">
        <f>IF(A201="","",SUM(BJ201:BW201))</f>
        <v/>
      </c>
      <c r="BY201" s="5">
        <f>IF(A201="","",IFERROR(IF(ISNUMBER(U201),U201,VALUE(SUBSTITUTE(SUBSTITUTE(SUBSTITUTE(UPPER(TRIM(U201)),"M",""),",","")," ",""))),0))</f>
        <v/>
      </c>
      <c r="BZ201" s="5">
        <f>INDEX(Projects[Solution Type],200)&amp;""</f>
        <v/>
      </c>
      <c r="CA201" s="5">
        <f>INDEX(Projects[Client / Region],200)&amp;""</f>
        <v/>
      </c>
      <c r="CB201" s="5">
        <f>INDEX(Projects[Year],200)</f>
        <v/>
      </c>
      <c r="CC201" s="5">
        <f>INDEX(Projects[Won?],200)&amp;""</f>
        <v/>
      </c>
      <c r="CD201" s="5">
        <f>INDEX(Projects[Value (USD M)],200)</f>
        <v/>
      </c>
    </row>
    <row r="202" ht="15" customHeight="1" s="74">
      <c r="A202" s="66">
        <f>INDEX(Projects[Project ID *],201)&amp;""</f>
        <v/>
      </c>
      <c r="B202" s="66">
        <f>INDEX(Projects[Project Name *],201)&amp;""</f>
        <v/>
      </c>
      <c r="C202" s="66">
        <f>INDEX(Projects[MS Shuttles],201)</f>
        <v/>
      </c>
      <c r="D202" s="66">
        <f>INDEX(Projects[MS Tote Locations],201)</f>
        <v/>
      </c>
      <c r="E202" s="66">
        <f>INDEX(Projects[AS Robots],201)</f>
        <v/>
      </c>
      <c r="F202" s="66">
        <f>INDEX(Projects[AS Tote Locations],201)</f>
        <v/>
      </c>
      <c r="G202" s="66">
        <f>INDEX(Projects[PS Shuttles],201)</f>
        <v/>
      </c>
      <c r="H202" s="66">
        <f>INDEX(Projects[PS Pallet Locations],201)</f>
        <v/>
      </c>
      <c r="I202" s="66">
        <f>INDEX(Projects[SRM Cranes],201)</f>
        <v/>
      </c>
      <c r="J202" s="66">
        <f>INDEX(Projects[SRM Pallet Locations],201)</f>
        <v/>
      </c>
      <c r="K202" s="66">
        <f>INDEX(Projects[Case Conv (m)],201)</f>
        <v/>
      </c>
      <c r="L202" s="66">
        <f>INDEX(Projects[Pallet Conv (m)],201)</f>
        <v/>
      </c>
      <c r="M202" s="66">
        <f>INDEX(Projects[Mech Eng (wks)],201)</f>
        <v/>
      </c>
      <c r="N202" s="66">
        <f>INDEX(Projects[Controls Eng (wks)],201)</f>
        <v/>
      </c>
      <c r="O202" s="66">
        <f>INDEX(Projects[Systems Eng (wks)],201)</f>
        <v/>
      </c>
      <c r="P202" s="66">
        <f>INDEX(Projects[Software Eng (wks)],201)</f>
        <v/>
      </c>
      <c r="Q202" s="66">
        <f>INDEX(Projects[M&amp;E Installation (wks)],201)</f>
        <v/>
      </c>
      <c r="R202" s="66">
        <f>INDEX(Projects[Commissioning (wks)],201)</f>
        <v/>
      </c>
      <c r="S202" s="66">
        <f>INDEX(Projects[Total Timeline (wks)],201)</f>
        <v/>
      </c>
      <c r="T202" s="66">
        <f>INDEX(Projects[Currency],201)&amp;""</f>
        <v/>
      </c>
      <c r="U202" s="67">
        <f>INDEX(Projects[Value (M)],201)</f>
        <v/>
      </c>
      <c r="V202" s="66">
        <f>IF('Smart Search'!B13=1,IFERROR(1/'Smart Search'!H13,0),0)</f>
        <v/>
      </c>
      <c r="W202" s="66">
        <f>IF('Smart Search'!B13=1,IFERROR(1/'Smart Search'!H13,0),0)</f>
        <v/>
      </c>
      <c r="X202" s="66">
        <f>IF('Smart Search'!C13=1,IFERROR(1/'Smart Search'!H13,0),0)</f>
        <v/>
      </c>
      <c r="Y202" s="66">
        <f>IF('Smart Search'!C13=1,IFERROR(1/'Smart Search'!H13,0),0)</f>
        <v/>
      </c>
      <c r="Z202" s="66">
        <f>IF('Smart Search'!D13=1,IFERROR(1/'Smart Search'!H13,0),0)</f>
        <v/>
      </c>
      <c r="AA202" s="66">
        <f>IF('Smart Search'!D13=1,IFERROR(1/'Smart Search'!H13,0),0)</f>
        <v/>
      </c>
      <c r="AB202" s="66">
        <f>IF('Smart Search'!E13=1,IFERROR(1/'Smart Search'!H13,0),0)</f>
        <v/>
      </c>
      <c r="AC202" s="66">
        <f>IF('Smart Search'!E13=1,IFERROR(1/'Smart Search'!H13,0),0)</f>
        <v/>
      </c>
      <c r="AD202" s="66">
        <f>IF('Smart Search'!F13=1,IFERROR(1/'Smart Search'!H13,0),0)</f>
        <v/>
      </c>
      <c r="AE202" s="66">
        <f>IF('Smart Search'!F13=1,IFERROR(1/'Smart Search'!H13,0),0)</f>
        <v/>
      </c>
      <c r="AF202" s="66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66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66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66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66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66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66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66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66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66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66">
        <f>AF202*V202</f>
        <v/>
      </c>
      <c r="AQ202" s="66">
        <f>AG202*W202</f>
        <v/>
      </c>
      <c r="AR202" s="66">
        <f>AH202*X202</f>
        <v/>
      </c>
      <c r="AS202" s="66">
        <f>AI202*Y202</f>
        <v/>
      </c>
      <c r="AT202" s="66">
        <f>AJ202*Z202</f>
        <v/>
      </c>
      <c r="AU202" s="66">
        <f>AK202*AA202</f>
        <v/>
      </c>
      <c r="AV202" s="66">
        <f>AL202*AB202</f>
        <v/>
      </c>
      <c r="AW202" s="66">
        <f>AM202*AC202</f>
        <v/>
      </c>
      <c r="AX202" s="66">
        <f>AN202*AD202</f>
        <v/>
      </c>
      <c r="AY202" s="66">
        <f>AO202*AE202</f>
        <v/>
      </c>
      <c r="AZ202" s="66">
        <f>INDEX(Projects[Automation Equipment],201)&amp;""</f>
        <v/>
      </c>
      <c r="BA202" s="66">
        <f>IF(OR(A202="",'Smart Search'!H13=0),"",MAX(0,BE202*BF202*MAX(0,1-BG202)))</f>
        <v/>
      </c>
      <c r="BB202" s="66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66">
        <f>IF('Smart Search'!G13=1,IFERROR(1/'Smart Search'!H13,0),0)</f>
        <v/>
      </c>
      <c r="BD202" s="66">
        <f>BB202*BC202</f>
        <v/>
      </c>
      <c r="BE202" s="66">
        <f>AP202+AQ202+AR202+AS202+AT202+AU202+AV202+AW202+AX202+AY202+BD202</f>
        <v/>
      </c>
      <c r="BF202" s="5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5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5">
        <f>IF(AND(A202&lt;&gt;"",OR('Smart Search'!$L$5="",'Smart Search'!$L$5="All",TRIM(BZ202)=TRIM('Smart Search'!$L$5)),OR(TRIM('Smart Search'!$L$6)="",TRIM('Smart Search'!$L$6)="All",ISNUMBER(SEARCH(SUBSTITUTE(SUBSTITUTE(SUBSTITUTE(TRIM('Smart Search'!$L$6),"~","~~"),"*","~*"),"?","~?"),CA202))),OR('Smart Search'!$L$7="",AND(CB202&lt;&gt;0,CB202='Smart Search'!$L$7)),OR('Smart Search'!$L$8="",'Smart Search'!$L$8="All",TRIM(CC202)=TRIM('Smart Search'!$L$8))),IF(BA202="","",BA202+ROW()*0.0000000001),"")</f>
        <v/>
      </c>
      <c r="BI202" s="5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5">
        <f>IF(A202="","",N(INDEX(Projects[Mech Inst],201)))</f>
        <v/>
      </c>
      <c r="BK202" s="5">
        <f>IF(A202="","",N(INDEX(Projects[Elec Inst],201)))</f>
        <v/>
      </c>
      <c r="BL202" s="5">
        <f>IF(A202="","",N(INDEX(Projects[Project Management],201)))</f>
        <v/>
      </c>
      <c r="BM202" s="5">
        <f>IF(A202="","",N(INDEX(Projects[Systems Eng],201)))</f>
        <v/>
      </c>
      <c r="BN202" s="5">
        <f>IF(A202="","",N(INDEX(Projects[Mechanical Eng],201)))</f>
        <v/>
      </c>
      <c r="BO202" s="5">
        <f>IF(A202="","",N(INDEX(Projects[Structural Engineering],201)))</f>
        <v/>
      </c>
      <c r="BP202" s="5">
        <f>IF(A202="","",N(INDEX(Projects[Site Sup],201)))</f>
        <v/>
      </c>
      <c r="BQ202" s="5">
        <f>IF(A202="","",N(INDEX(Projects[Controls Commissioning],201)))</f>
        <v/>
      </c>
      <c r="BR202" s="5">
        <f>IF(A202="","",N(INDEX(Projects[Systems Commissioning],201)))</f>
        <v/>
      </c>
      <c r="BS202" s="5">
        <f>IF(A202="","",N(INDEX(Projects[Service Commissioning],201)))</f>
        <v/>
      </c>
      <c r="BT202" s="5">
        <f>IF(A202="","",N(INDEX(Projects[Controls Eng],201)))</f>
        <v/>
      </c>
      <c r="BU202" s="5">
        <f>IF(A202="","",N(INDEX(Projects[Controls Purchase],201)))</f>
        <v/>
      </c>
      <c r="BV202" s="5">
        <f>IF(A202="","",N(INDEX(Projects[Software Eng],201)))</f>
        <v/>
      </c>
      <c r="BW202" s="5">
        <f>IF(A202="","",N(INDEX(Projects[Misc],201)))</f>
        <v/>
      </c>
      <c r="BX202" s="5">
        <f>IF(A202="","",SUM(BJ202:BW202))</f>
        <v/>
      </c>
      <c r="BY202" s="5">
        <f>IF(A202="","",IFERROR(IF(ISNUMBER(U202),U202,VALUE(SUBSTITUTE(SUBSTITUTE(SUBSTITUTE(UPPER(TRIM(U202)),"M",""),",","")," ",""))),0))</f>
        <v/>
      </c>
      <c r="BZ202" s="5">
        <f>INDEX(Projects[Solution Type],201)&amp;""</f>
        <v/>
      </c>
      <c r="CA202" s="5">
        <f>INDEX(Projects[Client / Region],201)&amp;""</f>
        <v/>
      </c>
      <c r="CB202" s="5">
        <f>INDEX(Projects[Year],201)</f>
        <v/>
      </c>
      <c r="CC202" s="5">
        <f>INDEX(Projects[Won?],201)&amp;""</f>
        <v/>
      </c>
      <c r="CD202" s="5">
        <f>INDEX(Projects[Value (USD M)],201)</f>
        <v/>
      </c>
    </row>
    <row r="203" ht="15" customHeight="1" s="74">
      <c r="A203" s="66">
        <f>INDEX(Projects[Project ID *],202)&amp;""</f>
        <v/>
      </c>
      <c r="B203" s="66">
        <f>INDEX(Projects[Project Name *],202)&amp;""</f>
        <v/>
      </c>
      <c r="C203" s="66">
        <f>INDEX(Projects[MS Shuttles],202)</f>
        <v/>
      </c>
      <c r="D203" s="66">
        <f>INDEX(Projects[MS Tote Locations],202)</f>
        <v/>
      </c>
      <c r="E203" s="66">
        <f>INDEX(Projects[AS Robots],202)</f>
        <v/>
      </c>
      <c r="F203" s="66">
        <f>INDEX(Projects[AS Tote Locations],202)</f>
        <v/>
      </c>
      <c r="G203" s="66">
        <f>INDEX(Projects[PS Shuttles],202)</f>
        <v/>
      </c>
      <c r="H203" s="66">
        <f>INDEX(Projects[PS Pallet Locations],202)</f>
        <v/>
      </c>
      <c r="I203" s="66">
        <f>INDEX(Projects[SRM Cranes],202)</f>
        <v/>
      </c>
      <c r="J203" s="66">
        <f>INDEX(Projects[SRM Pallet Locations],202)</f>
        <v/>
      </c>
      <c r="K203" s="66">
        <f>INDEX(Projects[Case Conv (m)],202)</f>
        <v/>
      </c>
      <c r="L203" s="66">
        <f>INDEX(Projects[Pallet Conv (m)],202)</f>
        <v/>
      </c>
      <c r="M203" s="66">
        <f>INDEX(Projects[Mech Eng (wks)],202)</f>
        <v/>
      </c>
      <c r="N203" s="66">
        <f>INDEX(Projects[Controls Eng (wks)],202)</f>
        <v/>
      </c>
      <c r="O203" s="66">
        <f>INDEX(Projects[Systems Eng (wks)],202)</f>
        <v/>
      </c>
      <c r="P203" s="66">
        <f>INDEX(Projects[Software Eng (wks)],202)</f>
        <v/>
      </c>
      <c r="Q203" s="66">
        <f>INDEX(Projects[M&amp;E Installation (wks)],202)</f>
        <v/>
      </c>
      <c r="R203" s="66">
        <f>INDEX(Projects[Commissioning (wks)],202)</f>
        <v/>
      </c>
      <c r="S203" s="66">
        <f>INDEX(Projects[Total Timeline (wks)],202)</f>
        <v/>
      </c>
      <c r="T203" s="66">
        <f>INDEX(Projects[Currency],202)&amp;""</f>
        <v/>
      </c>
      <c r="U203" s="67">
        <f>INDEX(Projects[Value (M)],202)</f>
        <v/>
      </c>
      <c r="V203" s="66">
        <f>IF('Smart Search'!B13=1,IFERROR(1/'Smart Search'!H13,0),0)</f>
        <v/>
      </c>
      <c r="W203" s="66">
        <f>IF('Smart Search'!B13=1,IFERROR(1/'Smart Search'!H13,0),0)</f>
        <v/>
      </c>
      <c r="X203" s="66">
        <f>IF('Smart Search'!C13=1,IFERROR(1/'Smart Search'!H13,0),0)</f>
        <v/>
      </c>
      <c r="Y203" s="66">
        <f>IF('Smart Search'!C13=1,IFERROR(1/'Smart Search'!H13,0),0)</f>
        <v/>
      </c>
      <c r="Z203" s="66">
        <f>IF('Smart Search'!D13=1,IFERROR(1/'Smart Search'!H13,0),0)</f>
        <v/>
      </c>
      <c r="AA203" s="66">
        <f>IF('Smart Search'!D13=1,IFERROR(1/'Smart Search'!H13,0),0)</f>
        <v/>
      </c>
      <c r="AB203" s="66">
        <f>IF('Smart Search'!E13=1,IFERROR(1/'Smart Search'!H13,0),0)</f>
        <v/>
      </c>
      <c r="AC203" s="66">
        <f>IF('Smart Search'!E13=1,IFERROR(1/'Smart Search'!H13,0),0)</f>
        <v/>
      </c>
      <c r="AD203" s="66">
        <f>IF('Smart Search'!F13=1,IFERROR(1/'Smart Search'!H13,0),0)</f>
        <v/>
      </c>
      <c r="AE203" s="66">
        <f>IF('Smart Search'!F13=1,IFERROR(1/'Smart Search'!H13,0),0)</f>
        <v/>
      </c>
      <c r="AF203" s="66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66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66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66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66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66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66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66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66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66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66">
        <f>AF203*V203</f>
        <v/>
      </c>
      <c r="AQ203" s="66">
        <f>AG203*W203</f>
        <v/>
      </c>
      <c r="AR203" s="66">
        <f>AH203*X203</f>
        <v/>
      </c>
      <c r="AS203" s="66">
        <f>AI203*Y203</f>
        <v/>
      </c>
      <c r="AT203" s="66">
        <f>AJ203*Z203</f>
        <v/>
      </c>
      <c r="AU203" s="66">
        <f>AK203*AA203</f>
        <v/>
      </c>
      <c r="AV203" s="66">
        <f>AL203*AB203</f>
        <v/>
      </c>
      <c r="AW203" s="66">
        <f>AM203*AC203</f>
        <v/>
      </c>
      <c r="AX203" s="66">
        <f>AN203*AD203</f>
        <v/>
      </c>
      <c r="AY203" s="66">
        <f>AO203*AE203</f>
        <v/>
      </c>
      <c r="AZ203" s="66">
        <f>INDEX(Projects[Automation Equipment],202)&amp;""</f>
        <v/>
      </c>
      <c r="BA203" s="66">
        <f>IF(OR(A203="",'Smart Search'!H13=0),"",MAX(0,BE203*BF203*MAX(0,1-BG203)))</f>
        <v/>
      </c>
      <c r="BB203" s="66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66">
        <f>IF('Smart Search'!G13=1,IFERROR(1/'Smart Search'!H13,0),0)</f>
        <v/>
      </c>
      <c r="BD203" s="66">
        <f>BB203*BC203</f>
        <v/>
      </c>
      <c r="BE203" s="66">
        <f>AP203+AQ203+AR203+AS203+AT203+AU203+AV203+AW203+AX203+AY203+BD203</f>
        <v/>
      </c>
      <c r="BF203" s="5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5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5">
        <f>IF(AND(A203&lt;&gt;"",OR('Smart Search'!$L$5="",'Smart Search'!$L$5="All",TRIM(BZ203)=TRIM('Smart Search'!$L$5)),OR(TRIM('Smart Search'!$L$6)="",TRIM('Smart Search'!$L$6)="All",ISNUMBER(SEARCH(SUBSTITUTE(SUBSTITUTE(SUBSTITUTE(TRIM('Smart Search'!$L$6),"~","~~"),"*","~*"),"?","~?"),CA203))),OR('Smart Search'!$L$7="",AND(CB203&lt;&gt;0,CB203='Smart Search'!$L$7)),OR('Smart Search'!$L$8="",'Smart Search'!$L$8="All",TRIM(CC203)=TRIM('Smart Search'!$L$8))),IF(BA203="","",BA203+ROW()*0.0000000001),"")</f>
        <v/>
      </c>
      <c r="BI203" s="5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5">
        <f>IF(A203="","",N(INDEX(Projects[Mech Inst],202)))</f>
        <v/>
      </c>
      <c r="BK203" s="5">
        <f>IF(A203="","",N(INDEX(Projects[Elec Inst],202)))</f>
        <v/>
      </c>
      <c r="BL203" s="5">
        <f>IF(A203="","",N(INDEX(Projects[Project Management],202)))</f>
        <v/>
      </c>
      <c r="BM203" s="5">
        <f>IF(A203="","",N(INDEX(Projects[Systems Eng],202)))</f>
        <v/>
      </c>
      <c r="BN203" s="5">
        <f>IF(A203="","",N(INDEX(Projects[Mechanical Eng],202)))</f>
        <v/>
      </c>
      <c r="BO203" s="5">
        <f>IF(A203="","",N(INDEX(Projects[Structural Engineering],202)))</f>
        <v/>
      </c>
      <c r="BP203" s="5">
        <f>IF(A203="","",N(INDEX(Projects[Site Sup],202)))</f>
        <v/>
      </c>
      <c r="BQ203" s="5">
        <f>IF(A203="","",N(INDEX(Projects[Controls Commissioning],202)))</f>
        <v/>
      </c>
      <c r="BR203" s="5">
        <f>IF(A203="","",N(INDEX(Projects[Systems Commissioning],202)))</f>
        <v/>
      </c>
      <c r="BS203" s="5">
        <f>IF(A203="","",N(INDEX(Projects[Service Commissioning],202)))</f>
        <v/>
      </c>
      <c r="BT203" s="5">
        <f>IF(A203="","",N(INDEX(Projects[Controls Eng],202)))</f>
        <v/>
      </c>
      <c r="BU203" s="5">
        <f>IF(A203="","",N(INDEX(Projects[Controls Purchase],202)))</f>
        <v/>
      </c>
      <c r="BV203" s="5">
        <f>IF(A203="","",N(INDEX(Projects[Software Eng],202)))</f>
        <v/>
      </c>
      <c r="BW203" s="5">
        <f>IF(A203="","",N(INDEX(Projects[Misc],202)))</f>
        <v/>
      </c>
      <c r="BX203" s="5">
        <f>IF(A203="","",SUM(BJ203:BW203))</f>
        <v/>
      </c>
      <c r="BY203" s="5">
        <f>IF(A203="","",IFERROR(IF(ISNUMBER(U203),U203,VALUE(SUBSTITUTE(SUBSTITUTE(SUBSTITUTE(UPPER(TRIM(U203)),"M",""),",","")," ",""))),0))</f>
        <v/>
      </c>
      <c r="BZ203" s="5">
        <f>INDEX(Projects[Solution Type],202)&amp;""</f>
        <v/>
      </c>
      <c r="CA203" s="5">
        <f>INDEX(Projects[Client / Region],202)&amp;""</f>
        <v/>
      </c>
      <c r="CB203" s="5">
        <f>INDEX(Projects[Year],202)</f>
        <v/>
      </c>
      <c r="CC203" s="5">
        <f>INDEX(Projects[Won?],202)&amp;""</f>
        <v/>
      </c>
      <c r="CD203" s="5">
        <f>INDEX(Projects[Value (USD M)],202)</f>
        <v/>
      </c>
    </row>
    <row r="204" ht="15" customHeight="1" s="74">
      <c r="A204" s="66">
        <f>INDEX(Projects[Project ID *],203)&amp;""</f>
        <v/>
      </c>
      <c r="B204" s="66">
        <f>INDEX(Projects[Project Name *],203)&amp;""</f>
        <v/>
      </c>
      <c r="C204" s="66">
        <f>INDEX(Projects[MS Shuttles],203)</f>
        <v/>
      </c>
      <c r="D204" s="66">
        <f>INDEX(Projects[MS Tote Locations],203)</f>
        <v/>
      </c>
      <c r="E204" s="66">
        <f>INDEX(Projects[AS Robots],203)</f>
        <v/>
      </c>
      <c r="F204" s="66">
        <f>INDEX(Projects[AS Tote Locations],203)</f>
        <v/>
      </c>
      <c r="G204" s="66">
        <f>INDEX(Projects[PS Shuttles],203)</f>
        <v/>
      </c>
      <c r="H204" s="66">
        <f>INDEX(Projects[PS Pallet Locations],203)</f>
        <v/>
      </c>
      <c r="I204" s="66">
        <f>INDEX(Projects[SRM Cranes],203)</f>
        <v/>
      </c>
      <c r="J204" s="66">
        <f>INDEX(Projects[SRM Pallet Locations],203)</f>
        <v/>
      </c>
      <c r="K204" s="66">
        <f>INDEX(Projects[Case Conv (m)],203)</f>
        <v/>
      </c>
      <c r="L204" s="66">
        <f>INDEX(Projects[Pallet Conv (m)],203)</f>
        <v/>
      </c>
      <c r="M204" s="66">
        <f>INDEX(Projects[Mech Eng (wks)],203)</f>
        <v/>
      </c>
      <c r="N204" s="66">
        <f>INDEX(Projects[Controls Eng (wks)],203)</f>
        <v/>
      </c>
      <c r="O204" s="66">
        <f>INDEX(Projects[Systems Eng (wks)],203)</f>
        <v/>
      </c>
      <c r="P204" s="66">
        <f>INDEX(Projects[Software Eng (wks)],203)</f>
        <v/>
      </c>
      <c r="Q204" s="66">
        <f>INDEX(Projects[M&amp;E Installation (wks)],203)</f>
        <v/>
      </c>
      <c r="R204" s="66">
        <f>INDEX(Projects[Commissioning (wks)],203)</f>
        <v/>
      </c>
      <c r="S204" s="66">
        <f>INDEX(Projects[Total Timeline (wks)],203)</f>
        <v/>
      </c>
      <c r="T204" s="66">
        <f>INDEX(Projects[Currency],203)&amp;""</f>
        <v/>
      </c>
      <c r="U204" s="67">
        <f>INDEX(Projects[Value (M)],203)</f>
        <v/>
      </c>
      <c r="V204" s="66">
        <f>IF('Smart Search'!B13=1,IFERROR(1/'Smart Search'!H13,0),0)</f>
        <v/>
      </c>
      <c r="W204" s="66">
        <f>IF('Smart Search'!B13=1,IFERROR(1/'Smart Search'!H13,0),0)</f>
        <v/>
      </c>
      <c r="X204" s="66">
        <f>IF('Smart Search'!C13=1,IFERROR(1/'Smart Search'!H13,0),0)</f>
        <v/>
      </c>
      <c r="Y204" s="66">
        <f>IF('Smart Search'!C13=1,IFERROR(1/'Smart Search'!H13,0),0)</f>
        <v/>
      </c>
      <c r="Z204" s="66">
        <f>IF('Smart Search'!D13=1,IFERROR(1/'Smart Search'!H13,0),0)</f>
        <v/>
      </c>
      <c r="AA204" s="66">
        <f>IF('Smart Search'!D13=1,IFERROR(1/'Smart Search'!H13,0),0)</f>
        <v/>
      </c>
      <c r="AB204" s="66">
        <f>IF('Smart Search'!E13=1,IFERROR(1/'Smart Search'!H13,0),0)</f>
        <v/>
      </c>
      <c r="AC204" s="66">
        <f>IF('Smart Search'!E13=1,IFERROR(1/'Smart Search'!H13,0),0)</f>
        <v/>
      </c>
      <c r="AD204" s="66">
        <f>IF('Smart Search'!F13=1,IFERROR(1/'Smart Search'!H13,0),0)</f>
        <v/>
      </c>
      <c r="AE204" s="66">
        <f>IF('Smart Search'!F13=1,IFERROR(1/'Smart Search'!H13,0),0)</f>
        <v/>
      </c>
      <c r="AF204" s="66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66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66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66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66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66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66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66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66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66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66">
        <f>AF204*V204</f>
        <v/>
      </c>
      <c r="AQ204" s="66">
        <f>AG204*W204</f>
        <v/>
      </c>
      <c r="AR204" s="66">
        <f>AH204*X204</f>
        <v/>
      </c>
      <c r="AS204" s="66">
        <f>AI204*Y204</f>
        <v/>
      </c>
      <c r="AT204" s="66">
        <f>AJ204*Z204</f>
        <v/>
      </c>
      <c r="AU204" s="66">
        <f>AK204*AA204</f>
        <v/>
      </c>
      <c r="AV204" s="66">
        <f>AL204*AB204</f>
        <v/>
      </c>
      <c r="AW204" s="66">
        <f>AM204*AC204</f>
        <v/>
      </c>
      <c r="AX204" s="66">
        <f>AN204*AD204</f>
        <v/>
      </c>
      <c r="AY204" s="66">
        <f>AO204*AE204</f>
        <v/>
      </c>
      <c r="AZ204" s="66">
        <f>INDEX(Projects[Automation Equipment],203)&amp;""</f>
        <v/>
      </c>
      <c r="BA204" s="66">
        <f>IF(OR(A204="",'Smart Search'!H13=0),"",MAX(0,BE204*BF204*MAX(0,1-BG204)))</f>
        <v/>
      </c>
      <c r="BB204" s="66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66">
        <f>IF('Smart Search'!G13=1,IFERROR(1/'Smart Search'!H13,0),0)</f>
        <v/>
      </c>
      <c r="BD204" s="66">
        <f>BB204*BC204</f>
        <v/>
      </c>
      <c r="BE204" s="66">
        <f>AP204+AQ204+AR204+AS204+AT204+AU204+AV204+AW204+AX204+AY204+BD204</f>
        <v/>
      </c>
      <c r="BF204" s="5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5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5">
        <f>IF(AND(A204&lt;&gt;"",OR('Smart Search'!$L$5="",'Smart Search'!$L$5="All",TRIM(BZ204)=TRIM('Smart Search'!$L$5)),OR(TRIM('Smart Search'!$L$6)="",TRIM('Smart Search'!$L$6)="All",ISNUMBER(SEARCH(SUBSTITUTE(SUBSTITUTE(SUBSTITUTE(TRIM('Smart Search'!$L$6),"~","~~"),"*","~*"),"?","~?"),CA204))),OR('Smart Search'!$L$7="",AND(CB204&lt;&gt;0,CB204='Smart Search'!$L$7)),OR('Smart Search'!$L$8="",'Smart Search'!$L$8="All",TRIM(CC204)=TRIM('Smart Search'!$L$8))),IF(BA204="","",BA204+ROW()*0.0000000001),"")</f>
        <v/>
      </c>
      <c r="BI204" s="5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5">
        <f>IF(A204="","",N(INDEX(Projects[Mech Inst],203)))</f>
        <v/>
      </c>
      <c r="BK204" s="5">
        <f>IF(A204="","",N(INDEX(Projects[Elec Inst],203)))</f>
        <v/>
      </c>
      <c r="BL204" s="5">
        <f>IF(A204="","",N(INDEX(Projects[Project Management],203)))</f>
        <v/>
      </c>
      <c r="BM204" s="5">
        <f>IF(A204="","",N(INDEX(Projects[Systems Eng],203)))</f>
        <v/>
      </c>
      <c r="BN204" s="5">
        <f>IF(A204="","",N(INDEX(Projects[Mechanical Eng],203)))</f>
        <v/>
      </c>
      <c r="BO204" s="5">
        <f>IF(A204="","",N(INDEX(Projects[Structural Engineering],203)))</f>
        <v/>
      </c>
      <c r="BP204" s="5">
        <f>IF(A204="","",N(INDEX(Projects[Site Sup],203)))</f>
        <v/>
      </c>
      <c r="BQ204" s="5">
        <f>IF(A204="","",N(INDEX(Projects[Controls Commissioning],203)))</f>
        <v/>
      </c>
      <c r="BR204" s="5">
        <f>IF(A204="","",N(INDEX(Projects[Systems Commissioning],203)))</f>
        <v/>
      </c>
      <c r="BS204" s="5">
        <f>IF(A204="","",N(INDEX(Projects[Service Commissioning],203)))</f>
        <v/>
      </c>
      <c r="BT204" s="5">
        <f>IF(A204="","",N(INDEX(Projects[Controls Eng],203)))</f>
        <v/>
      </c>
      <c r="BU204" s="5">
        <f>IF(A204="","",N(INDEX(Projects[Controls Purchase],203)))</f>
        <v/>
      </c>
      <c r="BV204" s="5">
        <f>IF(A204="","",N(INDEX(Projects[Software Eng],203)))</f>
        <v/>
      </c>
      <c r="BW204" s="5">
        <f>IF(A204="","",N(INDEX(Projects[Misc],203)))</f>
        <v/>
      </c>
      <c r="BX204" s="5">
        <f>IF(A204="","",SUM(BJ204:BW204))</f>
        <v/>
      </c>
      <c r="BY204" s="5">
        <f>IF(A204="","",IFERROR(IF(ISNUMBER(U204),U204,VALUE(SUBSTITUTE(SUBSTITUTE(SUBSTITUTE(UPPER(TRIM(U204)),"M",""),",","")," ",""))),0))</f>
        <v/>
      </c>
      <c r="BZ204" s="5">
        <f>INDEX(Projects[Solution Type],203)&amp;""</f>
        <v/>
      </c>
      <c r="CA204" s="5">
        <f>INDEX(Projects[Client / Region],203)&amp;""</f>
        <v/>
      </c>
      <c r="CB204" s="5">
        <f>INDEX(Projects[Year],203)</f>
        <v/>
      </c>
      <c r="CC204" s="5">
        <f>INDEX(Projects[Won?],203)&amp;""</f>
        <v/>
      </c>
      <c r="CD204" s="5">
        <f>INDEX(Projects[Value (USD M)],203)</f>
        <v/>
      </c>
    </row>
    <row r="205" ht="15" customHeight="1" s="74">
      <c r="A205" s="66">
        <f>INDEX(Projects[Project ID *],204)&amp;""</f>
        <v/>
      </c>
      <c r="B205" s="66">
        <f>INDEX(Projects[Project Name *],204)&amp;""</f>
        <v/>
      </c>
      <c r="C205" s="66">
        <f>INDEX(Projects[MS Shuttles],204)</f>
        <v/>
      </c>
      <c r="D205" s="66">
        <f>INDEX(Projects[MS Tote Locations],204)</f>
        <v/>
      </c>
      <c r="E205" s="66">
        <f>INDEX(Projects[AS Robots],204)</f>
        <v/>
      </c>
      <c r="F205" s="66">
        <f>INDEX(Projects[AS Tote Locations],204)</f>
        <v/>
      </c>
      <c r="G205" s="66">
        <f>INDEX(Projects[PS Shuttles],204)</f>
        <v/>
      </c>
      <c r="H205" s="66">
        <f>INDEX(Projects[PS Pallet Locations],204)</f>
        <v/>
      </c>
      <c r="I205" s="66">
        <f>INDEX(Projects[SRM Cranes],204)</f>
        <v/>
      </c>
      <c r="J205" s="66">
        <f>INDEX(Projects[SRM Pallet Locations],204)</f>
        <v/>
      </c>
      <c r="K205" s="66">
        <f>INDEX(Projects[Case Conv (m)],204)</f>
        <v/>
      </c>
      <c r="L205" s="66">
        <f>INDEX(Projects[Pallet Conv (m)],204)</f>
        <v/>
      </c>
      <c r="M205" s="66">
        <f>INDEX(Projects[Mech Eng (wks)],204)</f>
        <v/>
      </c>
      <c r="N205" s="66">
        <f>INDEX(Projects[Controls Eng (wks)],204)</f>
        <v/>
      </c>
      <c r="O205" s="66">
        <f>INDEX(Projects[Systems Eng (wks)],204)</f>
        <v/>
      </c>
      <c r="P205" s="66">
        <f>INDEX(Projects[Software Eng (wks)],204)</f>
        <v/>
      </c>
      <c r="Q205" s="66">
        <f>INDEX(Projects[M&amp;E Installation (wks)],204)</f>
        <v/>
      </c>
      <c r="R205" s="66">
        <f>INDEX(Projects[Commissioning (wks)],204)</f>
        <v/>
      </c>
      <c r="S205" s="66">
        <f>INDEX(Projects[Total Timeline (wks)],204)</f>
        <v/>
      </c>
      <c r="T205" s="66">
        <f>INDEX(Projects[Currency],204)&amp;""</f>
        <v/>
      </c>
      <c r="U205" s="67">
        <f>INDEX(Projects[Value (M)],204)</f>
        <v/>
      </c>
      <c r="V205" s="66">
        <f>IF('Smart Search'!B13=1,IFERROR(1/'Smart Search'!H13,0),0)</f>
        <v/>
      </c>
      <c r="W205" s="66">
        <f>IF('Smart Search'!B13=1,IFERROR(1/'Smart Search'!H13,0),0)</f>
        <v/>
      </c>
      <c r="X205" s="66">
        <f>IF('Smart Search'!C13=1,IFERROR(1/'Smart Search'!H13,0),0)</f>
        <v/>
      </c>
      <c r="Y205" s="66">
        <f>IF('Smart Search'!C13=1,IFERROR(1/'Smart Search'!H13,0),0)</f>
        <v/>
      </c>
      <c r="Z205" s="66">
        <f>IF('Smart Search'!D13=1,IFERROR(1/'Smart Search'!H13,0),0)</f>
        <v/>
      </c>
      <c r="AA205" s="66">
        <f>IF('Smart Search'!D13=1,IFERROR(1/'Smart Search'!H13,0),0)</f>
        <v/>
      </c>
      <c r="AB205" s="66">
        <f>IF('Smart Search'!E13=1,IFERROR(1/'Smart Search'!H13,0),0)</f>
        <v/>
      </c>
      <c r="AC205" s="66">
        <f>IF('Smart Search'!E13=1,IFERROR(1/'Smart Search'!H13,0),0)</f>
        <v/>
      </c>
      <c r="AD205" s="66">
        <f>IF('Smart Search'!F13=1,IFERROR(1/'Smart Search'!H13,0),0)</f>
        <v/>
      </c>
      <c r="AE205" s="66">
        <f>IF('Smart Search'!F13=1,IFERROR(1/'Smart Search'!H13,0),0)</f>
        <v/>
      </c>
      <c r="AF205" s="66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66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66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66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66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66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66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66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66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66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66">
        <f>AF205*V205</f>
        <v/>
      </c>
      <c r="AQ205" s="66">
        <f>AG205*W205</f>
        <v/>
      </c>
      <c r="AR205" s="66">
        <f>AH205*X205</f>
        <v/>
      </c>
      <c r="AS205" s="66">
        <f>AI205*Y205</f>
        <v/>
      </c>
      <c r="AT205" s="66">
        <f>AJ205*Z205</f>
        <v/>
      </c>
      <c r="AU205" s="66">
        <f>AK205*AA205</f>
        <v/>
      </c>
      <c r="AV205" s="66">
        <f>AL205*AB205</f>
        <v/>
      </c>
      <c r="AW205" s="66">
        <f>AM205*AC205</f>
        <v/>
      </c>
      <c r="AX205" s="66">
        <f>AN205*AD205</f>
        <v/>
      </c>
      <c r="AY205" s="66">
        <f>AO205*AE205</f>
        <v/>
      </c>
      <c r="AZ205" s="66">
        <f>INDEX(Projects[Automation Equipment],204)&amp;""</f>
        <v/>
      </c>
      <c r="BA205" s="66">
        <f>IF(OR(A205="",'Smart Search'!H13=0),"",MAX(0,BE205*BF205*MAX(0,1-BG205)))</f>
        <v/>
      </c>
      <c r="BB205" s="66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66">
        <f>IF('Smart Search'!G13=1,IFERROR(1/'Smart Search'!H13,0),0)</f>
        <v/>
      </c>
      <c r="BD205" s="66">
        <f>BB205*BC205</f>
        <v/>
      </c>
      <c r="BE205" s="66">
        <f>AP205+AQ205+AR205+AS205+AT205+AU205+AV205+AW205+AX205+AY205+BD205</f>
        <v/>
      </c>
      <c r="BF205" s="5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5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5">
        <f>IF(AND(A205&lt;&gt;"",OR('Smart Search'!$L$5="",'Smart Search'!$L$5="All",TRIM(BZ205)=TRIM('Smart Search'!$L$5)),OR(TRIM('Smart Search'!$L$6)="",TRIM('Smart Search'!$L$6)="All",ISNUMBER(SEARCH(SUBSTITUTE(SUBSTITUTE(SUBSTITUTE(TRIM('Smart Search'!$L$6),"~","~~"),"*","~*"),"?","~?"),CA205))),OR('Smart Search'!$L$7="",AND(CB205&lt;&gt;0,CB205='Smart Search'!$L$7)),OR('Smart Search'!$L$8="",'Smart Search'!$L$8="All",TRIM(CC205)=TRIM('Smart Search'!$L$8))),IF(BA205="","",BA205+ROW()*0.0000000001),"")</f>
        <v/>
      </c>
      <c r="BI205" s="5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5">
        <f>IF(A205="","",N(INDEX(Projects[Mech Inst],204)))</f>
        <v/>
      </c>
      <c r="BK205" s="5">
        <f>IF(A205="","",N(INDEX(Projects[Elec Inst],204)))</f>
        <v/>
      </c>
      <c r="BL205" s="5">
        <f>IF(A205="","",N(INDEX(Projects[Project Management],204)))</f>
        <v/>
      </c>
      <c r="BM205" s="5">
        <f>IF(A205="","",N(INDEX(Projects[Systems Eng],204)))</f>
        <v/>
      </c>
      <c r="BN205" s="5">
        <f>IF(A205="","",N(INDEX(Projects[Mechanical Eng],204)))</f>
        <v/>
      </c>
      <c r="BO205" s="5">
        <f>IF(A205="","",N(INDEX(Projects[Structural Engineering],204)))</f>
        <v/>
      </c>
      <c r="BP205" s="5">
        <f>IF(A205="","",N(INDEX(Projects[Site Sup],204)))</f>
        <v/>
      </c>
      <c r="BQ205" s="5">
        <f>IF(A205="","",N(INDEX(Projects[Controls Commissioning],204)))</f>
        <v/>
      </c>
      <c r="BR205" s="5">
        <f>IF(A205="","",N(INDEX(Projects[Systems Commissioning],204)))</f>
        <v/>
      </c>
      <c r="BS205" s="5">
        <f>IF(A205="","",N(INDEX(Projects[Service Commissioning],204)))</f>
        <v/>
      </c>
      <c r="BT205" s="5">
        <f>IF(A205="","",N(INDEX(Projects[Controls Eng],204)))</f>
        <v/>
      </c>
      <c r="BU205" s="5">
        <f>IF(A205="","",N(INDEX(Projects[Controls Purchase],204)))</f>
        <v/>
      </c>
      <c r="BV205" s="5">
        <f>IF(A205="","",N(INDEX(Projects[Software Eng],204)))</f>
        <v/>
      </c>
      <c r="BW205" s="5">
        <f>IF(A205="","",N(INDEX(Projects[Misc],204)))</f>
        <v/>
      </c>
      <c r="BX205" s="5">
        <f>IF(A205="","",SUM(BJ205:BW205))</f>
        <v/>
      </c>
      <c r="BY205" s="5">
        <f>IF(A205="","",IFERROR(IF(ISNUMBER(U205),U205,VALUE(SUBSTITUTE(SUBSTITUTE(SUBSTITUTE(UPPER(TRIM(U205)),"M",""),",","")," ",""))),0))</f>
        <v/>
      </c>
      <c r="BZ205" s="5">
        <f>INDEX(Projects[Solution Type],204)&amp;""</f>
        <v/>
      </c>
      <c r="CA205" s="5">
        <f>INDEX(Projects[Client / Region],204)&amp;""</f>
        <v/>
      </c>
      <c r="CB205" s="5">
        <f>INDEX(Projects[Year],204)</f>
        <v/>
      </c>
      <c r="CC205" s="5">
        <f>INDEX(Projects[Won?],204)&amp;""</f>
        <v/>
      </c>
      <c r="CD205" s="5">
        <f>INDEX(Projects[Value (USD M)],204)</f>
        <v/>
      </c>
    </row>
    <row r="206" ht="15" customHeight="1" s="74">
      <c r="A206" s="66">
        <f>INDEX(Projects[Project ID *],205)&amp;""</f>
        <v/>
      </c>
      <c r="B206" s="66">
        <f>INDEX(Projects[Project Name *],205)&amp;""</f>
        <v/>
      </c>
      <c r="C206" s="66">
        <f>INDEX(Projects[MS Shuttles],205)</f>
        <v/>
      </c>
      <c r="D206" s="66">
        <f>INDEX(Projects[MS Tote Locations],205)</f>
        <v/>
      </c>
      <c r="E206" s="66">
        <f>INDEX(Projects[AS Robots],205)</f>
        <v/>
      </c>
      <c r="F206" s="66">
        <f>INDEX(Projects[AS Tote Locations],205)</f>
        <v/>
      </c>
      <c r="G206" s="66">
        <f>INDEX(Projects[PS Shuttles],205)</f>
        <v/>
      </c>
      <c r="H206" s="66">
        <f>INDEX(Projects[PS Pallet Locations],205)</f>
        <v/>
      </c>
      <c r="I206" s="66">
        <f>INDEX(Projects[SRM Cranes],205)</f>
        <v/>
      </c>
      <c r="J206" s="66">
        <f>INDEX(Projects[SRM Pallet Locations],205)</f>
        <v/>
      </c>
      <c r="K206" s="66">
        <f>INDEX(Projects[Case Conv (m)],205)</f>
        <v/>
      </c>
      <c r="L206" s="66">
        <f>INDEX(Projects[Pallet Conv (m)],205)</f>
        <v/>
      </c>
      <c r="M206" s="66">
        <f>INDEX(Projects[Mech Eng (wks)],205)</f>
        <v/>
      </c>
      <c r="N206" s="66">
        <f>INDEX(Projects[Controls Eng (wks)],205)</f>
        <v/>
      </c>
      <c r="O206" s="66">
        <f>INDEX(Projects[Systems Eng (wks)],205)</f>
        <v/>
      </c>
      <c r="P206" s="66">
        <f>INDEX(Projects[Software Eng (wks)],205)</f>
        <v/>
      </c>
      <c r="Q206" s="66">
        <f>INDEX(Projects[M&amp;E Installation (wks)],205)</f>
        <v/>
      </c>
      <c r="R206" s="66">
        <f>INDEX(Projects[Commissioning (wks)],205)</f>
        <v/>
      </c>
      <c r="S206" s="66">
        <f>INDEX(Projects[Total Timeline (wks)],205)</f>
        <v/>
      </c>
      <c r="T206" s="66">
        <f>INDEX(Projects[Currency],205)&amp;""</f>
        <v/>
      </c>
      <c r="U206" s="67">
        <f>INDEX(Projects[Value (M)],205)</f>
        <v/>
      </c>
      <c r="V206" s="66">
        <f>IF('Smart Search'!B13=1,IFERROR(1/'Smart Search'!H13,0),0)</f>
        <v/>
      </c>
      <c r="W206" s="66">
        <f>IF('Smart Search'!B13=1,IFERROR(1/'Smart Search'!H13,0),0)</f>
        <v/>
      </c>
      <c r="X206" s="66">
        <f>IF('Smart Search'!C13=1,IFERROR(1/'Smart Search'!H13,0),0)</f>
        <v/>
      </c>
      <c r="Y206" s="66">
        <f>IF('Smart Search'!C13=1,IFERROR(1/'Smart Search'!H13,0),0)</f>
        <v/>
      </c>
      <c r="Z206" s="66">
        <f>IF('Smart Search'!D13=1,IFERROR(1/'Smart Search'!H13,0),0)</f>
        <v/>
      </c>
      <c r="AA206" s="66">
        <f>IF('Smart Search'!D13=1,IFERROR(1/'Smart Search'!H13,0),0)</f>
        <v/>
      </c>
      <c r="AB206" s="66">
        <f>IF('Smart Search'!E13=1,IFERROR(1/'Smart Search'!H13,0),0)</f>
        <v/>
      </c>
      <c r="AC206" s="66">
        <f>IF('Smart Search'!E13=1,IFERROR(1/'Smart Search'!H13,0),0)</f>
        <v/>
      </c>
      <c r="AD206" s="66">
        <f>IF('Smart Search'!F13=1,IFERROR(1/'Smart Search'!H13,0),0)</f>
        <v/>
      </c>
      <c r="AE206" s="66">
        <f>IF('Smart Search'!F13=1,IFERROR(1/'Smart Search'!H13,0),0)</f>
        <v/>
      </c>
      <c r="AF206" s="66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66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66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66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66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66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66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66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66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66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66">
        <f>AF206*V206</f>
        <v/>
      </c>
      <c r="AQ206" s="66">
        <f>AG206*W206</f>
        <v/>
      </c>
      <c r="AR206" s="66">
        <f>AH206*X206</f>
        <v/>
      </c>
      <c r="AS206" s="66">
        <f>AI206*Y206</f>
        <v/>
      </c>
      <c r="AT206" s="66">
        <f>AJ206*Z206</f>
        <v/>
      </c>
      <c r="AU206" s="66">
        <f>AK206*AA206</f>
        <v/>
      </c>
      <c r="AV206" s="66">
        <f>AL206*AB206</f>
        <v/>
      </c>
      <c r="AW206" s="66">
        <f>AM206*AC206</f>
        <v/>
      </c>
      <c r="AX206" s="66">
        <f>AN206*AD206</f>
        <v/>
      </c>
      <c r="AY206" s="66">
        <f>AO206*AE206</f>
        <v/>
      </c>
      <c r="AZ206" s="66">
        <f>INDEX(Projects[Automation Equipment],205)&amp;""</f>
        <v/>
      </c>
      <c r="BA206" s="66">
        <f>IF(OR(A206="",'Smart Search'!H13=0),"",MAX(0,BE206*BF206*MAX(0,1-BG206)))</f>
        <v/>
      </c>
      <c r="BB206" s="66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66">
        <f>IF('Smart Search'!G13=1,IFERROR(1/'Smart Search'!H13,0),0)</f>
        <v/>
      </c>
      <c r="BD206" s="66">
        <f>BB206*BC206</f>
        <v/>
      </c>
      <c r="BE206" s="66">
        <f>AP206+AQ206+AR206+AS206+AT206+AU206+AV206+AW206+AX206+AY206+BD206</f>
        <v/>
      </c>
      <c r="BF206" s="5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5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5">
        <f>IF(AND(A206&lt;&gt;"",OR('Smart Search'!$L$5="",'Smart Search'!$L$5="All",TRIM(BZ206)=TRIM('Smart Search'!$L$5)),OR(TRIM('Smart Search'!$L$6)="",TRIM('Smart Search'!$L$6)="All",ISNUMBER(SEARCH(SUBSTITUTE(SUBSTITUTE(SUBSTITUTE(TRIM('Smart Search'!$L$6),"~","~~"),"*","~*"),"?","~?"),CA206))),OR('Smart Search'!$L$7="",AND(CB206&lt;&gt;0,CB206='Smart Search'!$L$7)),OR('Smart Search'!$L$8="",'Smart Search'!$L$8="All",TRIM(CC206)=TRIM('Smart Search'!$L$8))),IF(BA206="","",BA206+ROW()*0.0000000001),"")</f>
        <v/>
      </c>
      <c r="BI206" s="5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5">
        <f>IF(A206="","",N(INDEX(Projects[Mech Inst],205)))</f>
        <v/>
      </c>
      <c r="BK206" s="5">
        <f>IF(A206="","",N(INDEX(Projects[Elec Inst],205)))</f>
        <v/>
      </c>
      <c r="BL206" s="5">
        <f>IF(A206="","",N(INDEX(Projects[Project Management],205)))</f>
        <v/>
      </c>
      <c r="BM206" s="5">
        <f>IF(A206="","",N(INDEX(Projects[Systems Eng],205)))</f>
        <v/>
      </c>
      <c r="BN206" s="5">
        <f>IF(A206="","",N(INDEX(Projects[Mechanical Eng],205)))</f>
        <v/>
      </c>
      <c r="BO206" s="5">
        <f>IF(A206="","",N(INDEX(Projects[Structural Engineering],205)))</f>
        <v/>
      </c>
      <c r="BP206" s="5">
        <f>IF(A206="","",N(INDEX(Projects[Site Sup],205)))</f>
        <v/>
      </c>
      <c r="BQ206" s="5">
        <f>IF(A206="","",N(INDEX(Projects[Controls Commissioning],205)))</f>
        <v/>
      </c>
      <c r="BR206" s="5">
        <f>IF(A206="","",N(INDEX(Projects[Systems Commissioning],205)))</f>
        <v/>
      </c>
      <c r="BS206" s="5">
        <f>IF(A206="","",N(INDEX(Projects[Service Commissioning],205)))</f>
        <v/>
      </c>
      <c r="BT206" s="5">
        <f>IF(A206="","",N(INDEX(Projects[Controls Eng],205)))</f>
        <v/>
      </c>
      <c r="BU206" s="5">
        <f>IF(A206="","",N(INDEX(Projects[Controls Purchase],205)))</f>
        <v/>
      </c>
      <c r="BV206" s="5">
        <f>IF(A206="","",N(INDEX(Projects[Software Eng],205)))</f>
        <v/>
      </c>
      <c r="BW206" s="5">
        <f>IF(A206="","",N(INDEX(Projects[Misc],205)))</f>
        <v/>
      </c>
      <c r="BX206" s="5">
        <f>IF(A206="","",SUM(BJ206:BW206))</f>
        <v/>
      </c>
      <c r="BY206" s="5">
        <f>IF(A206="","",IFERROR(IF(ISNUMBER(U206),U206,VALUE(SUBSTITUTE(SUBSTITUTE(SUBSTITUTE(UPPER(TRIM(U206)),"M",""),",","")," ",""))),0))</f>
        <v/>
      </c>
      <c r="BZ206" s="5">
        <f>INDEX(Projects[Solution Type],205)&amp;""</f>
        <v/>
      </c>
      <c r="CA206" s="5">
        <f>INDEX(Projects[Client / Region],205)&amp;""</f>
        <v/>
      </c>
      <c r="CB206" s="5">
        <f>INDEX(Projects[Year],205)</f>
        <v/>
      </c>
      <c r="CC206" s="5">
        <f>INDEX(Projects[Won?],205)&amp;""</f>
        <v/>
      </c>
      <c r="CD206" s="5">
        <f>INDEX(Projects[Value (USD M)],205)</f>
        <v/>
      </c>
    </row>
    <row r="207" ht="15" customHeight="1" s="74">
      <c r="A207" s="66">
        <f>INDEX(Projects[Project ID *],206)&amp;""</f>
        <v/>
      </c>
      <c r="B207" s="66">
        <f>INDEX(Projects[Project Name *],206)&amp;""</f>
        <v/>
      </c>
      <c r="C207" s="66">
        <f>INDEX(Projects[MS Shuttles],206)</f>
        <v/>
      </c>
      <c r="D207" s="66">
        <f>INDEX(Projects[MS Tote Locations],206)</f>
        <v/>
      </c>
      <c r="E207" s="66">
        <f>INDEX(Projects[AS Robots],206)</f>
        <v/>
      </c>
      <c r="F207" s="66">
        <f>INDEX(Projects[AS Tote Locations],206)</f>
        <v/>
      </c>
      <c r="G207" s="66">
        <f>INDEX(Projects[PS Shuttles],206)</f>
        <v/>
      </c>
      <c r="H207" s="66">
        <f>INDEX(Projects[PS Pallet Locations],206)</f>
        <v/>
      </c>
      <c r="I207" s="66">
        <f>INDEX(Projects[SRM Cranes],206)</f>
        <v/>
      </c>
      <c r="J207" s="66">
        <f>INDEX(Projects[SRM Pallet Locations],206)</f>
        <v/>
      </c>
      <c r="K207" s="66">
        <f>INDEX(Projects[Case Conv (m)],206)</f>
        <v/>
      </c>
      <c r="L207" s="66">
        <f>INDEX(Projects[Pallet Conv (m)],206)</f>
        <v/>
      </c>
      <c r="M207" s="66">
        <f>INDEX(Projects[Mech Eng (wks)],206)</f>
        <v/>
      </c>
      <c r="N207" s="66">
        <f>INDEX(Projects[Controls Eng (wks)],206)</f>
        <v/>
      </c>
      <c r="O207" s="66">
        <f>INDEX(Projects[Systems Eng (wks)],206)</f>
        <v/>
      </c>
      <c r="P207" s="66">
        <f>INDEX(Projects[Software Eng (wks)],206)</f>
        <v/>
      </c>
      <c r="Q207" s="66">
        <f>INDEX(Projects[M&amp;E Installation (wks)],206)</f>
        <v/>
      </c>
      <c r="R207" s="66">
        <f>INDEX(Projects[Commissioning (wks)],206)</f>
        <v/>
      </c>
      <c r="S207" s="66">
        <f>INDEX(Projects[Total Timeline (wks)],206)</f>
        <v/>
      </c>
      <c r="T207" s="66">
        <f>INDEX(Projects[Currency],206)&amp;""</f>
        <v/>
      </c>
      <c r="U207" s="67">
        <f>INDEX(Projects[Value (M)],206)</f>
        <v/>
      </c>
      <c r="V207" s="66">
        <f>IF('Smart Search'!B13=1,IFERROR(1/'Smart Search'!H13,0),0)</f>
        <v/>
      </c>
      <c r="W207" s="66">
        <f>IF('Smart Search'!B13=1,IFERROR(1/'Smart Search'!H13,0),0)</f>
        <v/>
      </c>
      <c r="X207" s="66">
        <f>IF('Smart Search'!C13=1,IFERROR(1/'Smart Search'!H13,0),0)</f>
        <v/>
      </c>
      <c r="Y207" s="66">
        <f>IF('Smart Search'!C13=1,IFERROR(1/'Smart Search'!H13,0),0)</f>
        <v/>
      </c>
      <c r="Z207" s="66">
        <f>IF('Smart Search'!D13=1,IFERROR(1/'Smart Search'!H13,0),0)</f>
        <v/>
      </c>
      <c r="AA207" s="66">
        <f>IF('Smart Search'!D13=1,IFERROR(1/'Smart Search'!H13,0),0)</f>
        <v/>
      </c>
      <c r="AB207" s="66">
        <f>IF('Smart Search'!E13=1,IFERROR(1/'Smart Search'!H13,0),0)</f>
        <v/>
      </c>
      <c r="AC207" s="66">
        <f>IF('Smart Search'!E13=1,IFERROR(1/'Smart Search'!H13,0),0)</f>
        <v/>
      </c>
      <c r="AD207" s="66">
        <f>IF('Smart Search'!F13=1,IFERROR(1/'Smart Search'!H13,0),0)</f>
        <v/>
      </c>
      <c r="AE207" s="66">
        <f>IF('Smart Search'!F13=1,IFERROR(1/'Smart Search'!H13,0),0)</f>
        <v/>
      </c>
      <c r="AF207" s="66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66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66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66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66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66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66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66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66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66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66">
        <f>AF207*V207</f>
        <v/>
      </c>
      <c r="AQ207" s="66">
        <f>AG207*W207</f>
        <v/>
      </c>
      <c r="AR207" s="66">
        <f>AH207*X207</f>
        <v/>
      </c>
      <c r="AS207" s="66">
        <f>AI207*Y207</f>
        <v/>
      </c>
      <c r="AT207" s="66">
        <f>AJ207*Z207</f>
        <v/>
      </c>
      <c r="AU207" s="66">
        <f>AK207*AA207</f>
        <v/>
      </c>
      <c r="AV207" s="66">
        <f>AL207*AB207</f>
        <v/>
      </c>
      <c r="AW207" s="66">
        <f>AM207*AC207</f>
        <v/>
      </c>
      <c r="AX207" s="66">
        <f>AN207*AD207</f>
        <v/>
      </c>
      <c r="AY207" s="66">
        <f>AO207*AE207</f>
        <v/>
      </c>
      <c r="AZ207" s="66">
        <f>INDEX(Projects[Automation Equipment],206)&amp;""</f>
        <v/>
      </c>
      <c r="BA207" s="66">
        <f>IF(OR(A207="",'Smart Search'!H13=0),"",MAX(0,BE207*BF207*MAX(0,1-BG207)))</f>
        <v/>
      </c>
      <c r="BB207" s="66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66">
        <f>IF('Smart Search'!G13=1,IFERROR(1/'Smart Search'!H13,0),0)</f>
        <v/>
      </c>
      <c r="BD207" s="66">
        <f>BB207*BC207</f>
        <v/>
      </c>
      <c r="BE207" s="66">
        <f>AP207+AQ207+AR207+AS207+AT207+AU207+AV207+AW207+AX207+AY207+BD207</f>
        <v/>
      </c>
      <c r="BF207" s="5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5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5">
        <f>IF(AND(A207&lt;&gt;"",OR('Smart Search'!$L$5="",'Smart Search'!$L$5="All",TRIM(BZ207)=TRIM('Smart Search'!$L$5)),OR(TRIM('Smart Search'!$L$6)="",TRIM('Smart Search'!$L$6)="All",ISNUMBER(SEARCH(SUBSTITUTE(SUBSTITUTE(SUBSTITUTE(TRIM('Smart Search'!$L$6),"~","~~"),"*","~*"),"?","~?"),CA207))),OR('Smart Search'!$L$7="",AND(CB207&lt;&gt;0,CB207='Smart Search'!$L$7)),OR('Smart Search'!$L$8="",'Smart Search'!$L$8="All",TRIM(CC207)=TRIM('Smart Search'!$L$8))),IF(BA207="","",BA207+ROW()*0.0000000001),"")</f>
        <v/>
      </c>
      <c r="BI207" s="5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5">
        <f>IF(A207="","",N(INDEX(Projects[Mech Inst],206)))</f>
        <v/>
      </c>
      <c r="BK207" s="5">
        <f>IF(A207="","",N(INDEX(Projects[Elec Inst],206)))</f>
        <v/>
      </c>
      <c r="BL207" s="5">
        <f>IF(A207="","",N(INDEX(Projects[Project Management],206)))</f>
        <v/>
      </c>
      <c r="BM207" s="5">
        <f>IF(A207="","",N(INDEX(Projects[Systems Eng],206)))</f>
        <v/>
      </c>
      <c r="BN207" s="5">
        <f>IF(A207="","",N(INDEX(Projects[Mechanical Eng],206)))</f>
        <v/>
      </c>
      <c r="BO207" s="5">
        <f>IF(A207="","",N(INDEX(Projects[Structural Engineering],206)))</f>
        <v/>
      </c>
      <c r="BP207" s="5">
        <f>IF(A207="","",N(INDEX(Projects[Site Sup],206)))</f>
        <v/>
      </c>
      <c r="BQ207" s="5">
        <f>IF(A207="","",N(INDEX(Projects[Controls Commissioning],206)))</f>
        <v/>
      </c>
      <c r="BR207" s="5">
        <f>IF(A207="","",N(INDEX(Projects[Systems Commissioning],206)))</f>
        <v/>
      </c>
      <c r="BS207" s="5">
        <f>IF(A207="","",N(INDEX(Projects[Service Commissioning],206)))</f>
        <v/>
      </c>
      <c r="BT207" s="5">
        <f>IF(A207="","",N(INDEX(Projects[Controls Eng],206)))</f>
        <v/>
      </c>
      <c r="BU207" s="5">
        <f>IF(A207="","",N(INDEX(Projects[Controls Purchase],206)))</f>
        <v/>
      </c>
      <c r="BV207" s="5">
        <f>IF(A207="","",N(INDEX(Projects[Software Eng],206)))</f>
        <v/>
      </c>
      <c r="BW207" s="5">
        <f>IF(A207="","",N(INDEX(Projects[Misc],206)))</f>
        <v/>
      </c>
      <c r="BX207" s="5">
        <f>IF(A207="","",SUM(BJ207:BW207))</f>
        <v/>
      </c>
      <c r="BY207" s="5">
        <f>IF(A207="","",IFERROR(IF(ISNUMBER(U207),U207,VALUE(SUBSTITUTE(SUBSTITUTE(SUBSTITUTE(UPPER(TRIM(U207)),"M",""),",","")," ",""))),0))</f>
        <v/>
      </c>
      <c r="BZ207" s="5">
        <f>INDEX(Projects[Solution Type],206)&amp;""</f>
        <v/>
      </c>
      <c r="CA207" s="5">
        <f>INDEX(Projects[Client / Region],206)&amp;""</f>
        <v/>
      </c>
      <c r="CB207" s="5">
        <f>INDEX(Projects[Year],206)</f>
        <v/>
      </c>
      <c r="CC207" s="5">
        <f>INDEX(Projects[Won?],206)&amp;""</f>
        <v/>
      </c>
      <c r="CD207" s="5">
        <f>INDEX(Projects[Value (USD M)],206)</f>
        <v/>
      </c>
    </row>
    <row r="208" ht="15" customHeight="1" s="74">
      <c r="A208" s="66">
        <f>INDEX(Projects[Project ID *],207)&amp;""</f>
        <v/>
      </c>
      <c r="B208" s="66">
        <f>INDEX(Projects[Project Name *],207)&amp;""</f>
        <v/>
      </c>
      <c r="C208" s="66">
        <f>INDEX(Projects[MS Shuttles],207)</f>
        <v/>
      </c>
      <c r="D208" s="66">
        <f>INDEX(Projects[MS Tote Locations],207)</f>
        <v/>
      </c>
      <c r="E208" s="66">
        <f>INDEX(Projects[AS Robots],207)</f>
        <v/>
      </c>
      <c r="F208" s="66">
        <f>INDEX(Projects[AS Tote Locations],207)</f>
        <v/>
      </c>
      <c r="G208" s="66">
        <f>INDEX(Projects[PS Shuttles],207)</f>
        <v/>
      </c>
      <c r="H208" s="66">
        <f>INDEX(Projects[PS Pallet Locations],207)</f>
        <v/>
      </c>
      <c r="I208" s="66">
        <f>INDEX(Projects[SRM Cranes],207)</f>
        <v/>
      </c>
      <c r="J208" s="66">
        <f>INDEX(Projects[SRM Pallet Locations],207)</f>
        <v/>
      </c>
      <c r="K208" s="66">
        <f>INDEX(Projects[Case Conv (m)],207)</f>
        <v/>
      </c>
      <c r="L208" s="66">
        <f>INDEX(Projects[Pallet Conv (m)],207)</f>
        <v/>
      </c>
      <c r="M208" s="66">
        <f>INDEX(Projects[Mech Eng (wks)],207)</f>
        <v/>
      </c>
      <c r="N208" s="66">
        <f>INDEX(Projects[Controls Eng (wks)],207)</f>
        <v/>
      </c>
      <c r="O208" s="66">
        <f>INDEX(Projects[Systems Eng (wks)],207)</f>
        <v/>
      </c>
      <c r="P208" s="66">
        <f>INDEX(Projects[Software Eng (wks)],207)</f>
        <v/>
      </c>
      <c r="Q208" s="66">
        <f>INDEX(Projects[M&amp;E Installation (wks)],207)</f>
        <v/>
      </c>
      <c r="R208" s="66">
        <f>INDEX(Projects[Commissioning (wks)],207)</f>
        <v/>
      </c>
      <c r="S208" s="66">
        <f>INDEX(Projects[Total Timeline (wks)],207)</f>
        <v/>
      </c>
      <c r="T208" s="66">
        <f>INDEX(Projects[Currency],207)&amp;""</f>
        <v/>
      </c>
      <c r="U208" s="67">
        <f>INDEX(Projects[Value (M)],207)</f>
        <v/>
      </c>
      <c r="V208" s="66">
        <f>IF('Smart Search'!B13=1,IFERROR(1/'Smart Search'!H13,0),0)</f>
        <v/>
      </c>
      <c r="W208" s="66">
        <f>IF('Smart Search'!B13=1,IFERROR(1/'Smart Search'!H13,0),0)</f>
        <v/>
      </c>
      <c r="X208" s="66">
        <f>IF('Smart Search'!C13=1,IFERROR(1/'Smart Search'!H13,0),0)</f>
        <v/>
      </c>
      <c r="Y208" s="66">
        <f>IF('Smart Search'!C13=1,IFERROR(1/'Smart Search'!H13,0),0)</f>
        <v/>
      </c>
      <c r="Z208" s="66">
        <f>IF('Smart Search'!D13=1,IFERROR(1/'Smart Search'!H13,0),0)</f>
        <v/>
      </c>
      <c r="AA208" s="66">
        <f>IF('Smart Search'!D13=1,IFERROR(1/'Smart Search'!H13,0),0)</f>
        <v/>
      </c>
      <c r="AB208" s="66">
        <f>IF('Smart Search'!E13=1,IFERROR(1/'Smart Search'!H13,0),0)</f>
        <v/>
      </c>
      <c r="AC208" s="66">
        <f>IF('Smart Search'!E13=1,IFERROR(1/'Smart Search'!H13,0),0)</f>
        <v/>
      </c>
      <c r="AD208" s="66">
        <f>IF('Smart Search'!F13=1,IFERROR(1/'Smart Search'!H13,0),0)</f>
        <v/>
      </c>
      <c r="AE208" s="66">
        <f>IF('Smart Search'!F13=1,IFERROR(1/'Smart Search'!H13,0),0)</f>
        <v/>
      </c>
      <c r="AF208" s="66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66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66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66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66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66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66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66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66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66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66">
        <f>AF208*V208</f>
        <v/>
      </c>
      <c r="AQ208" s="66">
        <f>AG208*W208</f>
        <v/>
      </c>
      <c r="AR208" s="66">
        <f>AH208*X208</f>
        <v/>
      </c>
      <c r="AS208" s="66">
        <f>AI208*Y208</f>
        <v/>
      </c>
      <c r="AT208" s="66">
        <f>AJ208*Z208</f>
        <v/>
      </c>
      <c r="AU208" s="66">
        <f>AK208*AA208</f>
        <v/>
      </c>
      <c r="AV208" s="66">
        <f>AL208*AB208</f>
        <v/>
      </c>
      <c r="AW208" s="66">
        <f>AM208*AC208</f>
        <v/>
      </c>
      <c r="AX208" s="66">
        <f>AN208*AD208</f>
        <v/>
      </c>
      <c r="AY208" s="66">
        <f>AO208*AE208</f>
        <v/>
      </c>
      <c r="AZ208" s="66">
        <f>INDEX(Projects[Automation Equipment],207)&amp;""</f>
        <v/>
      </c>
      <c r="BA208" s="66">
        <f>IF(OR(A208="",'Smart Search'!H13=0),"",MAX(0,BE208*BF208*MAX(0,1-BG208)))</f>
        <v/>
      </c>
      <c r="BB208" s="66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66">
        <f>IF('Smart Search'!G13=1,IFERROR(1/'Smart Search'!H13,0),0)</f>
        <v/>
      </c>
      <c r="BD208" s="66">
        <f>BB208*BC208</f>
        <v/>
      </c>
      <c r="BE208" s="66">
        <f>AP208+AQ208+AR208+AS208+AT208+AU208+AV208+AW208+AX208+AY208+BD208</f>
        <v/>
      </c>
      <c r="BF208" s="5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5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5">
        <f>IF(AND(A208&lt;&gt;"",OR('Smart Search'!$L$5="",'Smart Search'!$L$5="All",TRIM(BZ208)=TRIM('Smart Search'!$L$5)),OR(TRIM('Smart Search'!$L$6)="",TRIM('Smart Search'!$L$6)="All",ISNUMBER(SEARCH(SUBSTITUTE(SUBSTITUTE(SUBSTITUTE(TRIM('Smart Search'!$L$6),"~","~~"),"*","~*"),"?","~?"),CA208))),OR('Smart Search'!$L$7="",AND(CB208&lt;&gt;0,CB208='Smart Search'!$L$7)),OR('Smart Search'!$L$8="",'Smart Search'!$L$8="All",TRIM(CC208)=TRIM('Smart Search'!$L$8))),IF(BA208="","",BA208+ROW()*0.0000000001),"")</f>
        <v/>
      </c>
      <c r="BI208" s="5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5">
        <f>IF(A208="","",N(INDEX(Projects[Mech Inst],207)))</f>
        <v/>
      </c>
      <c r="BK208" s="5">
        <f>IF(A208="","",N(INDEX(Projects[Elec Inst],207)))</f>
        <v/>
      </c>
      <c r="BL208" s="5">
        <f>IF(A208="","",N(INDEX(Projects[Project Management],207)))</f>
        <v/>
      </c>
      <c r="BM208" s="5">
        <f>IF(A208="","",N(INDEX(Projects[Systems Eng],207)))</f>
        <v/>
      </c>
      <c r="BN208" s="5">
        <f>IF(A208="","",N(INDEX(Projects[Mechanical Eng],207)))</f>
        <v/>
      </c>
      <c r="BO208" s="5">
        <f>IF(A208="","",N(INDEX(Projects[Structural Engineering],207)))</f>
        <v/>
      </c>
      <c r="BP208" s="5">
        <f>IF(A208="","",N(INDEX(Projects[Site Sup],207)))</f>
        <v/>
      </c>
      <c r="BQ208" s="5">
        <f>IF(A208="","",N(INDEX(Projects[Controls Commissioning],207)))</f>
        <v/>
      </c>
      <c r="BR208" s="5">
        <f>IF(A208="","",N(INDEX(Projects[Systems Commissioning],207)))</f>
        <v/>
      </c>
      <c r="BS208" s="5">
        <f>IF(A208="","",N(INDEX(Projects[Service Commissioning],207)))</f>
        <v/>
      </c>
      <c r="BT208" s="5">
        <f>IF(A208="","",N(INDEX(Projects[Controls Eng],207)))</f>
        <v/>
      </c>
      <c r="BU208" s="5">
        <f>IF(A208="","",N(INDEX(Projects[Controls Purchase],207)))</f>
        <v/>
      </c>
      <c r="BV208" s="5">
        <f>IF(A208="","",N(INDEX(Projects[Software Eng],207)))</f>
        <v/>
      </c>
      <c r="BW208" s="5">
        <f>IF(A208="","",N(INDEX(Projects[Misc],207)))</f>
        <v/>
      </c>
      <c r="BX208" s="5">
        <f>IF(A208="","",SUM(BJ208:BW208))</f>
        <v/>
      </c>
      <c r="BY208" s="5">
        <f>IF(A208="","",IFERROR(IF(ISNUMBER(U208),U208,VALUE(SUBSTITUTE(SUBSTITUTE(SUBSTITUTE(UPPER(TRIM(U208)),"M",""),",","")," ",""))),0))</f>
        <v/>
      </c>
      <c r="BZ208" s="5">
        <f>INDEX(Projects[Solution Type],207)&amp;""</f>
        <v/>
      </c>
      <c r="CA208" s="5">
        <f>INDEX(Projects[Client / Region],207)&amp;""</f>
        <v/>
      </c>
      <c r="CB208" s="5">
        <f>INDEX(Projects[Year],207)</f>
        <v/>
      </c>
      <c r="CC208" s="5">
        <f>INDEX(Projects[Won?],207)&amp;""</f>
        <v/>
      </c>
      <c r="CD208" s="5">
        <f>INDEX(Projects[Value (USD M)],207)</f>
        <v/>
      </c>
    </row>
    <row r="209" ht="15" customHeight="1" s="74">
      <c r="A209" s="66">
        <f>INDEX(Projects[Project ID *],208)&amp;""</f>
        <v/>
      </c>
      <c r="B209" s="66">
        <f>INDEX(Projects[Project Name *],208)&amp;""</f>
        <v/>
      </c>
      <c r="C209" s="66">
        <f>INDEX(Projects[MS Shuttles],208)</f>
        <v/>
      </c>
      <c r="D209" s="66">
        <f>INDEX(Projects[MS Tote Locations],208)</f>
        <v/>
      </c>
      <c r="E209" s="66">
        <f>INDEX(Projects[AS Robots],208)</f>
        <v/>
      </c>
      <c r="F209" s="66">
        <f>INDEX(Projects[AS Tote Locations],208)</f>
        <v/>
      </c>
      <c r="G209" s="66">
        <f>INDEX(Projects[PS Shuttles],208)</f>
        <v/>
      </c>
      <c r="H209" s="66">
        <f>INDEX(Projects[PS Pallet Locations],208)</f>
        <v/>
      </c>
      <c r="I209" s="66">
        <f>INDEX(Projects[SRM Cranes],208)</f>
        <v/>
      </c>
      <c r="J209" s="66">
        <f>INDEX(Projects[SRM Pallet Locations],208)</f>
        <v/>
      </c>
      <c r="K209" s="66">
        <f>INDEX(Projects[Case Conv (m)],208)</f>
        <v/>
      </c>
      <c r="L209" s="66">
        <f>INDEX(Projects[Pallet Conv (m)],208)</f>
        <v/>
      </c>
      <c r="M209" s="66">
        <f>INDEX(Projects[Mech Eng (wks)],208)</f>
        <v/>
      </c>
      <c r="N209" s="66">
        <f>INDEX(Projects[Controls Eng (wks)],208)</f>
        <v/>
      </c>
      <c r="O209" s="66">
        <f>INDEX(Projects[Systems Eng (wks)],208)</f>
        <v/>
      </c>
      <c r="P209" s="66">
        <f>INDEX(Projects[Software Eng (wks)],208)</f>
        <v/>
      </c>
      <c r="Q209" s="66">
        <f>INDEX(Projects[M&amp;E Installation (wks)],208)</f>
        <v/>
      </c>
      <c r="R209" s="66">
        <f>INDEX(Projects[Commissioning (wks)],208)</f>
        <v/>
      </c>
      <c r="S209" s="66">
        <f>INDEX(Projects[Total Timeline (wks)],208)</f>
        <v/>
      </c>
      <c r="T209" s="66">
        <f>INDEX(Projects[Currency],208)&amp;""</f>
        <v/>
      </c>
      <c r="U209" s="67">
        <f>INDEX(Projects[Value (M)],208)</f>
        <v/>
      </c>
      <c r="V209" s="66">
        <f>IF('Smart Search'!B13=1,IFERROR(1/'Smart Search'!H13,0),0)</f>
        <v/>
      </c>
      <c r="W209" s="66">
        <f>IF('Smart Search'!B13=1,IFERROR(1/'Smart Search'!H13,0),0)</f>
        <v/>
      </c>
      <c r="X209" s="66">
        <f>IF('Smart Search'!C13=1,IFERROR(1/'Smart Search'!H13,0),0)</f>
        <v/>
      </c>
      <c r="Y209" s="66">
        <f>IF('Smart Search'!C13=1,IFERROR(1/'Smart Search'!H13,0),0)</f>
        <v/>
      </c>
      <c r="Z209" s="66">
        <f>IF('Smart Search'!D13=1,IFERROR(1/'Smart Search'!H13,0),0)</f>
        <v/>
      </c>
      <c r="AA209" s="66">
        <f>IF('Smart Search'!D13=1,IFERROR(1/'Smart Search'!H13,0),0)</f>
        <v/>
      </c>
      <c r="AB209" s="66">
        <f>IF('Smart Search'!E13=1,IFERROR(1/'Smart Search'!H13,0),0)</f>
        <v/>
      </c>
      <c r="AC209" s="66">
        <f>IF('Smart Search'!E13=1,IFERROR(1/'Smart Search'!H13,0),0)</f>
        <v/>
      </c>
      <c r="AD209" s="66">
        <f>IF('Smart Search'!F13=1,IFERROR(1/'Smart Search'!H13,0),0)</f>
        <v/>
      </c>
      <c r="AE209" s="66">
        <f>IF('Smart Search'!F13=1,IFERROR(1/'Smart Search'!H13,0),0)</f>
        <v/>
      </c>
      <c r="AF209" s="66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66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66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66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66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66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66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66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66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66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66">
        <f>AF209*V209</f>
        <v/>
      </c>
      <c r="AQ209" s="66">
        <f>AG209*W209</f>
        <v/>
      </c>
      <c r="AR209" s="66">
        <f>AH209*X209</f>
        <v/>
      </c>
      <c r="AS209" s="66">
        <f>AI209*Y209</f>
        <v/>
      </c>
      <c r="AT209" s="66">
        <f>AJ209*Z209</f>
        <v/>
      </c>
      <c r="AU209" s="66">
        <f>AK209*AA209</f>
        <v/>
      </c>
      <c r="AV209" s="66">
        <f>AL209*AB209</f>
        <v/>
      </c>
      <c r="AW209" s="66">
        <f>AM209*AC209</f>
        <v/>
      </c>
      <c r="AX209" s="66">
        <f>AN209*AD209</f>
        <v/>
      </c>
      <c r="AY209" s="66">
        <f>AO209*AE209</f>
        <v/>
      </c>
      <c r="AZ209" s="66">
        <f>INDEX(Projects[Automation Equipment],208)&amp;""</f>
        <v/>
      </c>
      <c r="BA209" s="66">
        <f>IF(OR(A209="",'Smart Search'!H13=0),"",MAX(0,BE209*BF209*MAX(0,1-BG209)))</f>
        <v/>
      </c>
      <c r="BB209" s="66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66">
        <f>IF('Smart Search'!G13=1,IFERROR(1/'Smart Search'!H13,0),0)</f>
        <v/>
      </c>
      <c r="BD209" s="66">
        <f>BB209*BC209</f>
        <v/>
      </c>
      <c r="BE209" s="66">
        <f>AP209+AQ209+AR209+AS209+AT209+AU209+AV209+AW209+AX209+AY209+BD209</f>
        <v/>
      </c>
      <c r="BF209" s="5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5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5">
        <f>IF(AND(A209&lt;&gt;"",OR('Smart Search'!$L$5="",'Smart Search'!$L$5="All",TRIM(BZ209)=TRIM('Smart Search'!$L$5)),OR(TRIM('Smart Search'!$L$6)="",TRIM('Smart Search'!$L$6)="All",ISNUMBER(SEARCH(SUBSTITUTE(SUBSTITUTE(SUBSTITUTE(TRIM('Smart Search'!$L$6),"~","~~"),"*","~*"),"?","~?"),CA209))),OR('Smart Search'!$L$7="",AND(CB209&lt;&gt;0,CB209='Smart Search'!$L$7)),OR('Smart Search'!$L$8="",'Smart Search'!$L$8="All",TRIM(CC209)=TRIM('Smart Search'!$L$8))),IF(BA209="","",BA209+ROW()*0.0000000001),"")</f>
        <v/>
      </c>
      <c r="BI209" s="5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5">
        <f>IF(A209="","",N(INDEX(Projects[Mech Inst],208)))</f>
        <v/>
      </c>
      <c r="BK209" s="5">
        <f>IF(A209="","",N(INDEX(Projects[Elec Inst],208)))</f>
        <v/>
      </c>
      <c r="BL209" s="5">
        <f>IF(A209="","",N(INDEX(Projects[Project Management],208)))</f>
        <v/>
      </c>
      <c r="BM209" s="5">
        <f>IF(A209="","",N(INDEX(Projects[Systems Eng],208)))</f>
        <v/>
      </c>
      <c r="BN209" s="5">
        <f>IF(A209="","",N(INDEX(Projects[Mechanical Eng],208)))</f>
        <v/>
      </c>
      <c r="BO209" s="5">
        <f>IF(A209="","",N(INDEX(Projects[Structural Engineering],208)))</f>
        <v/>
      </c>
      <c r="BP209" s="5">
        <f>IF(A209="","",N(INDEX(Projects[Site Sup],208)))</f>
        <v/>
      </c>
      <c r="BQ209" s="5">
        <f>IF(A209="","",N(INDEX(Projects[Controls Commissioning],208)))</f>
        <v/>
      </c>
      <c r="BR209" s="5">
        <f>IF(A209="","",N(INDEX(Projects[Systems Commissioning],208)))</f>
        <v/>
      </c>
      <c r="BS209" s="5">
        <f>IF(A209="","",N(INDEX(Projects[Service Commissioning],208)))</f>
        <v/>
      </c>
      <c r="BT209" s="5">
        <f>IF(A209="","",N(INDEX(Projects[Controls Eng],208)))</f>
        <v/>
      </c>
      <c r="BU209" s="5">
        <f>IF(A209="","",N(INDEX(Projects[Controls Purchase],208)))</f>
        <v/>
      </c>
      <c r="BV209" s="5">
        <f>IF(A209="","",N(INDEX(Projects[Software Eng],208)))</f>
        <v/>
      </c>
      <c r="BW209" s="5">
        <f>IF(A209="","",N(INDEX(Projects[Misc],208)))</f>
        <v/>
      </c>
      <c r="BX209" s="5">
        <f>IF(A209="","",SUM(BJ209:BW209))</f>
        <v/>
      </c>
      <c r="BY209" s="5">
        <f>IF(A209="","",IFERROR(IF(ISNUMBER(U209),U209,VALUE(SUBSTITUTE(SUBSTITUTE(SUBSTITUTE(UPPER(TRIM(U209)),"M",""),",","")," ",""))),0))</f>
        <v/>
      </c>
      <c r="BZ209" s="5">
        <f>INDEX(Projects[Solution Type],208)&amp;""</f>
        <v/>
      </c>
      <c r="CA209" s="5">
        <f>INDEX(Projects[Client / Region],208)&amp;""</f>
        <v/>
      </c>
      <c r="CB209" s="5">
        <f>INDEX(Projects[Year],208)</f>
        <v/>
      </c>
      <c r="CC209" s="5">
        <f>INDEX(Projects[Won?],208)&amp;""</f>
        <v/>
      </c>
      <c r="CD209" s="5">
        <f>INDEX(Projects[Value (USD M)],208)</f>
        <v/>
      </c>
    </row>
    <row r="210" ht="15" customHeight="1" s="74">
      <c r="A210" s="66">
        <f>INDEX(Projects[Project ID *],209)&amp;""</f>
        <v/>
      </c>
      <c r="B210" s="66">
        <f>INDEX(Projects[Project Name *],209)&amp;""</f>
        <v/>
      </c>
      <c r="C210" s="66">
        <f>INDEX(Projects[MS Shuttles],209)</f>
        <v/>
      </c>
      <c r="D210" s="66">
        <f>INDEX(Projects[MS Tote Locations],209)</f>
        <v/>
      </c>
      <c r="E210" s="66">
        <f>INDEX(Projects[AS Robots],209)</f>
        <v/>
      </c>
      <c r="F210" s="66">
        <f>INDEX(Projects[AS Tote Locations],209)</f>
        <v/>
      </c>
      <c r="G210" s="66">
        <f>INDEX(Projects[PS Shuttles],209)</f>
        <v/>
      </c>
      <c r="H210" s="66">
        <f>INDEX(Projects[PS Pallet Locations],209)</f>
        <v/>
      </c>
      <c r="I210" s="66">
        <f>INDEX(Projects[SRM Cranes],209)</f>
        <v/>
      </c>
      <c r="J210" s="66">
        <f>INDEX(Projects[SRM Pallet Locations],209)</f>
        <v/>
      </c>
      <c r="K210" s="66">
        <f>INDEX(Projects[Case Conv (m)],209)</f>
        <v/>
      </c>
      <c r="L210" s="66">
        <f>INDEX(Projects[Pallet Conv (m)],209)</f>
        <v/>
      </c>
      <c r="M210" s="66">
        <f>INDEX(Projects[Mech Eng (wks)],209)</f>
        <v/>
      </c>
      <c r="N210" s="66">
        <f>INDEX(Projects[Controls Eng (wks)],209)</f>
        <v/>
      </c>
      <c r="O210" s="66">
        <f>INDEX(Projects[Systems Eng (wks)],209)</f>
        <v/>
      </c>
      <c r="P210" s="66">
        <f>INDEX(Projects[Software Eng (wks)],209)</f>
        <v/>
      </c>
      <c r="Q210" s="66">
        <f>INDEX(Projects[M&amp;E Installation (wks)],209)</f>
        <v/>
      </c>
      <c r="R210" s="66">
        <f>INDEX(Projects[Commissioning (wks)],209)</f>
        <v/>
      </c>
      <c r="S210" s="66">
        <f>INDEX(Projects[Total Timeline (wks)],209)</f>
        <v/>
      </c>
      <c r="T210" s="66">
        <f>INDEX(Projects[Currency],209)&amp;""</f>
        <v/>
      </c>
      <c r="U210" s="67">
        <f>INDEX(Projects[Value (M)],209)</f>
        <v/>
      </c>
      <c r="V210" s="66">
        <f>IF('Smart Search'!B13=1,IFERROR(1/'Smart Search'!H13,0),0)</f>
        <v/>
      </c>
      <c r="W210" s="66">
        <f>IF('Smart Search'!B13=1,IFERROR(1/'Smart Search'!H13,0),0)</f>
        <v/>
      </c>
      <c r="X210" s="66">
        <f>IF('Smart Search'!C13=1,IFERROR(1/'Smart Search'!H13,0),0)</f>
        <v/>
      </c>
      <c r="Y210" s="66">
        <f>IF('Smart Search'!C13=1,IFERROR(1/'Smart Search'!H13,0),0)</f>
        <v/>
      </c>
      <c r="Z210" s="66">
        <f>IF('Smart Search'!D13=1,IFERROR(1/'Smart Search'!H13,0),0)</f>
        <v/>
      </c>
      <c r="AA210" s="66">
        <f>IF('Smart Search'!D13=1,IFERROR(1/'Smart Search'!H13,0),0)</f>
        <v/>
      </c>
      <c r="AB210" s="66">
        <f>IF('Smart Search'!E13=1,IFERROR(1/'Smart Search'!H13,0),0)</f>
        <v/>
      </c>
      <c r="AC210" s="66">
        <f>IF('Smart Search'!E13=1,IFERROR(1/'Smart Search'!H13,0),0)</f>
        <v/>
      </c>
      <c r="AD210" s="66">
        <f>IF('Smart Search'!F13=1,IFERROR(1/'Smart Search'!H13,0),0)</f>
        <v/>
      </c>
      <c r="AE210" s="66">
        <f>IF('Smart Search'!F13=1,IFERROR(1/'Smart Search'!H13,0),0)</f>
        <v/>
      </c>
      <c r="AF210" s="66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66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66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66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66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66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66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66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66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66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66">
        <f>AF210*V210</f>
        <v/>
      </c>
      <c r="AQ210" s="66">
        <f>AG210*W210</f>
        <v/>
      </c>
      <c r="AR210" s="66">
        <f>AH210*X210</f>
        <v/>
      </c>
      <c r="AS210" s="66">
        <f>AI210*Y210</f>
        <v/>
      </c>
      <c r="AT210" s="66">
        <f>AJ210*Z210</f>
        <v/>
      </c>
      <c r="AU210" s="66">
        <f>AK210*AA210</f>
        <v/>
      </c>
      <c r="AV210" s="66">
        <f>AL210*AB210</f>
        <v/>
      </c>
      <c r="AW210" s="66">
        <f>AM210*AC210</f>
        <v/>
      </c>
      <c r="AX210" s="66">
        <f>AN210*AD210</f>
        <v/>
      </c>
      <c r="AY210" s="66">
        <f>AO210*AE210</f>
        <v/>
      </c>
      <c r="AZ210" s="66">
        <f>INDEX(Projects[Automation Equipment],209)&amp;""</f>
        <v/>
      </c>
      <c r="BA210" s="66">
        <f>IF(OR(A210="",'Smart Search'!H13=0),"",MAX(0,BE210*BF210*MAX(0,1-BG210)))</f>
        <v/>
      </c>
      <c r="BB210" s="66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66">
        <f>IF('Smart Search'!G13=1,IFERROR(1/'Smart Search'!H13,0),0)</f>
        <v/>
      </c>
      <c r="BD210" s="66">
        <f>BB210*BC210</f>
        <v/>
      </c>
      <c r="BE210" s="66">
        <f>AP210+AQ210+AR210+AS210+AT210+AU210+AV210+AW210+AX210+AY210+BD210</f>
        <v/>
      </c>
      <c r="BF210" s="5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5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5">
        <f>IF(AND(A210&lt;&gt;"",OR('Smart Search'!$L$5="",'Smart Search'!$L$5="All",TRIM(BZ210)=TRIM('Smart Search'!$L$5)),OR(TRIM('Smart Search'!$L$6)="",TRIM('Smart Search'!$L$6)="All",ISNUMBER(SEARCH(SUBSTITUTE(SUBSTITUTE(SUBSTITUTE(TRIM('Smart Search'!$L$6),"~","~~"),"*","~*"),"?","~?"),CA210))),OR('Smart Search'!$L$7="",AND(CB210&lt;&gt;0,CB210='Smart Search'!$L$7)),OR('Smart Search'!$L$8="",'Smart Search'!$L$8="All",TRIM(CC210)=TRIM('Smart Search'!$L$8))),IF(BA210="","",BA210+ROW()*0.0000000001),"")</f>
        <v/>
      </c>
      <c r="BI210" s="5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5">
        <f>IF(A210="","",N(INDEX(Projects[Mech Inst],209)))</f>
        <v/>
      </c>
      <c r="BK210" s="5">
        <f>IF(A210="","",N(INDEX(Projects[Elec Inst],209)))</f>
        <v/>
      </c>
      <c r="BL210" s="5">
        <f>IF(A210="","",N(INDEX(Projects[Project Management],209)))</f>
        <v/>
      </c>
      <c r="BM210" s="5">
        <f>IF(A210="","",N(INDEX(Projects[Systems Eng],209)))</f>
        <v/>
      </c>
      <c r="BN210" s="5">
        <f>IF(A210="","",N(INDEX(Projects[Mechanical Eng],209)))</f>
        <v/>
      </c>
      <c r="BO210" s="5">
        <f>IF(A210="","",N(INDEX(Projects[Structural Engineering],209)))</f>
        <v/>
      </c>
      <c r="BP210" s="5">
        <f>IF(A210="","",N(INDEX(Projects[Site Sup],209)))</f>
        <v/>
      </c>
      <c r="BQ210" s="5">
        <f>IF(A210="","",N(INDEX(Projects[Controls Commissioning],209)))</f>
        <v/>
      </c>
      <c r="BR210" s="5">
        <f>IF(A210="","",N(INDEX(Projects[Systems Commissioning],209)))</f>
        <v/>
      </c>
      <c r="BS210" s="5">
        <f>IF(A210="","",N(INDEX(Projects[Service Commissioning],209)))</f>
        <v/>
      </c>
      <c r="BT210" s="5">
        <f>IF(A210="","",N(INDEX(Projects[Controls Eng],209)))</f>
        <v/>
      </c>
      <c r="BU210" s="5">
        <f>IF(A210="","",N(INDEX(Projects[Controls Purchase],209)))</f>
        <v/>
      </c>
      <c r="BV210" s="5">
        <f>IF(A210="","",N(INDEX(Projects[Software Eng],209)))</f>
        <v/>
      </c>
      <c r="BW210" s="5">
        <f>IF(A210="","",N(INDEX(Projects[Misc],209)))</f>
        <v/>
      </c>
      <c r="BX210" s="5">
        <f>IF(A210="","",SUM(BJ210:BW210))</f>
        <v/>
      </c>
      <c r="BY210" s="5">
        <f>IF(A210="","",IFERROR(IF(ISNUMBER(U210),U210,VALUE(SUBSTITUTE(SUBSTITUTE(SUBSTITUTE(UPPER(TRIM(U210)),"M",""),",","")," ",""))),0))</f>
        <v/>
      </c>
      <c r="BZ210" s="5">
        <f>INDEX(Projects[Solution Type],209)&amp;""</f>
        <v/>
      </c>
      <c r="CA210" s="5">
        <f>INDEX(Projects[Client / Region],209)&amp;""</f>
        <v/>
      </c>
      <c r="CB210" s="5">
        <f>INDEX(Projects[Year],209)</f>
        <v/>
      </c>
      <c r="CC210" s="5">
        <f>INDEX(Projects[Won?],209)&amp;""</f>
        <v/>
      </c>
      <c r="CD210" s="5">
        <f>INDEX(Projects[Value (USD M)],209)</f>
        <v/>
      </c>
    </row>
    <row r="211" ht="15" customHeight="1" s="74">
      <c r="A211" s="66">
        <f>INDEX(Projects[Project ID *],210)&amp;""</f>
        <v/>
      </c>
      <c r="B211" s="66">
        <f>INDEX(Projects[Project Name *],210)&amp;""</f>
        <v/>
      </c>
      <c r="C211" s="66">
        <f>INDEX(Projects[MS Shuttles],210)</f>
        <v/>
      </c>
      <c r="D211" s="66">
        <f>INDEX(Projects[MS Tote Locations],210)</f>
        <v/>
      </c>
      <c r="E211" s="66">
        <f>INDEX(Projects[AS Robots],210)</f>
        <v/>
      </c>
      <c r="F211" s="66">
        <f>INDEX(Projects[AS Tote Locations],210)</f>
        <v/>
      </c>
      <c r="G211" s="66">
        <f>INDEX(Projects[PS Shuttles],210)</f>
        <v/>
      </c>
      <c r="H211" s="66">
        <f>INDEX(Projects[PS Pallet Locations],210)</f>
        <v/>
      </c>
      <c r="I211" s="66">
        <f>INDEX(Projects[SRM Cranes],210)</f>
        <v/>
      </c>
      <c r="J211" s="66">
        <f>INDEX(Projects[SRM Pallet Locations],210)</f>
        <v/>
      </c>
      <c r="K211" s="66">
        <f>INDEX(Projects[Case Conv (m)],210)</f>
        <v/>
      </c>
      <c r="L211" s="66">
        <f>INDEX(Projects[Pallet Conv (m)],210)</f>
        <v/>
      </c>
      <c r="M211" s="66">
        <f>INDEX(Projects[Mech Eng (wks)],210)</f>
        <v/>
      </c>
      <c r="N211" s="66">
        <f>INDEX(Projects[Controls Eng (wks)],210)</f>
        <v/>
      </c>
      <c r="O211" s="66">
        <f>INDEX(Projects[Systems Eng (wks)],210)</f>
        <v/>
      </c>
      <c r="P211" s="66">
        <f>INDEX(Projects[Software Eng (wks)],210)</f>
        <v/>
      </c>
      <c r="Q211" s="66">
        <f>INDEX(Projects[M&amp;E Installation (wks)],210)</f>
        <v/>
      </c>
      <c r="R211" s="66">
        <f>INDEX(Projects[Commissioning (wks)],210)</f>
        <v/>
      </c>
      <c r="S211" s="66">
        <f>INDEX(Projects[Total Timeline (wks)],210)</f>
        <v/>
      </c>
      <c r="T211" s="66">
        <f>INDEX(Projects[Currency],210)&amp;""</f>
        <v/>
      </c>
      <c r="U211" s="67">
        <f>INDEX(Projects[Value (M)],210)</f>
        <v/>
      </c>
      <c r="V211" s="66">
        <f>IF('Smart Search'!B13=1,IFERROR(1/'Smart Search'!H13,0),0)</f>
        <v/>
      </c>
      <c r="W211" s="66">
        <f>IF('Smart Search'!B13=1,IFERROR(1/'Smart Search'!H13,0),0)</f>
        <v/>
      </c>
      <c r="X211" s="66">
        <f>IF('Smart Search'!C13=1,IFERROR(1/'Smart Search'!H13,0),0)</f>
        <v/>
      </c>
      <c r="Y211" s="66">
        <f>IF('Smart Search'!C13=1,IFERROR(1/'Smart Search'!H13,0),0)</f>
        <v/>
      </c>
      <c r="Z211" s="66">
        <f>IF('Smart Search'!D13=1,IFERROR(1/'Smart Search'!H13,0),0)</f>
        <v/>
      </c>
      <c r="AA211" s="66">
        <f>IF('Smart Search'!D13=1,IFERROR(1/'Smart Search'!H13,0),0)</f>
        <v/>
      </c>
      <c r="AB211" s="66">
        <f>IF('Smart Search'!E13=1,IFERROR(1/'Smart Search'!H13,0),0)</f>
        <v/>
      </c>
      <c r="AC211" s="66">
        <f>IF('Smart Search'!E13=1,IFERROR(1/'Smart Search'!H13,0),0)</f>
        <v/>
      </c>
      <c r="AD211" s="66">
        <f>IF('Smart Search'!F13=1,IFERROR(1/'Smart Search'!H13,0),0)</f>
        <v/>
      </c>
      <c r="AE211" s="66">
        <f>IF('Smart Search'!F13=1,IFERROR(1/'Smart Search'!H13,0),0)</f>
        <v/>
      </c>
      <c r="AF211" s="66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66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66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66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66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66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66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66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66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66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66">
        <f>AF211*V211</f>
        <v/>
      </c>
      <c r="AQ211" s="66">
        <f>AG211*W211</f>
        <v/>
      </c>
      <c r="AR211" s="66">
        <f>AH211*X211</f>
        <v/>
      </c>
      <c r="AS211" s="66">
        <f>AI211*Y211</f>
        <v/>
      </c>
      <c r="AT211" s="66">
        <f>AJ211*Z211</f>
        <v/>
      </c>
      <c r="AU211" s="66">
        <f>AK211*AA211</f>
        <v/>
      </c>
      <c r="AV211" s="66">
        <f>AL211*AB211</f>
        <v/>
      </c>
      <c r="AW211" s="66">
        <f>AM211*AC211</f>
        <v/>
      </c>
      <c r="AX211" s="66">
        <f>AN211*AD211</f>
        <v/>
      </c>
      <c r="AY211" s="66">
        <f>AO211*AE211</f>
        <v/>
      </c>
      <c r="AZ211" s="66">
        <f>INDEX(Projects[Automation Equipment],210)&amp;""</f>
        <v/>
      </c>
      <c r="BA211" s="66">
        <f>IF(OR(A211="",'Smart Search'!H13=0),"",MAX(0,BE211*BF211*MAX(0,1-BG211)))</f>
        <v/>
      </c>
      <c r="BB211" s="66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66">
        <f>IF('Smart Search'!G13=1,IFERROR(1/'Smart Search'!H13,0),0)</f>
        <v/>
      </c>
      <c r="BD211" s="66">
        <f>BB211*BC211</f>
        <v/>
      </c>
      <c r="BE211" s="66">
        <f>AP211+AQ211+AR211+AS211+AT211+AU211+AV211+AW211+AX211+AY211+BD211</f>
        <v/>
      </c>
      <c r="BF211" s="5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5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5">
        <f>IF(AND(A211&lt;&gt;"",OR('Smart Search'!$L$5="",'Smart Search'!$L$5="All",TRIM(BZ211)=TRIM('Smart Search'!$L$5)),OR(TRIM('Smart Search'!$L$6)="",TRIM('Smart Search'!$L$6)="All",ISNUMBER(SEARCH(SUBSTITUTE(SUBSTITUTE(SUBSTITUTE(TRIM('Smart Search'!$L$6),"~","~~"),"*","~*"),"?","~?"),CA211))),OR('Smart Search'!$L$7="",AND(CB211&lt;&gt;0,CB211='Smart Search'!$L$7)),OR('Smart Search'!$L$8="",'Smart Search'!$L$8="All",TRIM(CC211)=TRIM('Smart Search'!$L$8))),IF(BA211="","",BA211+ROW()*0.0000000001),"")</f>
        <v/>
      </c>
      <c r="BI211" s="5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5">
        <f>IF(A211="","",N(INDEX(Projects[Mech Inst],210)))</f>
        <v/>
      </c>
      <c r="BK211" s="5">
        <f>IF(A211="","",N(INDEX(Projects[Elec Inst],210)))</f>
        <v/>
      </c>
      <c r="BL211" s="5">
        <f>IF(A211="","",N(INDEX(Projects[Project Management],210)))</f>
        <v/>
      </c>
      <c r="BM211" s="5">
        <f>IF(A211="","",N(INDEX(Projects[Systems Eng],210)))</f>
        <v/>
      </c>
      <c r="BN211" s="5">
        <f>IF(A211="","",N(INDEX(Projects[Mechanical Eng],210)))</f>
        <v/>
      </c>
      <c r="BO211" s="5">
        <f>IF(A211="","",N(INDEX(Projects[Structural Engineering],210)))</f>
        <v/>
      </c>
      <c r="BP211" s="5">
        <f>IF(A211="","",N(INDEX(Projects[Site Sup],210)))</f>
        <v/>
      </c>
      <c r="BQ211" s="5">
        <f>IF(A211="","",N(INDEX(Projects[Controls Commissioning],210)))</f>
        <v/>
      </c>
      <c r="BR211" s="5">
        <f>IF(A211="","",N(INDEX(Projects[Systems Commissioning],210)))</f>
        <v/>
      </c>
      <c r="BS211" s="5">
        <f>IF(A211="","",N(INDEX(Projects[Service Commissioning],210)))</f>
        <v/>
      </c>
      <c r="BT211" s="5">
        <f>IF(A211="","",N(INDEX(Projects[Controls Eng],210)))</f>
        <v/>
      </c>
      <c r="BU211" s="5">
        <f>IF(A211="","",N(INDEX(Projects[Controls Purchase],210)))</f>
        <v/>
      </c>
      <c r="BV211" s="5">
        <f>IF(A211="","",N(INDEX(Projects[Software Eng],210)))</f>
        <v/>
      </c>
      <c r="BW211" s="5">
        <f>IF(A211="","",N(INDEX(Projects[Misc],210)))</f>
        <v/>
      </c>
      <c r="BX211" s="5">
        <f>IF(A211="","",SUM(BJ211:BW211))</f>
        <v/>
      </c>
      <c r="BY211" s="5">
        <f>IF(A211="","",IFERROR(IF(ISNUMBER(U211),U211,VALUE(SUBSTITUTE(SUBSTITUTE(SUBSTITUTE(UPPER(TRIM(U211)),"M",""),",","")," ",""))),0))</f>
        <v/>
      </c>
      <c r="BZ211" s="5">
        <f>INDEX(Projects[Solution Type],210)&amp;""</f>
        <v/>
      </c>
      <c r="CA211" s="5">
        <f>INDEX(Projects[Client / Region],210)&amp;""</f>
        <v/>
      </c>
      <c r="CB211" s="5">
        <f>INDEX(Projects[Year],210)</f>
        <v/>
      </c>
      <c r="CC211" s="5">
        <f>INDEX(Projects[Won?],210)&amp;""</f>
        <v/>
      </c>
      <c r="CD211" s="5">
        <f>INDEX(Projects[Value (USD M)],210)</f>
        <v/>
      </c>
    </row>
    <row r="212" ht="15" customHeight="1" s="74">
      <c r="A212" s="66">
        <f>INDEX(Projects[Project ID *],211)&amp;""</f>
        <v/>
      </c>
      <c r="B212" s="66">
        <f>INDEX(Projects[Project Name *],211)&amp;""</f>
        <v/>
      </c>
      <c r="C212" s="66">
        <f>INDEX(Projects[MS Shuttles],211)</f>
        <v/>
      </c>
      <c r="D212" s="66">
        <f>INDEX(Projects[MS Tote Locations],211)</f>
        <v/>
      </c>
      <c r="E212" s="66">
        <f>INDEX(Projects[AS Robots],211)</f>
        <v/>
      </c>
      <c r="F212" s="66">
        <f>INDEX(Projects[AS Tote Locations],211)</f>
        <v/>
      </c>
      <c r="G212" s="66">
        <f>INDEX(Projects[PS Shuttles],211)</f>
        <v/>
      </c>
      <c r="H212" s="66">
        <f>INDEX(Projects[PS Pallet Locations],211)</f>
        <v/>
      </c>
      <c r="I212" s="66">
        <f>INDEX(Projects[SRM Cranes],211)</f>
        <v/>
      </c>
      <c r="J212" s="66">
        <f>INDEX(Projects[SRM Pallet Locations],211)</f>
        <v/>
      </c>
      <c r="K212" s="66">
        <f>INDEX(Projects[Case Conv (m)],211)</f>
        <v/>
      </c>
      <c r="L212" s="66">
        <f>INDEX(Projects[Pallet Conv (m)],211)</f>
        <v/>
      </c>
      <c r="M212" s="66">
        <f>INDEX(Projects[Mech Eng (wks)],211)</f>
        <v/>
      </c>
      <c r="N212" s="66">
        <f>INDEX(Projects[Controls Eng (wks)],211)</f>
        <v/>
      </c>
      <c r="O212" s="66">
        <f>INDEX(Projects[Systems Eng (wks)],211)</f>
        <v/>
      </c>
      <c r="P212" s="66">
        <f>INDEX(Projects[Software Eng (wks)],211)</f>
        <v/>
      </c>
      <c r="Q212" s="66">
        <f>INDEX(Projects[M&amp;E Installation (wks)],211)</f>
        <v/>
      </c>
      <c r="R212" s="66">
        <f>INDEX(Projects[Commissioning (wks)],211)</f>
        <v/>
      </c>
      <c r="S212" s="66">
        <f>INDEX(Projects[Total Timeline (wks)],211)</f>
        <v/>
      </c>
      <c r="T212" s="66">
        <f>INDEX(Projects[Currency],211)&amp;""</f>
        <v/>
      </c>
      <c r="U212" s="67">
        <f>INDEX(Projects[Value (M)],211)</f>
        <v/>
      </c>
      <c r="V212" s="66">
        <f>IF('Smart Search'!B13=1,IFERROR(1/'Smart Search'!H13,0),0)</f>
        <v/>
      </c>
      <c r="W212" s="66">
        <f>IF('Smart Search'!B13=1,IFERROR(1/'Smart Search'!H13,0),0)</f>
        <v/>
      </c>
      <c r="X212" s="66">
        <f>IF('Smart Search'!C13=1,IFERROR(1/'Smart Search'!H13,0),0)</f>
        <v/>
      </c>
      <c r="Y212" s="66">
        <f>IF('Smart Search'!C13=1,IFERROR(1/'Smart Search'!H13,0),0)</f>
        <v/>
      </c>
      <c r="Z212" s="66">
        <f>IF('Smart Search'!D13=1,IFERROR(1/'Smart Search'!H13,0),0)</f>
        <v/>
      </c>
      <c r="AA212" s="66">
        <f>IF('Smart Search'!D13=1,IFERROR(1/'Smart Search'!H13,0),0)</f>
        <v/>
      </c>
      <c r="AB212" s="66">
        <f>IF('Smart Search'!E13=1,IFERROR(1/'Smart Search'!H13,0),0)</f>
        <v/>
      </c>
      <c r="AC212" s="66">
        <f>IF('Smart Search'!E13=1,IFERROR(1/'Smart Search'!H13,0),0)</f>
        <v/>
      </c>
      <c r="AD212" s="66">
        <f>IF('Smart Search'!F13=1,IFERROR(1/'Smart Search'!H13,0),0)</f>
        <v/>
      </c>
      <c r="AE212" s="66">
        <f>IF('Smart Search'!F13=1,IFERROR(1/'Smart Search'!H13,0),0)</f>
        <v/>
      </c>
      <c r="AF212" s="66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66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66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66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66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66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66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66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66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66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66">
        <f>AF212*V212</f>
        <v/>
      </c>
      <c r="AQ212" s="66">
        <f>AG212*W212</f>
        <v/>
      </c>
      <c r="AR212" s="66">
        <f>AH212*X212</f>
        <v/>
      </c>
      <c r="AS212" s="66">
        <f>AI212*Y212</f>
        <v/>
      </c>
      <c r="AT212" s="66">
        <f>AJ212*Z212</f>
        <v/>
      </c>
      <c r="AU212" s="66">
        <f>AK212*AA212</f>
        <v/>
      </c>
      <c r="AV212" s="66">
        <f>AL212*AB212</f>
        <v/>
      </c>
      <c r="AW212" s="66">
        <f>AM212*AC212</f>
        <v/>
      </c>
      <c r="AX212" s="66">
        <f>AN212*AD212</f>
        <v/>
      </c>
      <c r="AY212" s="66">
        <f>AO212*AE212</f>
        <v/>
      </c>
      <c r="AZ212" s="66">
        <f>INDEX(Projects[Automation Equipment],211)&amp;""</f>
        <v/>
      </c>
      <c r="BA212" s="66">
        <f>IF(OR(A212="",'Smart Search'!H13=0),"",MAX(0,BE212*BF212*MAX(0,1-BG212)))</f>
        <v/>
      </c>
      <c r="BB212" s="66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66">
        <f>IF('Smart Search'!G13=1,IFERROR(1/'Smart Search'!H13,0),0)</f>
        <v/>
      </c>
      <c r="BD212" s="66">
        <f>BB212*BC212</f>
        <v/>
      </c>
      <c r="BE212" s="66">
        <f>AP212+AQ212+AR212+AS212+AT212+AU212+AV212+AW212+AX212+AY212+BD212</f>
        <v/>
      </c>
      <c r="BF212" s="5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5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5">
        <f>IF(AND(A212&lt;&gt;"",OR('Smart Search'!$L$5="",'Smart Search'!$L$5="All",TRIM(BZ212)=TRIM('Smart Search'!$L$5)),OR(TRIM('Smart Search'!$L$6)="",TRIM('Smart Search'!$L$6)="All",ISNUMBER(SEARCH(SUBSTITUTE(SUBSTITUTE(SUBSTITUTE(TRIM('Smart Search'!$L$6),"~","~~"),"*","~*"),"?","~?"),CA212))),OR('Smart Search'!$L$7="",AND(CB212&lt;&gt;0,CB212='Smart Search'!$L$7)),OR('Smart Search'!$L$8="",'Smart Search'!$L$8="All",TRIM(CC212)=TRIM('Smart Search'!$L$8))),IF(BA212="","",BA212+ROW()*0.0000000001),"")</f>
        <v/>
      </c>
      <c r="BI212" s="5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5">
        <f>IF(A212="","",N(INDEX(Projects[Mech Inst],211)))</f>
        <v/>
      </c>
      <c r="BK212" s="5">
        <f>IF(A212="","",N(INDEX(Projects[Elec Inst],211)))</f>
        <v/>
      </c>
      <c r="BL212" s="5">
        <f>IF(A212="","",N(INDEX(Projects[Project Management],211)))</f>
        <v/>
      </c>
      <c r="BM212" s="5">
        <f>IF(A212="","",N(INDEX(Projects[Systems Eng],211)))</f>
        <v/>
      </c>
      <c r="BN212" s="5">
        <f>IF(A212="","",N(INDEX(Projects[Mechanical Eng],211)))</f>
        <v/>
      </c>
      <c r="BO212" s="5">
        <f>IF(A212="","",N(INDEX(Projects[Structural Engineering],211)))</f>
        <v/>
      </c>
      <c r="BP212" s="5">
        <f>IF(A212="","",N(INDEX(Projects[Site Sup],211)))</f>
        <v/>
      </c>
      <c r="BQ212" s="5">
        <f>IF(A212="","",N(INDEX(Projects[Controls Commissioning],211)))</f>
        <v/>
      </c>
      <c r="BR212" s="5">
        <f>IF(A212="","",N(INDEX(Projects[Systems Commissioning],211)))</f>
        <v/>
      </c>
      <c r="BS212" s="5">
        <f>IF(A212="","",N(INDEX(Projects[Service Commissioning],211)))</f>
        <v/>
      </c>
      <c r="BT212" s="5">
        <f>IF(A212="","",N(INDEX(Projects[Controls Eng],211)))</f>
        <v/>
      </c>
      <c r="BU212" s="5">
        <f>IF(A212="","",N(INDEX(Projects[Controls Purchase],211)))</f>
        <v/>
      </c>
      <c r="BV212" s="5">
        <f>IF(A212="","",N(INDEX(Projects[Software Eng],211)))</f>
        <v/>
      </c>
      <c r="BW212" s="5">
        <f>IF(A212="","",N(INDEX(Projects[Misc],211)))</f>
        <v/>
      </c>
      <c r="BX212" s="5">
        <f>IF(A212="","",SUM(BJ212:BW212))</f>
        <v/>
      </c>
      <c r="BY212" s="5">
        <f>IF(A212="","",IFERROR(IF(ISNUMBER(U212),U212,VALUE(SUBSTITUTE(SUBSTITUTE(SUBSTITUTE(UPPER(TRIM(U212)),"M",""),",","")," ",""))),0))</f>
        <v/>
      </c>
      <c r="BZ212" s="5">
        <f>INDEX(Projects[Solution Type],211)&amp;""</f>
        <v/>
      </c>
      <c r="CA212" s="5">
        <f>INDEX(Projects[Client / Region],211)&amp;""</f>
        <v/>
      </c>
      <c r="CB212" s="5">
        <f>INDEX(Projects[Year],211)</f>
        <v/>
      </c>
      <c r="CC212" s="5">
        <f>INDEX(Projects[Won?],211)&amp;""</f>
        <v/>
      </c>
      <c r="CD212" s="5">
        <f>INDEX(Projects[Value (USD M)],211)</f>
        <v/>
      </c>
    </row>
    <row r="213" ht="15" customHeight="1" s="74">
      <c r="A213" s="66">
        <f>INDEX(Projects[Project ID *],212)&amp;""</f>
        <v/>
      </c>
      <c r="B213" s="66">
        <f>INDEX(Projects[Project Name *],212)&amp;""</f>
        <v/>
      </c>
      <c r="C213" s="66">
        <f>INDEX(Projects[MS Shuttles],212)</f>
        <v/>
      </c>
      <c r="D213" s="66">
        <f>INDEX(Projects[MS Tote Locations],212)</f>
        <v/>
      </c>
      <c r="E213" s="66">
        <f>INDEX(Projects[AS Robots],212)</f>
        <v/>
      </c>
      <c r="F213" s="66">
        <f>INDEX(Projects[AS Tote Locations],212)</f>
        <v/>
      </c>
      <c r="G213" s="66">
        <f>INDEX(Projects[PS Shuttles],212)</f>
        <v/>
      </c>
      <c r="H213" s="66">
        <f>INDEX(Projects[PS Pallet Locations],212)</f>
        <v/>
      </c>
      <c r="I213" s="66">
        <f>INDEX(Projects[SRM Cranes],212)</f>
        <v/>
      </c>
      <c r="J213" s="66">
        <f>INDEX(Projects[SRM Pallet Locations],212)</f>
        <v/>
      </c>
      <c r="K213" s="66">
        <f>INDEX(Projects[Case Conv (m)],212)</f>
        <v/>
      </c>
      <c r="L213" s="66">
        <f>INDEX(Projects[Pallet Conv (m)],212)</f>
        <v/>
      </c>
      <c r="M213" s="66">
        <f>INDEX(Projects[Mech Eng (wks)],212)</f>
        <v/>
      </c>
      <c r="N213" s="66">
        <f>INDEX(Projects[Controls Eng (wks)],212)</f>
        <v/>
      </c>
      <c r="O213" s="66">
        <f>INDEX(Projects[Systems Eng (wks)],212)</f>
        <v/>
      </c>
      <c r="P213" s="66">
        <f>INDEX(Projects[Software Eng (wks)],212)</f>
        <v/>
      </c>
      <c r="Q213" s="66">
        <f>INDEX(Projects[M&amp;E Installation (wks)],212)</f>
        <v/>
      </c>
      <c r="R213" s="66">
        <f>INDEX(Projects[Commissioning (wks)],212)</f>
        <v/>
      </c>
      <c r="S213" s="66">
        <f>INDEX(Projects[Total Timeline (wks)],212)</f>
        <v/>
      </c>
      <c r="T213" s="66">
        <f>INDEX(Projects[Currency],212)&amp;""</f>
        <v/>
      </c>
      <c r="U213" s="67">
        <f>INDEX(Projects[Value (M)],212)</f>
        <v/>
      </c>
      <c r="V213" s="66">
        <f>IF('Smart Search'!B13=1,IFERROR(1/'Smart Search'!H13,0),0)</f>
        <v/>
      </c>
      <c r="W213" s="66">
        <f>IF('Smart Search'!B13=1,IFERROR(1/'Smart Search'!H13,0),0)</f>
        <v/>
      </c>
      <c r="X213" s="66">
        <f>IF('Smart Search'!C13=1,IFERROR(1/'Smart Search'!H13,0),0)</f>
        <v/>
      </c>
      <c r="Y213" s="66">
        <f>IF('Smart Search'!C13=1,IFERROR(1/'Smart Search'!H13,0),0)</f>
        <v/>
      </c>
      <c r="Z213" s="66">
        <f>IF('Smart Search'!D13=1,IFERROR(1/'Smart Search'!H13,0),0)</f>
        <v/>
      </c>
      <c r="AA213" s="66">
        <f>IF('Smart Search'!D13=1,IFERROR(1/'Smart Search'!H13,0),0)</f>
        <v/>
      </c>
      <c r="AB213" s="66">
        <f>IF('Smart Search'!E13=1,IFERROR(1/'Smart Search'!H13,0),0)</f>
        <v/>
      </c>
      <c r="AC213" s="66">
        <f>IF('Smart Search'!E13=1,IFERROR(1/'Smart Search'!H13,0),0)</f>
        <v/>
      </c>
      <c r="AD213" s="66">
        <f>IF('Smart Search'!F13=1,IFERROR(1/'Smart Search'!H13,0),0)</f>
        <v/>
      </c>
      <c r="AE213" s="66">
        <f>IF('Smart Search'!F13=1,IFERROR(1/'Smart Search'!H13,0),0)</f>
        <v/>
      </c>
      <c r="AF213" s="66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66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66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66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66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66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66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66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66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66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66">
        <f>AF213*V213</f>
        <v/>
      </c>
      <c r="AQ213" s="66">
        <f>AG213*W213</f>
        <v/>
      </c>
      <c r="AR213" s="66">
        <f>AH213*X213</f>
        <v/>
      </c>
      <c r="AS213" s="66">
        <f>AI213*Y213</f>
        <v/>
      </c>
      <c r="AT213" s="66">
        <f>AJ213*Z213</f>
        <v/>
      </c>
      <c r="AU213" s="66">
        <f>AK213*AA213</f>
        <v/>
      </c>
      <c r="AV213" s="66">
        <f>AL213*AB213</f>
        <v/>
      </c>
      <c r="AW213" s="66">
        <f>AM213*AC213</f>
        <v/>
      </c>
      <c r="AX213" s="66">
        <f>AN213*AD213</f>
        <v/>
      </c>
      <c r="AY213" s="66">
        <f>AO213*AE213</f>
        <v/>
      </c>
      <c r="AZ213" s="66">
        <f>INDEX(Projects[Automation Equipment],212)&amp;""</f>
        <v/>
      </c>
      <c r="BA213" s="66">
        <f>IF(OR(A213="",'Smart Search'!H13=0),"",MAX(0,BE213*BF213*MAX(0,1-BG213)))</f>
        <v/>
      </c>
      <c r="BB213" s="66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66">
        <f>IF('Smart Search'!G13=1,IFERROR(1/'Smart Search'!H13,0),0)</f>
        <v/>
      </c>
      <c r="BD213" s="66">
        <f>BB213*BC213</f>
        <v/>
      </c>
      <c r="BE213" s="66">
        <f>AP213+AQ213+AR213+AS213+AT213+AU213+AV213+AW213+AX213+AY213+BD213</f>
        <v/>
      </c>
      <c r="BF213" s="5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5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5">
        <f>IF(AND(A213&lt;&gt;"",OR('Smart Search'!$L$5="",'Smart Search'!$L$5="All",TRIM(BZ213)=TRIM('Smart Search'!$L$5)),OR(TRIM('Smart Search'!$L$6)="",TRIM('Smart Search'!$L$6)="All",ISNUMBER(SEARCH(SUBSTITUTE(SUBSTITUTE(SUBSTITUTE(TRIM('Smart Search'!$L$6),"~","~~"),"*","~*"),"?","~?"),CA213))),OR('Smart Search'!$L$7="",AND(CB213&lt;&gt;0,CB213='Smart Search'!$L$7)),OR('Smart Search'!$L$8="",'Smart Search'!$L$8="All",TRIM(CC213)=TRIM('Smart Search'!$L$8))),IF(BA213="","",BA213+ROW()*0.0000000001),"")</f>
        <v/>
      </c>
      <c r="BI213" s="5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5">
        <f>IF(A213="","",N(INDEX(Projects[Mech Inst],212)))</f>
        <v/>
      </c>
      <c r="BK213" s="5">
        <f>IF(A213="","",N(INDEX(Projects[Elec Inst],212)))</f>
        <v/>
      </c>
      <c r="BL213" s="5">
        <f>IF(A213="","",N(INDEX(Projects[Project Management],212)))</f>
        <v/>
      </c>
      <c r="BM213" s="5">
        <f>IF(A213="","",N(INDEX(Projects[Systems Eng],212)))</f>
        <v/>
      </c>
      <c r="BN213" s="5">
        <f>IF(A213="","",N(INDEX(Projects[Mechanical Eng],212)))</f>
        <v/>
      </c>
      <c r="BO213" s="5">
        <f>IF(A213="","",N(INDEX(Projects[Structural Engineering],212)))</f>
        <v/>
      </c>
      <c r="BP213" s="5">
        <f>IF(A213="","",N(INDEX(Projects[Site Sup],212)))</f>
        <v/>
      </c>
      <c r="BQ213" s="5">
        <f>IF(A213="","",N(INDEX(Projects[Controls Commissioning],212)))</f>
        <v/>
      </c>
      <c r="BR213" s="5">
        <f>IF(A213="","",N(INDEX(Projects[Systems Commissioning],212)))</f>
        <v/>
      </c>
      <c r="BS213" s="5">
        <f>IF(A213="","",N(INDEX(Projects[Service Commissioning],212)))</f>
        <v/>
      </c>
      <c r="BT213" s="5">
        <f>IF(A213="","",N(INDEX(Projects[Controls Eng],212)))</f>
        <v/>
      </c>
      <c r="BU213" s="5">
        <f>IF(A213="","",N(INDEX(Projects[Controls Purchase],212)))</f>
        <v/>
      </c>
      <c r="BV213" s="5">
        <f>IF(A213="","",N(INDEX(Projects[Software Eng],212)))</f>
        <v/>
      </c>
      <c r="BW213" s="5">
        <f>IF(A213="","",N(INDEX(Projects[Misc],212)))</f>
        <v/>
      </c>
      <c r="BX213" s="5">
        <f>IF(A213="","",SUM(BJ213:BW213))</f>
        <v/>
      </c>
      <c r="BY213" s="5">
        <f>IF(A213="","",IFERROR(IF(ISNUMBER(U213),U213,VALUE(SUBSTITUTE(SUBSTITUTE(SUBSTITUTE(UPPER(TRIM(U213)),"M",""),",","")," ",""))),0))</f>
        <v/>
      </c>
      <c r="BZ213" s="5">
        <f>INDEX(Projects[Solution Type],212)&amp;""</f>
        <v/>
      </c>
      <c r="CA213" s="5">
        <f>INDEX(Projects[Client / Region],212)&amp;""</f>
        <v/>
      </c>
      <c r="CB213" s="5">
        <f>INDEX(Projects[Year],212)</f>
        <v/>
      </c>
      <c r="CC213" s="5">
        <f>INDEX(Projects[Won?],212)&amp;""</f>
        <v/>
      </c>
      <c r="CD213" s="5">
        <f>INDEX(Projects[Value (USD M)],212)</f>
        <v/>
      </c>
    </row>
    <row r="214" ht="15" customHeight="1" s="74">
      <c r="A214" s="66">
        <f>INDEX(Projects[Project ID *],213)&amp;""</f>
        <v/>
      </c>
      <c r="B214" s="66">
        <f>INDEX(Projects[Project Name *],213)&amp;""</f>
        <v/>
      </c>
      <c r="C214" s="66">
        <f>INDEX(Projects[MS Shuttles],213)</f>
        <v/>
      </c>
      <c r="D214" s="66">
        <f>INDEX(Projects[MS Tote Locations],213)</f>
        <v/>
      </c>
      <c r="E214" s="66">
        <f>INDEX(Projects[AS Robots],213)</f>
        <v/>
      </c>
      <c r="F214" s="66">
        <f>INDEX(Projects[AS Tote Locations],213)</f>
        <v/>
      </c>
      <c r="G214" s="66">
        <f>INDEX(Projects[PS Shuttles],213)</f>
        <v/>
      </c>
      <c r="H214" s="66">
        <f>INDEX(Projects[PS Pallet Locations],213)</f>
        <v/>
      </c>
      <c r="I214" s="66">
        <f>INDEX(Projects[SRM Cranes],213)</f>
        <v/>
      </c>
      <c r="J214" s="66">
        <f>INDEX(Projects[SRM Pallet Locations],213)</f>
        <v/>
      </c>
      <c r="K214" s="66">
        <f>INDEX(Projects[Case Conv (m)],213)</f>
        <v/>
      </c>
      <c r="L214" s="66">
        <f>INDEX(Projects[Pallet Conv (m)],213)</f>
        <v/>
      </c>
      <c r="M214" s="66">
        <f>INDEX(Projects[Mech Eng (wks)],213)</f>
        <v/>
      </c>
      <c r="N214" s="66">
        <f>INDEX(Projects[Controls Eng (wks)],213)</f>
        <v/>
      </c>
      <c r="O214" s="66">
        <f>INDEX(Projects[Systems Eng (wks)],213)</f>
        <v/>
      </c>
      <c r="P214" s="66">
        <f>INDEX(Projects[Software Eng (wks)],213)</f>
        <v/>
      </c>
      <c r="Q214" s="66">
        <f>INDEX(Projects[M&amp;E Installation (wks)],213)</f>
        <v/>
      </c>
      <c r="R214" s="66">
        <f>INDEX(Projects[Commissioning (wks)],213)</f>
        <v/>
      </c>
      <c r="S214" s="66">
        <f>INDEX(Projects[Total Timeline (wks)],213)</f>
        <v/>
      </c>
      <c r="T214" s="66">
        <f>INDEX(Projects[Currency],213)&amp;""</f>
        <v/>
      </c>
      <c r="U214" s="67">
        <f>INDEX(Projects[Value (M)],213)</f>
        <v/>
      </c>
      <c r="V214" s="66">
        <f>IF('Smart Search'!B13=1,IFERROR(1/'Smart Search'!H13,0),0)</f>
        <v/>
      </c>
      <c r="W214" s="66">
        <f>IF('Smart Search'!B13=1,IFERROR(1/'Smart Search'!H13,0),0)</f>
        <v/>
      </c>
      <c r="X214" s="66">
        <f>IF('Smart Search'!C13=1,IFERROR(1/'Smart Search'!H13,0),0)</f>
        <v/>
      </c>
      <c r="Y214" s="66">
        <f>IF('Smart Search'!C13=1,IFERROR(1/'Smart Search'!H13,0),0)</f>
        <v/>
      </c>
      <c r="Z214" s="66">
        <f>IF('Smart Search'!D13=1,IFERROR(1/'Smart Search'!H13,0),0)</f>
        <v/>
      </c>
      <c r="AA214" s="66">
        <f>IF('Smart Search'!D13=1,IFERROR(1/'Smart Search'!H13,0),0)</f>
        <v/>
      </c>
      <c r="AB214" s="66">
        <f>IF('Smart Search'!E13=1,IFERROR(1/'Smart Search'!H13,0),0)</f>
        <v/>
      </c>
      <c r="AC214" s="66">
        <f>IF('Smart Search'!E13=1,IFERROR(1/'Smart Search'!H13,0),0)</f>
        <v/>
      </c>
      <c r="AD214" s="66">
        <f>IF('Smart Search'!F13=1,IFERROR(1/'Smart Search'!H13,0),0)</f>
        <v/>
      </c>
      <c r="AE214" s="66">
        <f>IF('Smart Search'!F13=1,IFERROR(1/'Smart Search'!H13,0),0)</f>
        <v/>
      </c>
      <c r="AF214" s="66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66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66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66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66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66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66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66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66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66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66">
        <f>AF214*V214</f>
        <v/>
      </c>
      <c r="AQ214" s="66">
        <f>AG214*W214</f>
        <v/>
      </c>
      <c r="AR214" s="66">
        <f>AH214*X214</f>
        <v/>
      </c>
      <c r="AS214" s="66">
        <f>AI214*Y214</f>
        <v/>
      </c>
      <c r="AT214" s="66">
        <f>AJ214*Z214</f>
        <v/>
      </c>
      <c r="AU214" s="66">
        <f>AK214*AA214</f>
        <v/>
      </c>
      <c r="AV214" s="66">
        <f>AL214*AB214</f>
        <v/>
      </c>
      <c r="AW214" s="66">
        <f>AM214*AC214</f>
        <v/>
      </c>
      <c r="AX214" s="66">
        <f>AN214*AD214</f>
        <v/>
      </c>
      <c r="AY214" s="66">
        <f>AO214*AE214</f>
        <v/>
      </c>
      <c r="AZ214" s="66">
        <f>INDEX(Projects[Automation Equipment],213)&amp;""</f>
        <v/>
      </c>
      <c r="BA214" s="66">
        <f>IF(OR(A214="",'Smart Search'!H13=0),"",MAX(0,BE214*BF214*MAX(0,1-BG214)))</f>
        <v/>
      </c>
      <c r="BB214" s="66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66">
        <f>IF('Smart Search'!G13=1,IFERROR(1/'Smart Search'!H13,0),0)</f>
        <v/>
      </c>
      <c r="BD214" s="66">
        <f>BB214*BC214</f>
        <v/>
      </c>
      <c r="BE214" s="66">
        <f>AP214+AQ214+AR214+AS214+AT214+AU214+AV214+AW214+AX214+AY214+BD214</f>
        <v/>
      </c>
      <c r="BF214" s="5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5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5">
        <f>IF(AND(A214&lt;&gt;"",OR('Smart Search'!$L$5="",'Smart Search'!$L$5="All",TRIM(BZ214)=TRIM('Smart Search'!$L$5)),OR(TRIM('Smart Search'!$L$6)="",TRIM('Smart Search'!$L$6)="All",ISNUMBER(SEARCH(SUBSTITUTE(SUBSTITUTE(SUBSTITUTE(TRIM('Smart Search'!$L$6),"~","~~"),"*","~*"),"?","~?"),CA214))),OR('Smart Search'!$L$7="",AND(CB214&lt;&gt;0,CB214='Smart Search'!$L$7)),OR('Smart Search'!$L$8="",'Smart Search'!$L$8="All",TRIM(CC214)=TRIM('Smart Search'!$L$8))),IF(BA214="","",BA214+ROW()*0.0000000001),"")</f>
        <v/>
      </c>
      <c r="BI214" s="5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5">
        <f>IF(A214="","",N(INDEX(Projects[Mech Inst],213)))</f>
        <v/>
      </c>
      <c r="BK214" s="5">
        <f>IF(A214="","",N(INDEX(Projects[Elec Inst],213)))</f>
        <v/>
      </c>
      <c r="BL214" s="5">
        <f>IF(A214="","",N(INDEX(Projects[Project Management],213)))</f>
        <v/>
      </c>
      <c r="BM214" s="5">
        <f>IF(A214="","",N(INDEX(Projects[Systems Eng],213)))</f>
        <v/>
      </c>
      <c r="BN214" s="5">
        <f>IF(A214="","",N(INDEX(Projects[Mechanical Eng],213)))</f>
        <v/>
      </c>
      <c r="BO214" s="5">
        <f>IF(A214="","",N(INDEX(Projects[Structural Engineering],213)))</f>
        <v/>
      </c>
      <c r="BP214" s="5">
        <f>IF(A214="","",N(INDEX(Projects[Site Sup],213)))</f>
        <v/>
      </c>
      <c r="BQ214" s="5">
        <f>IF(A214="","",N(INDEX(Projects[Controls Commissioning],213)))</f>
        <v/>
      </c>
      <c r="BR214" s="5">
        <f>IF(A214="","",N(INDEX(Projects[Systems Commissioning],213)))</f>
        <v/>
      </c>
      <c r="BS214" s="5">
        <f>IF(A214="","",N(INDEX(Projects[Service Commissioning],213)))</f>
        <v/>
      </c>
      <c r="BT214" s="5">
        <f>IF(A214="","",N(INDEX(Projects[Controls Eng],213)))</f>
        <v/>
      </c>
      <c r="BU214" s="5">
        <f>IF(A214="","",N(INDEX(Projects[Controls Purchase],213)))</f>
        <v/>
      </c>
      <c r="BV214" s="5">
        <f>IF(A214="","",N(INDEX(Projects[Software Eng],213)))</f>
        <v/>
      </c>
      <c r="BW214" s="5">
        <f>IF(A214="","",N(INDEX(Projects[Misc],213)))</f>
        <v/>
      </c>
      <c r="BX214" s="5">
        <f>IF(A214="","",SUM(BJ214:BW214))</f>
        <v/>
      </c>
      <c r="BY214" s="5">
        <f>IF(A214="","",IFERROR(IF(ISNUMBER(U214),U214,VALUE(SUBSTITUTE(SUBSTITUTE(SUBSTITUTE(UPPER(TRIM(U214)),"M",""),",","")," ",""))),0))</f>
        <v/>
      </c>
      <c r="BZ214" s="5">
        <f>INDEX(Projects[Solution Type],213)&amp;""</f>
        <v/>
      </c>
      <c r="CA214" s="5">
        <f>INDEX(Projects[Client / Region],213)&amp;""</f>
        <v/>
      </c>
      <c r="CB214" s="5">
        <f>INDEX(Projects[Year],213)</f>
        <v/>
      </c>
      <c r="CC214" s="5">
        <f>INDEX(Projects[Won?],213)&amp;""</f>
        <v/>
      </c>
      <c r="CD214" s="5">
        <f>INDEX(Projects[Value (USD M)],213)</f>
        <v/>
      </c>
    </row>
    <row r="215" ht="15" customHeight="1" s="74">
      <c r="A215" s="66">
        <f>INDEX(Projects[Project ID *],214)&amp;""</f>
        <v/>
      </c>
      <c r="B215" s="66">
        <f>INDEX(Projects[Project Name *],214)&amp;""</f>
        <v/>
      </c>
      <c r="C215" s="66">
        <f>INDEX(Projects[MS Shuttles],214)</f>
        <v/>
      </c>
      <c r="D215" s="66">
        <f>INDEX(Projects[MS Tote Locations],214)</f>
        <v/>
      </c>
      <c r="E215" s="66">
        <f>INDEX(Projects[AS Robots],214)</f>
        <v/>
      </c>
      <c r="F215" s="66">
        <f>INDEX(Projects[AS Tote Locations],214)</f>
        <v/>
      </c>
      <c r="G215" s="66">
        <f>INDEX(Projects[PS Shuttles],214)</f>
        <v/>
      </c>
      <c r="H215" s="66">
        <f>INDEX(Projects[PS Pallet Locations],214)</f>
        <v/>
      </c>
      <c r="I215" s="66">
        <f>INDEX(Projects[SRM Cranes],214)</f>
        <v/>
      </c>
      <c r="J215" s="66">
        <f>INDEX(Projects[SRM Pallet Locations],214)</f>
        <v/>
      </c>
      <c r="K215" s="66">
        <f>INDEX(Projects[Case Conv (m)],214)</f>
        <v/>
      </c>
      <c r="L215" s="66">
        <f>INDEX(Projects[Pallet Conv (m)],214)</f>
        <v/>
      </c>
      <c r="M215" s="66">
        <f>INDEX(Projects[Mech Eng (wks)],214)</f>
        <v/>
      </c>
      <c r="N215" s="66">
        <f>INDEX(Projects[Controls Eng (wks)],214)</f>
        <v/>
      </c>
      <c r="O215" s="66">
        <f>INDEX(Projects[Systems Eng (wks)],214)</f>
        <v/>
      </c>
      <c r="P215" s="66">
        <f>INDEX(Projects[Software Eng (wks)],214)</f>
        <v/>
      </c>
      <c r="Q215" s="66">
        <f>INDEX(Projects[M&amp;E Installation (wks)],214)</f>
        <v/>
      </c>
      <c r="R215" s="66">
        <f>INDEX(Projects[Commissioning (wks)],214)</f>
        <v/>
      </c>
      <c r="S215" s="66">
        <f>INDEX(Projects[Total Timeline (wks)],214)</f>
        <v/>
      </c>
      <c r="T215" s="66">
        <f>INDEX(Projects[Currency],214)&amp;""</f>
        <v/>
      </c>
      <c r="U215" s="67">
        <f>INDEX(Projects[Value (M)],214)</f>
        <v/>
      </c>
      <c r="V215" s="66">
        <f>IF('Smart Search'!B13=1,IFERROR(1/'Smart Search'!H13,0),0)</f>
        <v/>
      </c>
      <c r="W215" s="66">
        <f>IF('Smart Search'!B13=1,IFERROR(1/'Smart Search'!H13,0),0)</f>
        <v/>
      </c>
      <c r="X215" s="66">
        <f>IF('Smart Search'!C13=1,IFERROR(1/'Smart Search'!H13,0),0)</f>
        <v/>
      </c>
      <c r="Y215" s="66">
        <f>IF('Smart Search'!C13=1,IFERROR(1/'Smart Search'!H13,0),0)</f>
        <v/>
      </c>
      <c r="Z215" s="66">
        <f>IF('Smart Search'!D13=1,IFERROR(1/'Smart Search'!H13,0),0)</f>
        <v/>
      </c>
      <c r="AA215" s="66">
        <f>IF('Smart Search'!D13=1,IFERROR(1/'Smart Search'!H13,0),0)</f>
        <v/>
      </c>
      <c r="AB215" s="66">
        <f>IF('Smart Search'!E13=1,IFERROR(1/'Smart Search'!H13,0),0)</f>
        <v/>
      </c>
      <c r="AC215" s="66">
        <f>IF('Smart Search'!E13=1,IFERROR(1/'Smart Search'!H13,0),0)</f>
        <v/>
      </c>
      <c r="AD215" s="66">
        <f>IF('Smart Search'!F13=1,IFERROR(1/'Smart Search'!H13,0),0)</f>
        <v/>
      </c>
      <c r="AE215" s="66">
        <f>IF('Smart Search'!F13=1,IFERROR(1/'Smart Search'!H13,0),0)</f>
        <v/>
      </c>
      <c r="AF215" s="66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66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66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66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66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66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66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66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66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66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66">
        <f>AF215*V215</f>
        <v/>
      </c>
      <c r="AQ215" s="66">
        <f>AG215*W215</f>
        <v/>
      </c>
      <c r="AR215" s="66">
        <f>AH215*X215</f>
        <v/>
      </c>
      <c r="AS215" s="66">
        <f>AI215*Y215</f>
        <v/>
      </c>
      <c r="AT215" s="66">
        <f>AJ215*Z215</f>
        <v/>
      </c>
      <c r="AU215" s="66">
        <f>AK215*AA215</f>
        <v/>
      </c>
      <c r="AV215" s="66">
        <f>AL215*AB215</f>
        <v/>
      </c>
      <c r="AW215" s="66">
        <f>AM215*AC215</f>
        <v/>
      </c>
      <c r="AX215" s="66">
        <f>AN215*AD215</f>
        <v/>
      </c>
      <c r="AY215" s="66">
        <f>AO215*AE215</f>
        <v/>
      </c>
      <c r="AZ215" s="66">
        <f>INDEX(Projects[Automation Equipment],214)&amp;""</f>
        <v/>
      </c>
      <c r="BA215" s="66">
        <f>IF(OR(A215="",'Smart Search'!H13=0),"",MAX(0,BE215*BF215*MAX(0,1-BG215)))</f>
        <v/>
      </c>
      <c r="BB215" s="66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66">
        <f>IF('Smart Search'!G13=1,IFERROR(1/'Smart Search'!H13,0),0)</f>
        <v/>
      </c>
      <c r="BD215" s="66">
        <f>BB215*BC215</f>
        <v/>
      </c>
      <c r="BE215" s="66">
        <f>AP215+AQ215+AR215+AS215+AT215+AU215+AV215+AW215+AX215+AY215+BD215</f>
        <v/>
      </c>
      <c r="BF215" s="5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5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5">
        <f>IF(AND(A215&lt;&gt;"",OR('Smart Search'!$L$5="",'Smart Search'!$L$5="All",TRIM(BZ215)=TRIM('Smart Search'!$L$5)),OR(TRIM('Smart Search'!$L$6)="",TRIM('Smart Search'!$L$6)="All",ISNUMBER(SEARCH(SUBSTITUTE(SUBSTITUTE(SUBSTITUTE(TRIM('Smart Search'!$L$6),"~","~~"),"*","~*"),"?","~?"),CA215))),OR('Smart Search'!$L$7="",AND(CB215&lt;&gt;0,CB215='Smart Search'!$L$7)),OR('Smart Search'!$L$8="",'Smart Search'!$L$8="All",TRIM(CC215)=TRIM('Smart Search'!$L$8))),IF(BA215="","",BA215+ROW()*0.0000000001),"")</f>
        <v/>
      </c>
      <c r="BI215" s="5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5">
        <f>IF(A215="","",N(INDEX(Projects[Mech Inst],214)))</f>
        <v/>
      </c>
      <c r="BK215" s="5">
        <f>IF(A215="","",N(INDEX(Projects[Elec Inst],214)))</f>
        <v/>
      </c>
      <c r="BL215" s="5">
        <f>IF(A215="","",N(INDEX(Projects[Project Management],214)))</f>
        <v/>
      </c>
      <c r="BM215" s="5">
        <f>IF(A215="","",N(INDEX(Projects[Systems Eng],214)))</f>
        <v/>
      </c>
      <c r="BN215" s="5">
        <f>IF(A215="","",N(INDEX(Projects[Mechanical Eng],214)))</f>
        <v/>
      </c>
      <c r="BO215" s="5">
        <f>IF(A215="","",N(INDEX(Projects[Structural Engineering],214)))</f>
        <v/>
      </c>
      <c r="BP215" s="5">
        <f>IF(A215="","",N(INDEX(Projects[Site Sup],214)))</f>
        <v/>
      </c>
      <c r="BQ215" s="5">
        <f>IF(A215="","",N(INDEX(Projects[Controls Commissioning],214)))</f>
        <v/>
      </c>
      <c r="BR215" s="5">
        <f>IF(A215="","",N(INDEX(Projects[Systems Commissioning],214)))</f>
        <v/>
      </c>
      <c r="BS215" s="5">
        <f>IF(A215="","",N(INDEX(Projects[Service Commissioning],214)))</f>
        <v/>
      </c>
      <c r="BT215" s="5">
        <f>IF(A215="","",N(INDEX(Projects[Controls Eng],214)))</f>
        <v/>
      </c>
      <c r="BU215" s="5">
        <f>IF(A215="","",N(INDEX(Projects[Controls Purchase],214)))</f>
        <v/>
      </c>
      <c r="BV215" s="5">
        <f>IF(A215="","",N(INDEX(Projects[Software Eng],214)))</f>
        <v/>
      </c>
      <c r="BW215" s="5">
        <f>IF(A215="","",N(INDEX(Projects[Misc],214)))</f>
        <v/>
      </c>
      <c r="BX215" s="5">
        <f>IF(A215="","",SUM(BJ215:BW215))</f>
        <v/>
      </c>
      <c r="BY215" s="5">
        <f>IF(A215="","",IFERROR(IF(ISNUMBER(U215),U215,VALUE(SUBSTITUTE(SUBSTITUTE(SUBSTITUTE(UPPER(TRIM(U215)),"M",""),",","")," ",""))),0))</f>
        <v/>
      </c>
      <c r="BZ215" s="5">
        <f>INDEX(Projects[Solution Type],214)&amp;""</f>
        <v/>
      </c>
      <c r="CA215" s="5">
        <f>INDEX(Projects[Client / Region],214)&amp;""</f>
        <v/>
      </c>
      <c r="CB215" s="5">
        <f>INDEX(Projects[Year],214)</f>
        <v/>
      </c>
      <c r="CC215" s="5">
        <f>INDEX(Projects[Won?],214)&amp;""</f>
        <v/>
      </c>
      <c r="CD215" s="5">
        <f>INDEX(Projects[Value (USD M)],214)</f>
        <v/>
      </c>
    </row>
    <row r="216" ht="15" customHeight="1" s="74">
      <c r="A216" s="66">
        <f>INDEX(Projects[Project ID *],215)&amp;""</f>
        <v/>
      </c>
      <c r="B216" s="66">
        <f>INDEX(Projects[Project Name *],215)&amp;""</f>
        <v/>
      </c>
      <c r="C216" s="66">
        <f>INDEX(Projects[MS Shuttles],215)</f>
        <v/>
      </c>
      <c r="D216" s="66">
        <f>INDEX(Projects[MS Tote Locations],215)</f>
        <v/>
      </c>
      <c r="E216" s="66">
        <f>INDEX(Projects[AS Robots],215)</f>
        <v/>
      </c>
      <c r="F216" s="66">
        <f>INDEX(Projects[AS Tote Locations],215)</f>
        <v/>
      </c>
      <c r="G216" s="66">
        <f>INDEX(Projects[PS Shuttles],215)</f>
        <v/>
      </c>
      <c r="H216" s="66">
        <f>INDEX(Projects[PS Pallet Locations],215)</f>
        <v/>
      </c>
      <c r="I216" s="66">
        <f>INDEX(Projects[SRM Cranes],215)</f>
        <v/>
      </c>
      <c r="J216" s="66">
        <f>INDEX(Projects[SRM Pallet Locations],215)</f>
        <v/>
      </c>
      <c r="K216" s="66">
        <f>INDEX(Projects[Case Conv (m)],215)</f>
        <v/>
      </c>
      <c r="L216" s="66">
        <f>INDEX(Projects[Pallet Conv (m)],215)</f>
        <v/>
      </c>
      <c r="M216" s="66">
        <f>INDEX(Projects[Mech Eng (wks)],215)</f>
        <v/>
      </c>
      <c r="N216" s="66">
        <f>INDEX(Projects[Controls Eng (wks)],215)</f>
        <v/>
      </c>
      <c r="O216" s="66">
        <f>INDEX(Projects[Systems Eng (wks)],215)</f>
        <v/>
      </c>
      <c r="P216" s="66">
        <f>INDEX(Projects[Software Eng (wks)],215)</f>
        <v/>
      </c>
      <c r="Q216" s="66">
        <f>INDEX(Projects[M&amp;E Installation (wks)],215)</f>
        <v/>
      </c>
      <c r="R216" s="66">
        <f>INDEX(Projects[Commissioning (wks)],215)</f>
        <v/>
      </c>
      <c r="S216" s="66">
        <f>INDEX(Projects[Total Timeline (wks)],215)</f>
        <v/>
      </c>
      <c r="T216" s="66">
        <f>INDEX(Projects[Currency],215)&amp;""</f>
        <v/>
      </c>
      <c r="U216" s="67">
        <f>INDEX(Projects[Value (M)],215)</f>
        <v/>
      </c>
      <c r="V216" s="66">
        <f>IF('Smart Search'!B13=1,IFERROR(1/'Smart Search'!H13,0),0)</f>
        <v/>
      </c>
      <c r="W216" s="66">
        <f>IF('Smart Search'!B13=1,IFERROR(1/'Smart Search'!H13,0),0)</f>
        <v/>
      </c>
      <c r="X216" s="66">
        <f>IF('Smart Search'!C13=1,IFERROR(1/'Smart Search'!H13,0),0)</f>
        <v/>
      </c>
      <c r="Y216" s="66">
        <f>IF('Smart Search'!C13=1,IFERROR(1/'Smart Search'!H13,0),0)</f>
        <v/>
      </c>
      <c r="Z216" s="66">
        <f>IF('Smart Search'!D13=1,IFERROR(1/'Smart Search'!H13,0),0)</f>
        <v/>
      </c>
      <c r="AA216" s="66">
        <f>IF('Smart Search'!D13=1,IFERROR(1/'Smart Search'!H13,0),0)</f>
        <v/>
      </c>
      <c r="AB216" s="66">
        <f>IF('Smart Search'!E13=1,IFERROR(1/'Smart Search'!H13,0),0)</f>
        <v/>
      </c>
      <c r="AC216" s="66">
        <f>IF('Smart Search'!E13=1,IFERROR(1/'Smart Search'!H13,0),0)</f>
        <v/>
      </c>
      <c r="AD216" s="66">
        <f>IF('Smart Search'!F13=1,IFERROR(1/'Smart Search'!H13,0),0)</f>
        <v/>
      </c>
      <c r="AE216" s="66">
        <f>IF('Smart Search'!F13=1,IFERROR(1/'Smart Search'!H13,0),0)</f>
        <v/>
      </c>
      <c r="AF216" s="66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66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66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66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66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66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66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66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66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66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66">
        <f>AF216*V216</f>
        <v/>
      </c>
      <c r="AQ216" s="66">
        <f>AG216*W216</f>
        <v/>
      </c>
      <c r="AR216" s="66">
        <f>AH216*X216</f>
        <v/>
      </c>
      <c r="AS216" s="66">
        <f>AI216*Y216</f>
        <v/>
      </c>
      <c r="AT216" s="66">
        <f>AJ216*Z216</f>
        <v/>
      </c>
      <c r="AU216" s="66">
        <f>AK216*AA216</f>
        <v/>
      </c>
      <c r="AV216" s="66">
        <f>AL216*AB216</f>
        <v/>
      </c>
      <c r="AW216" s="66">
        <f>AM216*AC216</f>
        <v/>
      </c>
      <c r="AX216" s="66">
        <f>AN216*AD216</f>
        <v/>
      </c>
      <c r="AY216" s="66">
        <f>AO216*AE216</f>
        <v/>
      </c>
      <c r="AZ216" s="66">
        <f>INDEX(Projects[Automation Equipment],215)&amp;""</f>
        <v/>
      </c>
      <c r="BA216" s="66">
        <f>IF(OR(A216="",'Smart Search'!H13=0),"",MAX(0,BE216*BF216*MAX(0,1-BG216)))</f>
        <v/>
      </c>
      <c r="BB216" s="66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66">
        <f>IF('Smart Search'!G13=1,IFERROR(1/'Smart Search'!H13,0),0)</f>
        <v/>
      </c>
      <c r="BD216" s="66">
        <f>BB216*BC216</f>
        <v/>
      </c>
      <c r="BE216" s="66">
        <f>AP216+AQ216+AR216+AS216+AT216+AU216+AV216+AW216+AX216+AY216+BD216</f>
        <v/>
      </c>
      <c r="BF216" s="5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5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5">
        <f>IF(AND(A216&lt;&gt;"",OR('Smart Search'!$L$5="",'Smart Search'!$L$5="All",TRIM(BZ216)=TRIM('Smart Search'!$L$5)),OR(TRIM('Smart Search'!$L$6)="",TRIM('Smart Search'!$L$6)="All",ISNUMBER(SEARCH(SUBSTITUTE(SUBSTITUTE(SUBSTITUTE(TRIM('Smart Search'!$L$6),"~","~~"),"*","~*"),"?","~?"),CA216))),OR('Smart Search'!$L$7="",AND(CB216&lt;&gt;0,CB216='Smart Search'!$L$7)),OR('Smart Search'!$L$8="",'Smart Search'!$L$8="All",TRIM(CC216)=TRIM('Smart Search'!$L$8))),IF(BA216="","",BA216+ROW()*0.0000000001),"")</f>
        <v/>
      </c>
      <c r="BI216" s="5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5">
        <f>IF(A216="","",N(INDEX(Projects[Mech Inst],215)))</f>
        <v/>
      </c>
      <c r="BK216" s="5">
        <f>IF(A216="","",N(INDEX(Projects[Elec Inst],215)))</f>
        <v/>
      </c>
      <c r="BL216" s="5">
        <f>IF(A216="","",N(INDEX(Projects[Project Management],215)))</f>
        <v/>
      </c>
      <c r="BM216" s="5">
        <f>IF(A216="","",N(INDEX(Projects[Systems Eng],215)))</f>
        <v/>
      </c>
      <c r="BN216" s="5">
        <f>IF(A216="","",N(INDEX(Projects[Mechanical Eng],215)))</f>
        <v/>
      </c>
      <c r="BO216" s="5">
        <f>IF(A216="","",N(INDEX(Projects[Structural Engineering],215)))</f>
        <v/>
      </c>
      <c r="BP216" s="5">
        <f>IF(A216="","",N(INDEX(Projects[Site Sup],215)))</f>
        <v/>
      </c>
      <c r="BQ216" s="5">
        <f>IF(A216="","",N(INDEX(Projects[Controls Commissioning],215)))</f>
        <v/>
      </c>
      <c r="BR216" s="5">
        <f>IF(A216="","",N(INDEX(Projects[Systems Commissioning],215)))</f>
        <v/>
      </c>
      <c r="BS216" s="5">
        <f>IF(A216="","",N(INDEX(Projects[Service Commissioning],215)))</f>
        <v/>
      </c>
      <c r="BT216" s="5">
        <f>IF(A216="","",N(INDEX(Projects[Controls Eng],215)))</f>
        <v/>
      </c>
      <c r="BU216" s="5">
        <f>IF(A216="","",N(INDEX(Projects[Controls Purchase],215)))</f>
        <v/>
      </c>
      <c r="BV216" s="5">
        <f>IF(A216="","",N(INDEX(Projects[Software Eng],215)))</f>
        <v/>
      </c>
      <c r="BW216" s="5">
        <f>IF(A216="","",N(INDEX(Projects[Misc],215)))</f>
        <v/>
      </c>
      <c r="BX216" s="5">
        <f>IF(A216="","",SUM(BJ216:BW216))</f>
        <v/>
      </c>
      <c r="BY216" s="5">
        <f>IF(A216="","",IFERROR(IF(ISNUMBER(U216),U216,VALUE(SUBSTITUTE(SUBSTITUTE(SUBSTITUTE(UPPER(TRIM(U216)),"M",""),",","")," ",""))),0))</f>
        <v/>
      </c>
      <c r="BZ216" s="5">
        <f>INDEX(Projects[Solution Type],215)&amp;""</f>
        <v/>
      </c>
      <c r="CA216" s="5">
        <f>INDEX(Projects[Client / Region],215)&amp;""</f>
        <v/>
      </c>
      <c r="CB216" s="5">
        <f>INDEX(Projects[Year],215)</f>
        <v/>
      </c>
      <c r="CC216" s="5">
        <f>INDEX(Projects[Won?],215)&amp;""</f>
        <v/>
      </c>
      <c r="CD216" s="5">
        <f>INDEX(Projects[Value (USD M)],215)</f>
        <v/>
      </c>
    </row>
    <row r="217" ht="15" customHeight="1" s="74">
      <c r="A217" s="66">
        <f>INDEX(Projects[Project ID *],216)&amp;""</f>
        <v/>
      </c>
      <c r="B217" s="66">
        <f>INDEX(Projects[Project Name *],216)&amp;""</f>
        <v/>
      </c>
      <c r="C217" s="66">
        <f>INDEX(Projects[MS Shuttles],216)</f>
        <v/>
      </c>
      <c r="D217" s="66">
        <f>INDEX(Projects[MS Tote Locations],216)</f>
        <v/>
      </c>
      <c r="E217" s="66">
        <f>INDEX(Projects[AS Robots],216)</f>
        <v/>
      </c>
      <c r="F217" s="66">
        <f>INDEX(Projects[AS Tote Locations],216)</f>
        <v/>
      </c>
      <c r="G217" s="66">
        <f>INDEX(Projects[PS Shuttles],216)</f>
        <v/>
      </c>
      <c r="H217" s="66">
        <f>INDEX(Projects[PS Pallet Locations],216)</f>
        <v/>
      </c>
      <c r="I217" s="66">
        <f>INDEX(Projects[SRM Cranes],216)</f>
        <v/>
      </c>
      <c r="J217" s="66">
        <f>INDEX(Projects[SRM Pallet Locations],216)</f>
        <v/>
      </c>
      <c r="K217" s="66">
        <f>INDEX(Projects[Case Conv (m)],216)</f>
        <v/>
      </c>
      <c r="L217" s="66">
        <f>INDEX(Projects[Pallet Conv (m)],216)</f>
        <v/>
      </c>
      <c r="M217" s="66">
        <f>INDEX(Projects[Mech Eng (wks)],216)</f>
        <v/>
      </c>
      <c r="N217" s="66">
        <f>INDEX(Projects[Controls Eng (wks)],216)</f>
        <v/>
      </c>
      <c r="O217" s="66">
        <f>INDEX(Projects[Systems Eng (wks)],216)</f>
        <v/>
      </c>
      <c r="P217" s="66">
        <f>INDEX(Projects[Software Eng (wks)],216)</f>
        <v/>
      </c>
      <c r="Q217" s="66">
        <f>INDEX(Projects[M&amp;E Installation (wks)],216)</f>
        <v/>
      </c>
      <c r="R217" s="66">
        <f>INDEX(Projects[Commissioning (wks)],216)</f>
        <v/>
      </c>
      <c r="S217" s="66">
        <f>INDEX(Projects[Total Timeline (wks)],216)</f>
        <v/>
      </c>
      <c r="T217" s="66">
        <f>INDEX(Projects[Currency],216)&amp;""</f>
        <v/>
      </c>
      <c r="U217" s="67">
        <f>INDEX(Projects[Value (M)],216)</f>
        <v/>
      </c>
      <c r="V217" s="66">
        <f>IF('Smart Search'!B13=1,IFERROR(1/'Smart Search'!H13,0),0)</f>
        <v/>
      </c>
      <c r="W217" s="66">
        <f>IF('Smart Search'!B13=1,IFERROR(1/'Smart Search'!H13,0),0)</f>
        <v/>
      </c>
      <c r="X217" s="66">
        <f>IF('Smart Search'!C13=1,IFERROR(1/'Smart Search'!H13,0),0)</f>
        <v/>
      </c>
      <c r="Y217" s="66">
        <f>IF('Smart Search'!C13=1,IFERROR(1/'Smart Search'!H13,0),0)</f>
        <v/>
      </c>
      <c r="Z217" s="66">
        <f>IF('Smart Search'!D13=1,IFERROR(1/'Smart Search'!H13,0),0)</f>
        <v/>
      </c>
      <c r="AA217" s="66">
        <f>IF('Smart Search'!D13=1,IFERROR(1/'Smart Search'!H13,0),0)</f>
        <v/>
      </c>
      <c r="AB217" s="66">
        <f>IF('Smart Search'!E13=1,IFERROR(1/'Smart Search'!H13,0),0)</f>
        <v/>
      </c>
      <c r="AC217" s="66">
        <f>IF('Smart Search'!E13=1,IFERROR(1/'Smart Search'!H13,0),0)</f>
        <v/>
      </c>
      <c r="AD217" s="66">
        <f>IF('Smart Search'!F13=1,IFERROR(1/'Smart Search'!H13,0),0)</f>
        <v/>
      </c>
      <c r="AE217" s="66">
        <f>IF('Smart Search'!F13=1,IFERROR(1/'Smart Search'!H13,0),0)</f>
        <v/>
      </c>
      <c r="AF217" s="66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66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66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66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66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66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66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66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66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66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66">
        <f>AF217*V217</f>
        <v/>
      </c>
      <c r="AQ217" s="66">
        <f>AG217*W217</f>
        <v/>
      </c>
      <c r="AR217" s="66">
        <f>AH217*X217</f>
        <v/>
      </c>
      <c r="AS217" s="66">
        <f>AI217*Y217</f>
        <v/>
      </c>
      <c r="AT217" s="66">
        <f>AJ217*Z217</f>
        <v/>
      </c>
      <c r="AU217" s="66">
        <f>AK217*AA217</f>
        <v/>
      </c>
      <c r="AV217" s="66">
        <f>AL217*AB217</f>
        <v/>
      </c>
      <c r="AW217" s="66">
        <f>AM217*AC217</f>
        <v/>
      </c>
      <c r="AX217" s="66">
        <f>AN217*AD217</f>
        <v/>
      </c>
      <c r="AY217" s="66">
        <f>AO217*AE217</f>
        <v/>
      </c>
      <c r="AZ217" s="66">
        <f>INDEX(Projects[Automation Equipment],216)&amp;""</f>
        <v/>
      </c>
      <c r="BA217" s="66">
        <f>IF(OR(A217="",'Smart Search'!H13=0),"",MAX(0,BE217*BF217*MAX(0,1-BG217)))</f>
        <v/>
      </c>
      <c r="BB217" s="66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66">
        <f>IF('Smart Search'!G13=1,IFERROR(1/'Smart Search'!H13,0),0)</f>
        <v/>
      </c>
      <c r="BD217" s="66">
        <f>BB217*BC217</f>
        <v/>
      </c>
      <c r="BE217" s="66">
        <f>AP217+AQ217+AR217+AS217+AT217+AU217+AV217+AW217+AX217+AY217+BD217</f>
        <v/>
      </c>
      <c r="BF217" s="5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5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5">
        <f>IF(AND(A217&lt;&gt;"",OR('Smart Search'!$L$5="",'Smart Search'!$L$5="All",TRIM(BZ217)=TRIM('Smart Search'!$L$5)),OR(TRIM('Smart Search'!$L$6)="",TRIM('Smart Search'!$L$6)="All",ISNUMBER(SEARCH(SUBSTITUTE(SUBSTITUTE(SUBSTITUTE(TRIM('Smart Search'!$L$6),"~","~~"),"*","~*"),"?","~?"),CA217))),OR('Smart Search'!$L$7="",AND(CB217&lt;&gt;0,CB217='Smart Search'!$L$7)),OR('Smart Search'!$L$8="",'Smart Search'!$L$8="All",TRIM(CC217)=TRIM('Smart Search'!$L$8))),IF(BA217="","",BA217+ROW()*0.0000000001),"")</f>
        <v/>
      </c>
      <c r="BI217" s="5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5">
        <f>IF(A217="","",N(INDEX(Projects[Mech Inst],216)))</f>
        <v/>
      </c>
      <c r="BK217" s="5">
        <f>IF(A217="","",N(INDEX(Projects[Elec Inst],216)))</f>
        <v/>
      </c>
      <c r="BL217" s="5">
        <f>IF(A217="","",N(INDEX(Projects[Project Management],216)))</f>
        <v/>
      </c>
      <c r="BM217" s="5">
        <f>IF(A217="","",N(INDEX(Projects[Systems Eng],216)))</f>
        <v/>
      </c>
      <c r="BN217" s="5">
        <f>IF(A217="","",N(INDEX(Projects[Mechanical Eng],216)))</f>
        <v/>
      </c>
      <c r="BO217" s="5">
        <f>IF(A217="","",N(INDEX(Projects[Structural Engineering],216)))</f>
        <v/>
      </c>
      <c r="BP217" s="5">
        <f>IF(A217="","",N(INDEX(Projects[Site Sup],216)))</f>
        <v/>
      </c>
      <c r="BQ217" s="5">
        <f>IF(A217="","",N(INDEX(Projects[Controls Commissioning],216)))</f>
        <v/>
      </c>
      <c r="BR217" s="5">
        <f>IF(A217="","",N(INDEX(Projects[Systems Commissioning],216)))</f>
        <v/>
      </c>
      <c r="BS217" s="5">
        <f>IF(A217="","",N(INDEX(Projects[Service Commissioning],216)))</f>
        <v/>
      </c>
      <c r="BT217" s="5">
        <f>IF(A217="","",N(INDEX(Projects[Controls Eng],216)))</f>
        <v/>
      </c>
      <c r="BU217" s="5">
        <f>IF(A217="","",N(INDEX(Projects[Controls Purchase],216)))</f>
        <v/>
      </c>
      <c r="BV217" s="5">
        <f>IF(A217="","",N(INDEX(Projects[Software Eng],216)))</f>
        <v/>
      </c>
      <c r="BW217" s="5">
        <f>IF(A217="","",N(INDEX(Projects[Misc],216)))</f>
        <v/>
      </c>
      <c r="BX217" s="5">
        <f>IF(A217="","",SUM(BJ217:BW217))</f>
        <v/>
      </c>
      <c r="BY217" s="5">
        <f>IF(A217="","",IFERROR(IF(ISNUMBER(U217),U217,VALUE(SUBSTITUTE(SUBSTITUTE(SUBSTITUTE(UPPER(TRIM(U217)),"M",""),",","")," ",""))),0))</f>
        <v/>
      </c>
      <c r="BZ217" s="5">
        <f>INDEX(Projects[Solution Type],216)&amp;""</f>
        <v/>
      </c>
      <c r="CA217" s="5">
        <f>INDEX(Projects[Client / Region],216)&amp;""</f>
        <v/>
      </c>
      <c r="CB217" s="5">
        <f>INDEX(Projects[Year],216)</f>
        <v/>
      </c>
      <c r="CC217" s="5">
        <f>INDEX(Projects[Won?],216)&amp;""</f>
        <v/>
      </c>
      <c r="CD217" s="5">
        <f>INDEX(Projects[Value (USD M)],216)</f>
        <v/>
      </c>
    </row>
    <row r="218" ht="15" customHeight="1" s="74">
      <c r="A218" s="66">
        <f>INDEX(Projects[Project ID *],217)&amp;""</f>
        <v/>
      </c>
      <c r="B218" s="66">
        <f>INDEX(Projects[Project Name *],217)&amp;""</f>
        <v/>
      </c>
      <c r="C218" s="66">
        <f>INDEX(Projects[MS Shuttles],217)</f>
        <v/>
      </c>
      <c r="D218" s="66">
        <f>INDEX(Projects[MS Tote Locations],217)</f>
        <v/>
      </c>
      <c r="E218" s="66">
        <f>INDEX(Projects[AS Robots],217)</f>
        <v/>
      </c>
      <c r="F218" s="66">
        <f>INDEX(Projects[AS Tote Locations],217)</f>
        <v/>
      </c>
      <c r="G218" s="66">
        <f>INDEX(Projects[PS Shuttles],217)</f>
        <v/>
      </c>
      <c r="H218" s="66">
        <f>INDEX(Projects[PS Pallet Locations],217)</f>
        <v/>
      </c>
      <c r="I218" s="66">
        <f>INDEX(Projects[SRM Cranes],217)</f>
        <v/>
      </c>
      <c r="J218" s="66">
        <f>INDEX(Projects[SRM Pallet Locations],217)</f>
        <v/>
      </c>
      <c r="K218" s="66">
        <f>INDEX(Projects[Case Conv (m)],217)</f>
        <v/>
      </c>
      <c r="L218" s="66">
        <f>INDEX(Projects[Pallet Conv (m)],217)</f>
        <v/>
      </c>
      <c r="M218" s="66">
        <f>INDEX(Projects[Mech Eng (wks)],217)</f>
        <v/>
      </c>
      <c r="N218" s="66">
        <f>INDEX(Projects[Controls Eng (wks)],217)</f>
        <v/>
      </c>
      <c r="O218" s="66">
        <f>INDEX(Projects[Systems Eng (wks)],217)</f>
        <v/>
      </c>
      <c r="P218" s="66">
        <f>INDEX(Projects[Software Eng (wks)],217)</f>
        <v/>
      </c>
      <c r="Q218" s="66">
        <f>INDEX(Projects[M&amp;E Installation (wks)],217)</f>
        <v/>
      </c>
      <c r="R218" s="66">
        <f>INDEX(Projects[Commissioning (wks)],217)</f>
        <v/>
      </c>
      <c r="S218" s="66">
        <f>INDEX(Projects[Total Timeline (wks)],217)</f>
        <v/>
      </c>
      <c r="T218" s="66">
        <f>INDEX(Projects[Currency],217)&amp;""</f>
        <v/>
      </c>
      <c r="U218" s="67">
        <f>INDEX(Projects[Value (M)],217)</f>
        <v/>
      </c>
      <c r="V218" s="66">
        <f>IF('Smart Search'!B13=1,IFERROR(1/'Smart Search'!H13,0),0)</f>
        <v/>
      </c>
      <c r="W218" s="66">
        <f>IF('Smart Search'!B13=1,IFERROR(1/'Smart Search'!H13,0),0)</f>
        <v/>
      </c>
      <c r="X218" s="66">
        <f>IF('Smart Search'!C13=1,IFERROR(1/'Smart Search'!H13,0),0)</f>
        <v/>
      </c>
      <c r="Y218" s="66">
        <f>IF('Smart Search'!C13=1,IFERROR(1/'Smart Search'!H13,0),0)</f>
        <v/>
      </c>
      <c r="Z218" s="66">
        <f>IF('Smart Search'!D13=1,IFERROR(1/'Smart Search'!H13,0),0)</f>
        <v/>
      </c>
      <c r="AA218" s="66">
        <f>IF('Smart Search'!D13=1,IFERROR(1/'Smart Search'!H13,0),0)</f>
        <v/>
      </c>
      <c r="AB218" s="66">
        <f>IF('Smart Search'!E13=1,IFERROR(1/'Smart Search'!H13,0),0)</f>
        <v/>
      </c>
      <c r="AC218" s="66">
        <f>IF('Smart Search'!E13=1,IFERROR(1/'Smart Search'!H13,0),0)</f>
        <v/>
      </c>
      <c r="AD218" s="66">
        <f>IF('Smart Search'!F13=1,IFERROR(1/'Smart Search'!H13,0),0)</f>
        <v/>
      </c>
      <c r="AE218" s="66">
        <f>IF('Smart Search'!F13=1,IFERROR(1/'Smart Search'!H13,0),0)</f>
        <v/>
      </c>
      <c r="AF218" s="66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66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66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66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66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66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66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66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66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66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66">
        <f>AF218*V218</f>
        <v/>
      </c>
      <c r="AQ218" s="66">
        <f>AG218*W218</f>
        <v/>
      </c>
      <c r="AR218" s="66">
        <f>AH218*X218</f>
        <v/>
      </c>
      <c r="AS218" s="66">
        <f>AI218*Y218</f>
        <v/>
      </c>
      <c r="AT218" s="66">
        <f>AJ218*Z218</f>
        <v/>
      </c>
      <c r="AU218" s="66">
        <f>AK218*AA218</f>
        <v/>
      </c>
      <c r="AV218" s="66">
        <f>AL218*AB218</f>
        <v/>
      </c>
      <c r="AW218" s="66">
        <f>AM218*AC218</f>
        <v/>
      </c>
      <c r="AX218" s="66">
        <f>AN218*AD218</f>
        <v/>
      </c>
      <c r="AY218" s="66">
        <f>AO218*AE218</f>
        <v/>
      </c>
      <c r="AZ218" s="66">
        <f>INDEX(Projects[Automation Equipment],217)&amp;""</f>
        <v/>
      </c>
      <c r="BA218" s="66">
        <f>IF(OR(A218="",'Smart Search'!H13=0),"",MAX(0,BE218*BF218*MAX(0,1-BG218)))</f>
        <v/>
      </c>
      <c r="BB218" s="66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66">
        <f>IF('Smart Search'!G13=1,IFERROR(1/'Smart Search'!H13,0),0)</f>
        <v/>
      </c>
      <c r="BD218" s="66">
        <f>BB218*BC218</f>
        <v/>
      </c>
      <c r="BE218" s="66">
        <f>AP218+AQ218+AR218+AS218+AT218+AU218+AV218+AW218+AX218+AY218+BD218</f>
        <v/>
      </c>
      <c r="BF218" s="5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5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5">
        <f>IF(AND(A218&lt;&gt;"",OR('Smart Search'!$L$5="",'Smart Search'!$L$5="All",TRIM(BZ218)=TRIM('Smart Search'!$L$5)),OR(TRIM('Smart Search'!$L$6)="",TRIM('Smart Search'!$L$6)="All",ISNUMBER(SEARCH(SUBSTITUTE(SUBSTITUTE(SUBSTITUTE(TRIM('Smart Search'!$L$6),"~","~~"),"*","~*"),"?","~?"),CA218))),OR('Smart Search'!$L$7="",AND(CB218&lt;&gt;0,CB218='Smart Search'!$L$7)),OR('Smart Search'!$L$8="",'Smart Search'!$L$8="All",TRIM(CC218)=TRIM('Smart Search'!$L$8))),IF(BA218="","",BA218+ROW()*0.0000000001),"")</f>
        <v/>
      </c>
      <c r="BI218" s="5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5">
        <f>IF(A218="","",N(INDEX(Projects[Mech Inst],217)))</f>
        <v/>
      </c>
      <c r="BK218" s="5">
        <f>IF(A218="","",N(INDEX(Projects[Elec Inst],217)))</f>
        <v/>
      </c>
      <c r="BL218" s="5">
        <f>IF(A218="","",N(INDEX(Projects[Project Management],217)))</f>
        <v/>
      </c>
      <c r="BM218" s="5">
        <f>IF(A218="","",N(INDEX(Projects[Systems Eng],217)))</f>
        <v/>
      </c>
      <c r="BN218" s="5">
        <f>IF(A218="","",N(INDEX(Projects[Mechanical Eng],217)))</f>
        <v/>
      </c>
      <c r="BO218" s="5">
        <f>IF(A218="","",N(INDEX(Projects[Structural Engineering],217)))</f>
        <v/>
      </c>
      <c r="BP218" s="5">
        <f>IF(A218="","",N(INDEX(Projects[Site Sup],217)))</f>
        <v/>
      </c>
      <c r="BQ218" s="5">
        <f>IF(A218="","",N(INDEX(Projects[Controls Commissioning],217)))</f>
        <v/>
      </c>
      <c r="BR218" s="5">
        <f>IF(A218="","",N(INDEX(Projects[Systems Commissioning],217)))</f>
        <v/>
      </c>
      <c r="BS218" s="5">
        <f>IF(A218="","",N(INDEX(Projects[Service Commissioning],217)))</f>
        <v/>
      </c>
      <c r="BT218" s="5">
        <f>IF(A218="","",N(INDEX(Projects[Controls Eng],217)))</f>
        <v/>
      </c>
      <c r="BU218" s="5">
        <f>IF(A218="","",N(INDEX(Projects[Controls Purchase],217)))</f>
        <v/>
      </c>
      <c r="BV218" s="5">
        <f>IF(A218="","",N(INDEX(Projects[Software Eng],217)))</f>
        <v/>
      </c>
      <c r="BW218" s="5">
        <f>IF(A218="","",N(INDEX(Projects[Misc],217)))</f>
        <v/>
      </c>
      <c r="BX218" s="5">
        <f>IF(A218="","",SUM(BJ218:BW218))</f>
        <v/>
      </c>
      <c r="BY218" s="5">
        <f>IF(A218="","",IFERROR(IF(ISNUMBER(U218),U218,VALUE(SUBSTITUTE(SUBSTITUTE(SUBSTITUTE(UPPER(TRIM(U218)),"M",""),",","")," ",""))),0))</f>
        <v/>
      </c>
      <c r="BZ218" s="5">
        <f>INDEX(Projects[Solution Type],217)&amp;""</f>
        <v/>
      </c>
      <c r="CA218" s="5">
        <f>INDEX(Projects[Client / Region],217)&amp;""</f>
        <v/>
      </c>
      <c r="CB218" s="5">
        <f>INDEX(Projects[Year],217)</f>
        <v/>
      </c>
      <c r="CC218" s="5">
        <f>INDEX(Projects[Won?],217)&amp;""</f>
        <v/>
      </c>
      <c r="CD218" s="5">
        <f>INDEX(Projects[Value (USD M)],217)</f>
        <v/>
      </c>
    </row>
    <row r="219" ht="15" customHeight="1" s="74">
      <c r="A219" s="66">
        <f>INDEX(Projects[Project ID *],218)&amp;""</f>
        <v/>
      </c>
      <c r="B219" s="66">
        <f>INDEX(Projects[Project Name *],218)&amp;""</f>
        <v/>
      </c>
      <c r="C219" s="66">
        <f>INDEX(Projects[MS Shuttles],218)</f>
        <v/>
      </c>
      <c r="D219" s="66">
        <f>INDEX(Projects[MS Tote Locations],218)</f>
        <v/>
      </c>
      <c r="E219" s="66">
        <f>INDEX(Projects[AS Robots],218)</f>
        <v/>
      </c>
      <c r="F219" s="66">
        <f>INDEX(Projects[AS Tote Locations],218)</f>
        <v/>
      </c>
      <c r="G219" s="66">
        <f>INDEX(Projects[PS Shuttles],218)</f>
        <v/>
      </c>
      <c r="H219" s="66">
        <f>INDEX(Projects[PS Pallet Locations],218)</f>
        <v/>
      </c>
      <c r="I219" s="66">
        <f>INDEX(Projects[SRM Cranes],218)</f>
        <v/>
      </c>
      <c r="J219" s="66">
        <f>INDEX(Projects[SRM Pallet Locations],218)</f>
        <v/>
      </c>
      <c r="K219" s="66">
        <f>INDEX(Projects[Case Conv (m)],218)</f>
        <v/>
      </c>
      <c r="L219" s="66">
        <f>INDEX(Projects[Pallet Conv (m)],218)</f>
        <v/>
      </c>
      <c r="M219" s="66">
        <f>INDEX(Projects[Mech Eng (wks)],218)</f>
        <v/>
      </c>
      <c r="N219" s="66">
        <f>INDEX(Projects[Controls Eng (wks)],218)</f>
        <v/>
      </c>
      <c r="O219" s="66">
        <f>INDEX(Projects[Systems Eng (wks)],218)</f>
        <v/>
      </c>
      <c r="P219" s="66">
        <f>INDEX(Projects[Software Eng (wks)],218)</f>
        <v/>
      </c>
      <c r="Q219" s="66">
        <f>INDEX(Projects[M&amp;E Installation (wks)],218)</f>
        <v/>
      </c>
      <c r="R219" s="66">
        <f>INDEX(Projects[Commissioning (wks)],218)</f>
        <v/>
      </c>
      <c r="S219" s="66">
        <f>INDEX(Projects[Total Timeline (wks)],218)</f>
        <v/>
      </c>
      <c r="T219" s="66">
        <f>INDEX(Projects[Currency],218)&amp;""</f>
        <v/>
      </c>
      <c r="U219" s="67">
        <f>INDEX(Projects[Value (M)],218)</f>
        <v/>
      </c>
      <c r="V219" s="66">
        <f>IF('Smart Search'!B13=1,IFERROR(1/'Smart Search'!H13,0),0)</f>
        <v/>
      </c>
      <c r="W219" s="66">
        <f>IF('Smart Search'!B13=1,IFERROR(1/'Smart Search'!H13,0),0)</f>
        <v/>
      </c>
      <c r="X219" s="66">
        <f>IF('Smart Search'!C13=1,IFERROR(1/'Smart Search'!H13,0),0)</f>
        <v/>
      </c>
      <c r="Y219" s="66">
        <f>IF('Smart Search'!C13=1,IFERROR(1/'Smart Search'!H13,0),0)</f>
        <v/>
      </c>
      <c r="Z219" s="66">
        <f>IF('Smart Search'!D13=1,IFERROR(1/'Smart Search'!H13,0),0)</f>
        <v/>
      </c>
      <c r="AA219" s="66">
        <f>IF('Smart Search'!D13=1,IFERROR(1/'Smart Search'!H13,0),0)</f>
        <v/>
      </c>
      <c r="AB219" s="66">
        <f>IF('Smart Search'!E13=1,IFERROR(1/'Smart Search'!H13,0),0)</f>
        <v/>
      </c>
      <c r="AC219" s="66">
        <f>IF('Smart Search'!E13=1,IFERROR(1/'Smart Search'!H13,0),0)</f>
        <v/>
      </c>
      <c r="AD219" s="66">
        <f>IF('Smart Search'!F13=1,IFERROR(1/'Smart Search'!H13,0),0)</f>
        <v/>
      </c>
      <c r="AE219" s="66">
        <f>IF('Smart Search'!F13=1,IFERROR(1/'Smart Search'!H13,0),0)</f>
        <v/>
      </c>
      <c r="AF219" s="66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66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66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66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66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66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66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66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66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66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66">
        <f>AF219*V219</f>
        <v/>
      </c>
      <c r="AQ219" s="66">
        <f>AG219*W219</f>
        <v/>
      </c>
      <c r="AR219" s="66">
        <f>AH219*X219</f>
        <v/>
      </c>
      <c r="AS219" s="66">
        <f>AI219*Y219</f>
        <v/>
      </c>
      <c r="AT219" s="66">
        <f>AJ219*Z219</f>
        <v/>
      </c>
      <c r="AU219" s="66">
        <f>AK219*AA219</f>
        <v/>
      </c>
      <c r="AV219" s="66">
        <f>AL219*AB219</f>
        <v/>
      </c>
      <c r="AW219" s="66">
        <f>AM219*AC219</f>
        <v/>
      </c>
      <c r="AX219" s="66">
        <f>AN219*AD219</f>
        <v/>
      </c>
      <c r="AY219" s="66">
        <f>AO219*AE219</f>
        <v/>
      </c>
      <c r="AZ219" s="66">
        <f>INDEX(Projects[Automation Equipment],218)&amp;""</f>
        <v/>
      </c>
      <c r="BA219" s="66">
        <f>IF(OR(A219="",'Smart Search'!H13=0),"",MAX(0,BE219*BF219*MAX(0,1-BG219)))</f>
        <v/>
      </c>
      <c r="BB219" s="66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66">
        <f>IF('Smart Search'!G13=1,IFERROR(1/'Smart Search'!H13,0),0)</f>
        <v/>
      </c>
      <c r="BD219" s="66">
        <f>BB219*BC219</f>
        <v/>
      </c>
      <c r="BE219" s="66">
        <f>AP219+AQ219+AR219+AS219+AT219+AU219+AV219+AW219+AX219+AY219+BD219</f>
        <v/>
      </c>
      <c r="BF219" s="5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5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5">
        <f>IF(AND(A219&lt;&gt;"",OR('Smart Search'!$L$5="",'Smart Search'!$L$5="All",TRIM(BZ219)=TRIM('Smart Search'!$L$5)),OR(TRIM('Smart Search'!$L$6)="",TRIM('Smart Search'!$L$6)="All",ISNUMBER(SEARCH(SUBSTITUTE(SUBSTITUTE(SUBSTITUTE(TRIM('Smart Search'!$L$6),"~","~~"),"*","~*"),"?","~?"),CA219))),OR('Smart Search'!$L$7="",AND(CB219&lt;&gt;0,CB219='Smart Search'!$L$7)),OR('Smart Search'!$L$8="",'Smart Search'!$L$8="All",TRIM(CC219)=TRIM('Smart Search'!$L$8))),IF(BA219="","",BA219+ROW()*0.0000000001),"")</f>
        <v/>
      </c>
      <c r="BI219" s="5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5">
        <f>IF(A219="","",N(INDEX(Projects[Mech Inst],218)))</f>
        <v/>
      </c>
      <c r="BK219" s="5">
        <f>IF(A219="","",N(INDEX(Projects[Elec Inst],218)))</f>
        <v/>
      </c>
      <c r="BL219" s="5">
        <f>IF(A219="","",N(INDEX(Projects[Project Management],218)))</f>
        <v/>
      </c>
      <c r="BM219" s="5">
        <f>IF(A219="","",N(INDEX(Projects[Systems Eng],218)))</f>
        <v/>
      </c>
      <c r="BN219" s="5">
        <f>IF(A219="","",N(INDEX(Projects[Mechanical Eng],218)))</f>
        <v/>
      </c>
      <c r="BO219" s="5">
        <f>IF(A219="","",N(INDEX(Projects[Structural Engineering],218)))</f>
        <v/>
      </c>
      <c r="BP219" s="5">
        <f>IF(A219="","",N(INDEX(Projects[Site Sup],218)))</f>
        <v/>
      </c>
      <c r="BQ219" s="5">
        <f>IF(A219="","",N(INDEX(Projects[Controls Commissioning],218)))</f>
        <v/>
      </c>
      <c r="BR219" s="5">
        <f>IF(A219="","",N(INDEX(Projects[Systems Commissioning],218)))</f>
        <v/>
      </c>
      <c r="BS219" s="5">
        <f>IF(A219="","",N(INDEX(Projects[Service Commissioning],218)))</f>
        <v/>
      </c>
      <c r="BT219" s="5">
        <f>IF(A219="","",N(INDEX(Projects[Controls Eng],218)))</f>
        <v/>
      </c>
      <c r="BU219" s="5">
        <f>IF(A219="","",N(INDEX(Projects[Controls Purchase],218)))</f>
        <v/>
      </c>
      <c r="BV219" s="5">
        <f>IF(A219="","",N(INDEX(Projects[Software Eng],218)))</f>
        <v/>
      </c>
      <c r="BW219" s="5">
        <f>IF(A219="","",N(INDEX(Projects[Misc],218)))</f>
        <v/>
      </c>
      <c r="BX219" s="5">
        <f>IF(A219="","",SUM(BJ219:BW219))</f>
        <v/>
      </c>
      <c r="BY219" s="5">
        <f>IF(A219="","",IFERROR(IF(ISNUMBER(U219),U219,VALUE(SUBSTITUTE(SUBSTITUTE(SUBSTITUTE(UPPER(TRIM(U219)),"M",""),",","")," ",""))),0))</f>
        <v/>
      </c>
      <c r="BZ219" s="5">
        <f>INDEX(Projects[Solution Type],218)&amp;""</f>
        <v/>
      </c>
      <c r="CA219" s="5">
        <f>INDEX(Projects[Client / Region],218)&amp;""</f>
        <v/>
      </c>
      <c r="CB219" s="5">
        <f>INDEX(Projects[Year],218)</f>
        <v/>
      </c>
      <c r="CC219" s="5">
        <f>INDEX(Projects[Won?],218)&amp;""</f>
        <v/>
      </c>
      <c r="CD219" s="5">
        <f>INDEX(Projects[Value (USD M)],218)</f>
        <v/>
      </c>
    </row>
    <row r="220" ht="15" customHeight="1" s="74">
      <c r="A220" s="66">
        <f>INDEX(Projects[Project ID *],219)&amp;""</f>
        <v/>
      </c>
      <c r="B220" s="66">
        <f>INDEX(Projects[Project Name *],219)&amp;""</f>
        <v/>
      </c>
      <c r="C220" s="66">
        <f>INDEX(Projects[MS Shuttles],219)</f>
        <v/>
      </c>
      <c r="D220" s="66">
        <f>INDEX(Projects[MS Tote Locations],219)</f>
        <v/>
      </c>
      <c r="E220" s="66">
        <f>INDEX(Projects[AS Robots],219)</f>
        <v/>
      </c>
      <c r="F220" s="66">
        <f>INDEX(Projects[AS Tote Locations],219)</f>
        <v/>
      </c>
      <c r="G220" s="66">
        <f>INDEX(Projects[PS Shuttles],219)</f>
        <v/>
      </c>
      <c r="H220" s="66">
        <f>INDEX(Projects[PS Pallet Locations],219)</f>
        <v/>
      </c>
      <c r="I220" s="66">
        <f>INDEX(Projects[SRM Cranes],219)</f>
        <v/>
      </c>
      <c r="J220" s="66">
        <f>INDEX(Projects[SRM Pallet Locations],219)</f>
        <v/>
      </c>
      <c r="K220" s="66">
        <f>INDEX(Projects[Case Conv (m)],219)</f>
        <v/>
      </c>
      <c r="L220" s="66">
        <f>INDEX(Projects[Pallet Conv (m)],219)</f>
        <v/>
      </c>
      <c r="M220" s="66">
        <f>INDEX(Projects[Mech Eng (wks)],219)</f>
        <v/>
      </c>
      <c r="N220" s="66">
        <f>INDEX(Projects[Controls Eng (wks)],219)</f>
        <v/>
      </c>
      <c r="O220" s="66">
        <f>INDEX(Projects[Systems Eng (wks)],219)</f>
        <v/>
      </c>
      <c r="P220" s="66">
        <f>INDEX(Projects[Software Eng (wks)],219)</f>
        <v/>
      </c>
      <c r="Q220" s="66">
        <f>INDEX(Projects[M&amp;E Installation (wks)],219)</f>
        <v/>
      </c>
      <c r="R220" s="66">
        <f>INDEX(Projects[Commissioning (wks)],219)</f>
        <v/>
      </c>
      <c r="S220" s="66">
        <f>INDEX(Projects[Total Timeline (wks)],219)</f>
        <v/>
      </c>
      <c r="T220" s="66">
        <f>INDEX(Projects[Currency],219)&amp;""</f>
        <v/>
      </c>
      <c r="U220" s="67">
        <f>INDEX(Projects[Value (M)],219)</f>
        <v/>
      </c>
      <c r="V220" s="66">
        <f>IF('Smart Search'!B13=1,IFERROR(1/'Smart Search'!H13,0),0)</f>
        <v/>
      </c>
      <c r="W220" s="66">
        <f>IF('Smart Search'!B13=1,IFERROR(1/'Smart Search'!H13,0),0)</f>
        <v/>
      </c>
      <c r="X220" s="66">
        <f>IF('Smart Search'!C13=1,IFERROR(1/'Smart Search'!H13,0),0)</f>
        <v/>
      </c>
      <c r="Y220" s="66">
        <f>IF('Smart Search'!C13=1,IFERROR(1/'Smart Search'!H13,0),0)</f>
        <v/>
      </c>
      <c r="Z220" s="66">
        <f>IF('Smart Search'!D13=1,IFERROR(1/'Smart Search'!H13,0),0)</f>
        <v/>
      </c>
      <c r="AA220" s="66">
        <f>IF('Smart Search'!D13=1,IFERROR(1/'Smart Search'!H13,0),0)</f>
        <v/>
      </c>
      <c r="AB220" s="66">
        <f>IF('Smart Search'!E13=1,IFERROR(1/'Smart Search'!H13,0),0)</f>
        <v/>
      </c>
      <c r="AC220" s="66">
        <f>IF('Smart Search'!E13=1,IFERROR(1/'Smart Search'!H13,0),0)</f>
        <v/>
      </c>
      <c r="AD220" s="66">
        <f>IF('Smart Search'!F13=1,IFERROR(1/'Smart Search'!H13,0),0)</f>
        <v/>
      </c>
      <c r="AE220" s="66">
        <f>IF('Smart Search'!F13=1,IFERROR(1/'Smart Search'!H13,0),0)</f>
        <v/>
      </c>
      <c r="AF220" s="66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66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66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66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66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66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66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66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66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66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66">
        <f>AF220*V220</f>
        <v/>
      </c>
      <c r="AQ220" s="66">
        <f>AG220*W220</f>
        <v/>
      </c>
      <c r="AR220" s="66">
        <f>AH220*X220</f>
        <v/>
      </c>
      <c r="AS220" s="66">
        <f>AI220*Y220</f>
        <v/>
      </c>
      <c r="AT220" s="66">
        <f>AJ220*Z220</f>
        <v/>
      </c>
      <c r="AU220" s="66">
        <f>AK220*AA220</f>
        <v/>
      </c>
      <c r="AV220" s="66">
        <f>AL220*AB220</f>
        <v/>
      </c>
      <c r="AW220" s="66">
        <f>AM220*AC220</f>
        <v/>
      </c>
      <c r="AX220" s="66">
        <f>AN220*AD220</f>
        <v/>
      </c>
      <c r="AY220" s="66">
        <f>AO220*AE220</f>
        <v/>
      </c>
      <c r="AZ220" s="66">
        <f>INDEX(Projects[Automation Equipment],219)&amp;""</f>
        <v/>
      </c>
      <c r="BA220" s="66">
        <f>IF(OR(A220="",'Smart Search'!H13=0),"",MAX(0,BE220*BF220*MAX(0,1-BG220)))</f>
        <v/>
      </c>
      <c r="BB220" s="66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66">
        <f>IF('Smart Search'!G13=1,IFERROR(1/'Smart Search'!H13,0),0)</f>
        <v/>
      </c>
      <c r="BD220" s="66">
        <f>BB220*BC220</f>
        <v/>
      </c>
      <c r="BE220" s="66">
        <f>AP220+AQ220+AR220+AS220+AT220+AU220+AV220+AW220+AX220+AY220+BD220</f>
        <v/>
      </c>
      <c r="BF220" s="5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5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5">
        <f>IF(AND(A220&lt;&gt;"",OR('Smart Search'!$L$5="",'Smart Search'!$L$5="All",TRIM(BZ220)=TRIM('Smart Search'!$L$5)),OR(TRIM('Smart Search'!$L$6)="",TRIM('Smart Search'!$L$6)="All",ISNUMBER(SEARCH(SUBSTITUTE(SUBSTITUTE(SUBSTITUTE(TRIM('Smart Search'!$L$6),"~","~~"),"*","~*"),"?","~?"),CA220))),OR('Smart Search'!$L$7="",AND(CB220&lt;&gt;0,CB220='Smart Search'!$L$7)),OR('Smart Search'!$L$8="",'Smart Search'!$L$8="All",TRIM(CC220)=TRIM('Smart Search'!$L$8))),IF(BA220="","",BA220+ROW()*0.0000000001),"")</f>
        <v/>
      </c>
      <c r="BI220" s="5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5">
        <f>IF(A220="","",N(INDEX(Projects[Mech Inst],219)))</f>
        <v/>
      </c>
      <c r="BK220" s="5">
        <f>IF(A220="","",N(INDEX(Projects[Elec Inst],219)))</f>
        <v/>
      </c>
      <c r="BL220" s="5">
        <f>IF(A220="","",N(INDEX(Projects[Project Management],219)))</f>
        <v/>
      </c>
      <c r="BM220" s="5">
        <f>IF(A220="","",N(INDEX(Projects[Systems Eng],219)))</f>
        <v/>
      </c>
      <c r="BN220" s="5">
        <f>IF(A220="","",N(INDEX(Projects[Mechanical Eng],219)))</f>
        <v/>
      </c>
      <c r="BO220" s="5">
        <f>IF(A220="","",N(INDEX(Projects[Structural Engineering],219)))</f>
        <v/>
      </c>
      <c r="BP220" s="5">
        <f>IF(A220="","",N(INDEX(Projects[Site Sup],219)))</f>
        <v/>
      </c>
      <c r="BQ220" s="5">
        <f>IF(A220="","",N(INDEX(Projects[Controls Commissioning],219)))</f>
        <v/>
      </c>
      <c r="BR220" s="5">
        <f>IF(A220="","",N(INDEX(Projects[Systems Commissioning],219)))</f>
        <v/>
      </c>
      <c r="BS220" s="5">
        <f>IF(A220="","",N(INDEX(Projects[Service Commissioning],219)))</f>
        <v/>
      </c>
      <c r="BT220" s="5">
        <f>IF(A220="","",N(INDEX(Projects[Controls Eng],219)))</f>
        <v/>
      </c>
      <c r="BU220" s="5">
        <f>IF(A220="","",N(INDEX(Projects[Controls Purchase],219)))</f>
        <v/>
      </c>
      <c r="BV220" s="5">
        <f>IF(A220="","",N(INDEX(Projects[Software Eng],219)))</f>
        <v/>
      </c>
      <c r="BW220" s="5">
        <f>IF(A220="","",N(INDEX(Projects[Misc],219)))</f>
        <v/>
      </c>
      <c r="BX220" s="5">
        <f>IF(A220="","",SUM(BJ220:BW220))</f>
        <v/>
      </c>
      <c r="BY220" s="5">
        <f>IF(A220="","",IFERROR(IF(ISNUMBER(U220),U220,VALUE(SUBSTITUTE(SUBSTITUTE(SUBSTITUTE(UPPER(TRIM(U220)),"M",""),",","")," ",""))),0))</f>
        <v/>
      </c>
      <c r="BZ220" s="5">
        <f>INDEX(Projects[Solution Type],219)&amp;""</f>
        <v/>
      </c>
      <c r="CA220" s="5">
        <f>INDEX(Projects[Client / Region],219)&amp;""</f>
        <v/>
      </c>
      <c r="CB220" s="5">
        <f>INDEX(Projects[Year],219)</f>
        <v/>
      </c>
      <c r="CC220" s="5">
        <f>INDEX(Projects[Won?],219)&amp;""</f>
        <v/>
      </c>
      <c r="CD220" s="5">
        <f>INDEX(Projects[Value (USD M)],219)</f>
        <v/>
      </c>
    </row>
    <row r="221" ht="15" customHeight="1" s="74">
      <c r="A221" s="66">
        <f>INDEX(Projects[Project ID *],220)&amp;""</f>
        <v/>
      </c>
      <c r="B221" s="66">
        <f>INDEX(Projects[Project Name *],220)&amp;""</f>
        <v/>
      </c>
      <c r="C221" s="66">
        <f>INDEX(Projects[MS Shuttles],220)</f>
        <v/>
      </c>
      <c r="D221" s="66">
        <f>INDEX(Projects[MS Tote Locations],220)</f>
        <v/>
      </c>
      <c r="E221" s="66">
        <f>INDEX(Projects[AS Robots],220)</f>
        <v/>
      </c>
      <c r="F221" s="66">
        <f>INDEX(Projects[AS Tote Locations],220)</f>
        <v/>
      </c>
      <c r="G221" s="66">
        <f>INDEX(Projects[PS Shuttles],220)</f>
        <v/>
      </c>
      <c r="H221" s="66">
        <f>INDEX(Projects[PS Pallet Locations],220)</f>
        <v/>
      </c>
      <c r="I221" s="66">
        <f>INDEX(Projects[SRM Cranes],220)</f>
        <v/>
      </c>
      <c r="J221" s="66">
        <f>INDEX(Projects[SRM Pallet Locations],220)</f>
        <v/>
      </c>
      <c r="K221" s="66">
        <f>INDEX(Projects[Case Conv (m)],220)</f>
        <v/>
      </c>
      <c r="L221" s="66">
        <f>INDEX(Projects[Pallet Conv (m)],220)</f>
        <v/>
      </c>
      <c r="M221" s="66">
        <f>INDEX(Projects[Mech Eng (wks)],220)</f>
        <v/>
      </c>
      <c r="N221" s="66">
        <f>INDEX(Projects[Controls Eng (wks)],220)</f>
        <v/>
      </c>
      <c r="O221" s="66">
        <f>INDEX(Projects[Systems Eng (wks)],220)</f>
        <v/>
      </c>
      <c r="P221" s="66">
        <f>INDEX(Projects[Software Eng (wks)],220)</f>
        <v/>
      </c>
      <c r="Q221" s="66">
        <f>INDEX(Projects[M&amp;E Installation (wks)],220)</f>
        <v/>
      </c>
      <c r="R221" s="66">
        <f>INDEX(Projects[Commissioning (wks)],220)</f>
        <v/>
      </c>
      <c r="S221" s="66">
        <f>INDEX(Projects[Total Timeline (wks)],220)</f>
        <v/>
      </c>
      <c r="T221" s="66">
        <f>INDEX(Projects[Currency],220)&amp;""</f>
        <v/>
      </c>
      <c r="U221" s="67">
        <f>INDEX(Projects[Value (M)],220)</f>
        <v/>
      </c>
      <c r="V221" s="66">
        <f>IF('Smart Search'!B13=1,IFERROR(1/'Smart Search'!H13,0),0)</f>
        <v/>
      </c>
      <c r="W221" s="66">
        <f>IF('Smart Search'!B13=1,IFERROR(1/'Smart Search'!H13,0),0)</f>
        <v/>
      </c>
      <c r="X221" s="66">
        <f>IF('Smart Search'!C13=1,IFERROR(1/'Smart Search'!H13,0),0)</f>
        <v/>
      </c>
      <c r="Y221" s="66">
        <f>IF('Smart Search'!C13=1,IFERROR(1/'Smart Search'!H13,0),0)</f>
        <v/>
      </c>
      <c r="Z221" s="66">
        <f>IF('Smart Search'!D13=1,IFERROR(1/'Smart Search'!H13,0),0)</f>
        <v/>
      </c>
      <c r="AA221" s="66">
        <f>IF('Smart Search'!D13=1,IFERROR(1/'Smart Search'!H13,0),0)</f>
        <v/>
      </c>
      <c r="AB221" s="66">
        <f>IF('Smart Search'!E13=1,IFERROR(1/'Smart Search'!H13,0),0)</f>
        <v/>
      </c>
      <c r="AC221" s="66">
        <f>IF('Smart Search'!E13=1,IFERROR(1/'Smart Search'!H13,0),0)</f>
        <v/>
      </c>
      <c r="AD221" s="66">
        <f>IF('Smart Search'!F13=1,IFERROR(1/'Smart Search'!H13,0),0)</f>
        <v/>
      </c>
      <c r="AE221" s="66">
        <f>IF('Smart Search'!F13=1,IFERROR(1/'Smart Search'!H13,0),0)</f>
        <v/>
      </c>
      <c r="AF221" s="66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66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66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66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66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66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66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66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66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66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66">
        <f>AF221*V221</f>
        <v/>
      </c>
      <c r="AQ221" s="66">
        <f>AG221*W221</f>
        <v/>
      </c>
      <c r="AR221" s="66">
        <f>AH221*X221</f>
        <v/>
      </c>
      <c r="AS221" s="66">
        <f>AI221*Y221</f>
        <v/>
      </c>
      <c r="AT221" s="66">
        <f>AJ221*Z221</f>
        <v/>
      </c>
      <c r="AU221" s="66">
        <f>AK221*AA221</f>
        <v/>
      </c>
      <c r="AV221" s="66">
        <f>AL221*AB221</f>
        <v/>
      </c>
      <c r="AW221" s="66">
        <f>AM221*AC221</f>
        <v/>
      </c>
      <c r="AX221" s="66">
        <f>AN221*AD221</f>
        <v/>
      </c>
      <c r="AY221" s="66">
        <f>AO221*AE221</f>
        <v/>
      </c>
      <c r="AZ221" s="66">
        <f>INDEX(Projects[Automation Equipment],220)&amp;""</f>
        <v/>
      </c>
      <c r="BA221" s="66">
        <f>IF(OR(A221="",'Smart Search'!H13=0),"",MAX(0,BE221*BF221*MAX(0,1-BG221)))</f>
        <v/>
      </c>
      <c r="BB221" s="66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66">
        <f>IF('Smart Search'!G13=1,IFERROR(1/'Smart Search'!H13,0),0)</f>
        <v/>
      </c>
      <c r="BD221" s="66">
        <f>BB221*BC221</f>
        <v/>
      </c>
      <c r="BE221" s="66">
        <f>AP221+AQ221+AR221+AS221+AT221+AU221+AV221+AW221+AX221+AY221+BD221</f>
        <v/>
      </c>
      <c r="BF221" s="5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5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5">
        <f>IF(AND(A221&lt;&gt;"",OR('Smart Search'!$L$5="",'Smart Search'!$L$5="All",TRIM(BZ221)=TRIM('Smart Search'!$L$5)),OR(TRIM('Smart Search'!$L$6)="",TRIM('Smart Search'!$L$6)="All",ISNUMBER(SEARCH(SUBSTITUTE(SUBSTITUTE(SUBSTITUTE(TRIM('Smart Search'!$L$6),"~","~~"),"*","~*"),"?","~?"),CA221))),OR('Smart Search'!$L$7="",AND(CB221&lt;&gt;0,CB221='Smart Search'!$L$7)),OR('Smart Search'!$L$8="",'Smart Search'!$L$8="All",TRIM(CC221)=TRIM('Smart Search'!$L$8))),IF(BA221="","",BA221+ROW()*0.0000000001),"")</f>
        <v/>
      </c>
      <c r="BI221" s="5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5">
        <f>IF(A221="","",N(INDEX(Projects[Mech Inst],220)))</f>
        <v/>
      </c>
      <c r="BK221" s="5">
        <f>IF(A221="","",N(INDEX(Projects[Elec Inst],220)))</f>
        <v/>
      </c>
      <c r="BL221" s="5">
        <f>IF(A221="","",N(INDEX(Projects[Project Management],220)))</f>
        <v/>
      </c>
      <c r="BM221" s="5">
        <f>IF(A221="","",N(INDEX(Projects[Systems Eng],220)))</f>
        <v/>
      </c>
      <c r="BN221" s="5">
        <f>IF(A221="","",N(INDEX(Projects[Mechanical Eng],220)))</f>
        <v/>
      </c>
      <c r="BO221" s="5">
        <f>IF(A221="","",N(INDEX(Projects[Structural Engineering],220)))</f>
        <v/>
      </c>
      <c r="BP221" s="5">
        <f>IF(A221="","",N(INDEX(Projects[Site Sup],220)))</f>
        <v/>
      </c>
      <c r="BQ221" s="5">
        <f>IF(A221="","",N(INDEX(Projects[Controls Commissioning],220)))</f>
        <v/>
      </c>
      <c r="BR221" s="5">
        <f>IF(A221="","",N(INDEX(Projects[Systems Commissioning],220)))</f>
        <v/>
      </c>
      <c r="BS221" s="5">
        <f>IF(A221="","",N(INDEX(Projects[Service Commissioning],220)))</f>
        <v/>
      </c>
      <c r="BT221" s="5">
        <f>IF(A221="","",N(INDEX(Projects[Controls Eng],220)))</f>
        <v/>
      </c>
      <c r="BU221" s="5">
        <f>IF(A221="","",N(INDEX(Projects[Controls Purchase],220)))</f>
        <v/>
      </c>
      <c r="BV221" s="5">
        <f>IF(A221="","",N(INDEX(Projects[Software Eng],220)))</f>
        <v/>
      </c>
      <c r="BW221" s="5">
        <f>IF(A221="","",N(INDEX(Projects[Misc],220)))</f>
        <v/>
      </c>
      <c r="BX221" s="5">
        <f>IF(A221="","",SUM(BJ221:BW221))</f>
        <v/>
      </c>
      <c r="BY221" s="5">
        <f>IF(A221="","",IFERROR(IF(ISNUMBER(U221),U221,VALUE(SUBSTITUTE(SUBSTITUTE(SUBSTITUTE(UPPER(TRIM(U221)),"M",""),",","")," ",""))),0))</f>
        <v/>
      </c>
      <c r="BZ221" s="5">
        <f>INDEX(Projects[Solution Type],220)&amp;""</f>
        <v/>
      </c>
      <c r="CA221" s="5">
        <f>INDEX(Projects[Client / Region],220)&amp;""</f>
        <v/>
      </c>
      <c r="CB221" s="5">
        <f>INDEX(Projects[Year],220)</f>
        <v/>
      </c>
      <c r="CC221" s="5">
        <f>INDEX(Projects[Won?],220)&amp;""</f>
        <v/>
      </c>
      <c r="CD221" s="5">
        <f>INDEX(Projects[Value (USD M)],220)</f>
        <v/>
      </c>
    </row>
    <row r="222" ht="15" customHeight="1" s="74">
      <c r="A222" s="66">
        <f>INDEX(Projects[Project ID *],221)&amp;""</f>
        <v/>
      </c>
      <c r="B222" s="66">
        <f>INDEX(Projects[Project Name *],221)&amp;""</f>
        <v/>
      </c>
      <c r="C222" s="66">
        <f>INDEX(Projects[MS Shuttles],221)</f>
        <v/>
      </c>
      <c r="D222" s="66">
        <f>INDEX(Projects[MS Tote Locations],221)</f>
        <v/>
      </c>
      <c r="E222" s="66">
        <f>INDEX(Projects[AS Robots],221)</f>
        <v/>
      </c>
      <c r="F222" s="66">
        <f>INDEX(Projects[AS Tote Locations],221)</f>
        <v/>
      </c>
      <c r="G222" s="66">
        <f>INDEX(Projects[PS Shuttles],221)</f>
        <v/>
      </c>
      <c r="H222" s="66">
        <f>INDEX(Projects[PS Pallet Locations],221)</f>
        <v/>
      </c>
      <c r="I222" s="66">
        <f>INDEX(Projects[SRM Cranes],221)</f>
        <v/>
      </c>
      <c r="J222" s="66">
        <f>INDEX(Projects[SRM Pallet Locations],221)</f>
        <v/>
      </c>
      <c r="K222" s="66">
        <f>INDEX(Projects[Case Conv (m)],221)</f>
        <v/>
      </c>
      <c r="L222" s="66">
        <f>INDEX(Projects[Pallet Conv (m)],221)</f>
        <v/>
      </c>
      <c r="M222" s="66">
        <f>INDEX(Projects[Mech Eng (wks)],221)</f>
        <v/>
      </c>
      <c r="N222" s="66">
        <f>INDEX(Projects[Controls Eng (wks)],221)</f>
        <v/>
      </c>
      <c r="O222" s="66">
        <f>INDEX(Projects[Systems Eng (wks)],221)</f>
        <v/>
      </c>
      <c r="P222" s="66">
        <f>INDEX(Projects[Software Eng (wks)],221)</f>
        <v/>
      </c>
      <c r="Q222" s="66">
        <f>INDEX(Projects[M&amp;E Installation (wks)],221)</f>
        <v/>
      </c>
      <c r="R222" s="66">
        <f>INDEX(Projects[Commissioning (wks)],221)</f>
        <v/>
      </c>
      <c r="S222" s="66">
        <f>INDEX(Projects[Total Timeline (wks)],221)</f>
        <v/>
      </c>
      <c r="T222" s="66">
        <f>INDEX(Projects[Currency],221)&amp;""</f>
        <v/>
      </c>
      <c r="U222" s="67">
        <f>INDEX(Projects[Value (M)],221)</f>
        <v/>
      </c>
      <c r="V222" s="66">
        <f>IF('Smart Search'!B13=1,IFERROR(1/'Smart Search'!H13,0),0)</f>
        <v/>
      </c>
      <c r="W222" s="66">
        <f>IF('Smart Search'!B13=1,IFERROR(1/'Smart Search'!H13,0),0)</f>
        <v/>
      </c>
      <c r="X222" s="66">
        <f>IF('Smart Search'!C13=1,IFERROR(1/'Smart Search'!H13,0),0)</f>
        <v/>
      </c>
      <c r="Y222" s="66">
        <f>IF('Smart Search'!C13=1,IFERROR(1/'Smart Search'!H13,0),0)</f>
        <v/>
      </c>
      <c r="Z222" s="66">
        <f>IF('Smart Search'!D13=1,IFERROR(1/'Smart Search'!H13,0),0)</f>
        <v/>
      </c>
      <c r="AA222" s="66">
        <f>IF('Smart Search'!D13=1,IFERROR(1/'Smart Search'!H13,0),0)</f>
        <v/>
      </c>
      <c r="AB222" s="66">
        <f>IF('Smart Search'!E13=1,IFERROR(1/'Smart Search'!H13,0),0)</f>
        <v/>
      </c>
      <c r="AC222" s="66">
        <f>IF('Smart Search'!E13=1,IFERROR(1/'Smart Search'!H13,0),0)</f>
        <v/>
      </c>
      <c r="AD222" s="66">
        <f>IF('Smart Search'!F13=1,IFERROR(1/'Smart Search'!H13,0),0)</f>
        <v/>
      </c>
      <c r="AE222" s="66">
        <f>IF('Smart Search'!F13=1,IFERROR(1/'Smart Search'!H13,0),0)</f>
        <v/>
      </c>
      <c r="AF222" s="66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66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66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66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66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66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66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66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66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66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66">
        <f>AF222*V222</f>
        <v/>
      </c>
      <c r="AQ222" s="66">
        <f>AG222*W222</f>
        <v/>
      </c>
      <c r="AR222" s="66">
        <f>AH222*X222</f>
        <v/>
      </c>
      <c r="AS222" s="66">
        <f>AI222*Y222</f>
        <v/>
      </c>
      <c r="AT222" s="66">
        <f>AJ222*Z222</f>
        <v/>
      </c>
      <c r="AU222" s="66">
        <f>AK222*AA222</f>
        <v/>
      </c>
      <c r="AV222" s="66">
        <f>AL222*AB222</f>
        <v/>
      </c>
      <c r="AW222" s="66">
        <f>AM222*AC222</f>
        <v/>
      </c>
      <c r="AX222" s="66">
        <f>AN222*AD222</f>
        <v/>
      </c>
      <c r="AY222" s="66">
        <f>AO222*AE222</f>
        <v/>
      </c>
      <c r="AZ222" s="66">
        <f>INDEX(Projects[Automation Equipment],221)&amp;""</f>
        <v/>
      </c>
      <c r="BA222" s="66">
        <f>IF(OR(A222="",'Smart Search'!H13=0),"",MAX(0,BE222*BF222*MAX(0,1-BG222)))</f>
        <v/>
      </c>
      <c r="BB222" s="66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66">
        <f>IF('Smart Search'!G13=1,IFERROR(1/'Smart Search'!H13,0),0)</f>
        <v/>
      </c>
      <c r="BD222" s="66">
        <f>BB222*BC222</f>
        <v/>
      </c>
      <c r="BE222" s="66">
        <f>AP222+AQ222+AR222+AS222+AT222+AU222+AV222+AW222+AX222+AY222+BD222</f>
        <v/>
      </c>
      <c r="BF222" s="5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5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5">
        <f>IF(AND(A222&lt;&gt;"",OR('Smart Search'!$L$5="",'Smart Search'!$L$5="All",TRIM(BZ222)=TRIM('Smart Search'!$L$5)),OR(TRIM('Smart Search'!$L$6)="",TRIM('Smart Search'!$L$6)="All",ISNUMBER(SEARCH(SUBSTITUTE(SUBSTITUTE(SUBSTITUTE(TRIM('Smart Search'!$L$6),"~","~~"),"*","~*"),"?","~?"),CA222))),OR('Smart Search'!$L$7="",AND(CB222&lt;&gt;0,CB222='Smart Search'!$L$7)),OR('Smart Search'!$L$8="",'Smart Search'!$L$8="All",TRIM(CC222)=TRIM('Smart Search'!$L$8))),IF(BA222="","",BA222+ROW()*0.0000000001),"")</f>
        <v/>
      </c>
      <c r="BI222" s="5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5">
        <f>IF(A222="","",N(INDEX(Projects[Mech Inst],221)))</f>
        <v/>
      </c>
      <c r="BK222" s="5">
        <f>IF(A222="","",N(INDEX(Projects[Elec Inst],221)))</f>
        <v/>
      </c>
      <c r="BL222" s="5">
        <f>IF(A222="","",N(INDEX(Projects[Project Management],221)))</f>
        <v/>
      </c>
      <c r="BM222" s="5">
        <f>IF(A222="","",N(INDEX(Projects[Systems Eng],221)))</f>
        <v/>
      </c>
      <c r="BN222" s="5">
        <f>IF(A222="","",N(INDEX(Projects[Mechanical Eng],221)))</f>
        <v/>
      </c>
      <c r="BO222" s="5">
        <f>IF(A222="","",N(INDEX(Projects[Structural Engineering],221)))</f>
        <v/>
      </c>
      <c r="BP222" s="5">
        <f>IF(A222="","",N(INDEX(Projects[Site Sup],221)))</f>
        <v/>
      </c>
      <c r="BQ222" s="5">
        <f>IF(A222="","",N(INDEX(Projects[Controls Commissioning],221)))</f>
        <v/>
      </c>
      <c r="BR222" s="5">
        <f>IF(A222="","",N(INDEX(Projects[Systems Commissioning],221)))</f>
        <v/>
      </c>
      <c r="BS222" s="5">
        <f>IF(A222="","",N(INDEX(Projects[Service Commissioning],221)))</f>
        <v/>
      </c>
      <c r="BT222" s="5">
        <f>IF(A222="","",N(INDEX(Projects[Controls Eng],221)))</f>
        <v/>
      </c>
      <c r="BU222" s="5">
        <f>IF(A222="","",N(INDEX(Projects[Controls Purchase],221)))</f>
        <v/>
      </c>
      <c r="BV222" s="5">
        <f>IF(A222="","",N(INDEX(Projects[Software Eng],221)))</f>
        <v/>
      </c>
      <c r="BW222" s="5">
        <f>IF(A222="","",N(INDEX(Projects[Misc],221)))</f>
        <v/>
      </c>
      <c r="BX222" s="5">
        <f>IF(A222="","",SUM(BJ222:BW222))</f>
        <v/>
      </c>
      <c r="BY222" s="5">
        <f>IF(A222="","",IFERROR(IF(ISNUMBER(U222),U222,VALUE(SUBSTITUTE(SUBSTITUTE(SUBSTITUTE(UPPER(TRIM(U222)),"M",""),",","")," ",""))),0))</f>
        <v/>
      </c>
      <c r="BZ222" s="5">
        <f>INDEX(Projects[Solution Type],221)&amp;""</f>
        <v/>
      </c>
      <c r="CA222" s="5">
        <f>INDEX(Projects[Client / Region],221)&amp;""</f>
        <v/>
      </c>
      <c r="CB222" s="5">
        <f>INDEX(Projects[Year],221)</f>
        <v/>
      </c>
      <c r="CC222" s="5">
        <f>INDEX(Projects[Won?],221)&amp;""</f>
        <v/>
      </c>
      <c r="CD222" s="5">
        <f>INDEX(Projects[Value (USD M)],221)</f>
        <v/>
      </c>
    </row>
    <row r="223" ht="15" customHeight="1" s="74">
      <c r="A223" s="66">
        <f>INDEX(Projects[Project ID *],222)&amp;""</f>
        <v/>
      </c>
      <c r="B223" s="66">
        <f>INDEX(Projects[Project Name *],222)&amp;""</f>
        <v/>
      </c>
      <c r="C223" s="66">
        <f>INDEX(Projects[MS Shuttles],222)</f>
        <v/>
      </c>
      <c r="D223" s="66">
        <f>INDEX(Projects[MS Tote Locations],222)</f>
        <v/>
      </c>
      <c r="E223" s="66">
        <f>INDEX(Projects[AS Robots],222)</f>
        <v/>
      </c>
      <c r="F223" s="66">
        <f>INDEX(Projects[AS Tote Locations],222)</f>
        <v/>
      </c>
      <c r="G223" s="66">
        <f>INDEX(Projects[PS Shuttles],222)</f>
        <v/>
      </c>
      <c r="H223" s="66">
        <f>INDEX(Projects[PS Pallet Locations],222)</f>
        <v/>
      </c>
      <c r="I223" s="66">
        <f>INDEX(Projects[SRM Cranes],222)</f>
        <v/>
      </c>
      <c r="J223" s="66">
        <f>INDEX(Projects[SRM Pallet Locations],222)</f>
        <v/>
      </c>
      <c r="K223" s="66">
        <f>INDEX(Projects[Case Conv (m)],222)</f>
        <v/>
      </c>
      <c r="L223" s="66">
        <f>INDEX(Projects[Pallet Conv (m)],222)</f>
        <v/>
      </c>
      <c r="M223" s="66">
        <f>INDEX(Projects[Mech Eng (wks)],222)</f>
        <v/>
      </c>
      <c r="N223" s="66">
        <f>INDEX(Projects[Controls Eng (wks)],222)</f>
        <v/>
      </c>
      <c r="O223" s="66">
        <f>INDEX(Projects[Systems Eng (wks)],222)</f>
        <v/>
      </c>
      <c r="P223" s="66">
        <f>INDEX(Projects[Software Eng (wks)],222)</f>
        <v/>
      </c>
      <c r="Q223" s="66">
        <f>INDEX(Projects[M&amp;E Installation (wks)],222)</f>
        <v/>
      </c>
      <c r="R223" s="66">
        <f>INDEX(Projects[Commissioning (wks)],222)</f>
        <v/>
      </c>
      <c r="S223" s="66">
        <f>INDEX(Projects[Total Timeline (wks)],222)</f>
        <v/>
      </c>
      <c r="T223" s="66">
        <f>INDEX(Projects[Currency],222)&amp;""</f>
        <v/>
      </c>
      <c r="U223" s="67">
        <f>INDEX(Projects[Value (M)],222)</f>
        <v/>
      </c>
      <c r="V223" s="66">
        <f>IF('Smart Search'!B13=1,IFERROR(1/'Smart Search'!H13,0),0)</f>
        <v/>
      </c>
      <c r="W223" s="66">
        <f>IF('Smart Search'!B13=1,IFERROR(1/'Smart Search'!H13,0),0)</f>
        <v/>
      </c>
      <c r="X223" s="66">
        <f>IF('Smart Search'!C13=1,IFERROR(1/'Smart Search'!H13,0),0)</f>
        <v/>
      </c>
      <c r="Y223" s="66">
        <f>IF('Smart Search'!C13=1,IFERROR(1/'Smart Search'!H13,0),0)</f>
        <v/>
      </c>
      <c r="Z223" s="66">
        <f>IF('Smart Search'!D13=1,IFERROR(1/'Smart Search'!H13,0),0)</f>
        <v/>
      </c>
      <c r="AA223" s="66">
        <f>IF('Smart Search'!D13=1,IFERROR(1/'Smart Search'!H13,0),0)</f>
        <v/>
      </c>
      <c r="AB223" s="66">
        <f>IF('Smart Search'!E13=1,IFERROR(1/'Smart Search'!H13,0),0)</f>
        <v/>
      </c>
      <c r="AC223" s="66">
        <f>IF('Smart Search'!E13=1,IFERROR(1/'Smart Search'!H13,0),0)</f>
        <v/>
      </c>
      <c r="AD223" s="66">
        <f>IF('Smart Search'!F13=1,IFERROR(1/'Smart Search'!H13,0),0)</f>
        <v/>
      </c>
      <c r="AE223" s="66">
        <f>IF('Smart Search'!F13=1,IFERROR(1/'Smart Search'!H13,0),0)</f>
        <v/>
      </c>
      <c r="AF223" s="66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66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66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66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66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66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66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66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66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66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66">
        <f>AF223*V223</f>
        <v/>
      </c>
      <c r="AQ223" s="66">
        <f>AG223*W223</f>
        <v/>
      </c>
      <c r="AR223" s="66">
        <f>AH223*X223</f>
        <v/>
      </c>
      <c r="AS223" s="66">
        <f>AI223*Y223</f>
        <v/>
      </c>
      <c r="AT223" s="66">
        <f>AJ223*Z223</f>
        <v/>
      </c>
      <c r="AU223" s="66">
        <f>AK223*AA223</f>
        <v/>
      </c>
      <c r="AV223" s="66">
        <f>AL223*AB223</f>
        <v/>
      </c>
      <c r="AW223" s="66">
        <f>AM223*AC223</f>
        <v/>
      </c>
      <c r="AX223" s="66">
        <f>AN223*AD223</f>
        <v/>
      </c>
      <c r="AY223" s="66">
        <f>AO223*AE223</f>
        <v/>
      </c>
      <c r="AZ223" s="66">
        <f>INDEX(Projects[Automation Equipment],222)&amp;""</f>
        <v/>
      </c>
      <c r="BA223" s="66">
        <f>IF(OR(A223="",'Smart Search'!H13=0),"",MAX(0,BE223*BF223*MAX(0,1-BG223)))</f>
        <v/>
      </c>
      <c r="BB223" s="66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66">
        <f>IF('Smart Search'!G13=1,IFERROR(1/'Smart Search'!H13,0),0)</f>
        <v/>
      </c>
      <c r="BD223" s="66">
        <f>BB223*BC223</f>
        <v/>
      </c>
      <c r="BE223" s="66">
        <f>AP223+AQ223+AR223+AS223+AT223+AU223+AV223+AW223+AX223+AY223+BD223</f>
        <v/>
      </c>
      <c r="BF223" s="5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5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5">
        <f>IF(AND(A223&lt;&gt;"",OR('Smart Search'!$L$5="",'Smart Search'!$L$5="All",TRIM(BZ223)=TRIM('Smart Search'!$L$5)),OR(TRIM('Smart Search'!$L$6)="",TRIM('Smart Search'!$L$6)="All",ISNUMBER(SEARCH(SUBSTITUTE(SUBSTITUTE(SUBSTITUTE(TRIM('Smart Search'!$L$6),"~","~~"),"*","~*"),"?","~?"),CA223))),OR('Smart Search'!$L$7="",AND(CB223&lt;&gt;0,CB223='Smart Search'!$L$7)),OR('Smart Search'!$L$8="",'Smart Search'!$L$8="All",TRIM(CC223)=TRIM('Smart Search'!$L$8))),IF(BA223="","",BA223+ROW()*0.0000000001),"")</f>
        <v/>
      </c>
      <c r="BI223" s="5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5">
        <f>IF(A223="","",N(INDEX(Projects[Mech Inst],222)))</f>
        <v/>
      </c>
      <c r="BK223" s="5">
        <f>IF(A223="","",N(INDEX(Projects[Elec Inst],222)))</f>
        <v/>
      </c>
      <c r="BL223" s="5">
        <f>IF(A223="","",N(INDEX(Projects[Project Management],222)))</f>
        <v/>
      </c>
      <c r="BM223" s="5">
        <f>IF(A223="","",N(INDEX(Projects[Systems Eng],222)))</f>
        <v/>
      </c>
      <c r="BN223" s="5">
        <f>IF(A223="","",N(INDEX(Projects[Mechanical Eng],222)))</f>
        <v/>
      </c>
      <c r="BO223" s="5">
        <f>IF(A223="","",N(INDEX(Projects[Structural Engineering],222)))</f>
        <v/>
      </c>
      <c r="BP223" s="5">
        <f>IF(A223="","",N(INDEX(Projects[Site Sup],222)))</f>
        <v/>
      </c>
      <c r="BQ223" s="5">
        <f>IF(A223="","",N(INDEX(Projects[Controls Commissioning],222)))</f>
        <v/>
      </c>
      <c r="BR223" s="5">
        <f>IF(A223="","",N(INDEX(Projects[Systems Commissioning],222)))</f>
        <v/>
      </c>
      <c r="BS223" s="5">
        <f>IF(A223="","",N(INDEX(Projects[Service Commissioning],222)))</f>
        <v/>
      </c>
      <c r="BT223" s="5">
        <f>IF(A223="","",N(INDEX(Projects[Controls Eng],222)))</f>
        <v/>
      </c>
      <c r="BU223" s="5">
        <f>IF(A223="","",N(INDEX(Projects[Controls Purchase],222)))</f>
        <v/>
      </c>
      <c r="BV223" s="5">
        <f>IF(A223="","",N(INDEX(Projects[Software Eng],222)))</f>
        <v/>
      </c>
      <c r="BW223" s="5">
        <f>IF(A223="","",N(INDEX(Projects[Misc],222)))</f>
        <v/>
      </c>
      <c r="BX223" s="5">
        <f>IF(A223="","",SUM(BJ223:BW223))</f>
        <v/>
      </c>
      <c r="BY223" s="5">
        <f>IF(A223="","",IFERROR(IF(ISNUMBER(U223),U223,VALUE(SUBSTITUTE(SUBSTITUTE(SUBSTITUTE(UPPER(TRIM(U223)),"M",""),",","")," ",""))),0))</f>
        <v/>
      </c>
      <c r="BZ223" s="5">
        <f>INDEX(Projects[Solution Type],222)&amp;""</f>
        <v/>
      </c>
      <c r="CA223" s="5">
        <f>INDEX(Projects[Client / Region],222)&amp;""</f>
        <v/>
      </c>
      <c r="CB223" s="5">
        <f>INDEX(Projects[Year],222)</f>
        <v/>
      </c>
      <c r="CC223" s="5">
        <f>INDEX(Projects[Won?],222)&amp;""</f>
        <v/>
      </c>
      <c r="CD223" s="5">
        <f>INDEX(Projects[Value (USD M)],222)</f>
        <v/>
      </c>
    </row>
    <row r="224" ht="15" customHeight="1" s="74">
      <c r="A224" s="66">
        <f>INDEX(Projects[Project ID *],223)&amp;""</f>
        <v/>
      </c>
      <c r="B224" s="66">
        <f>INDEX(Projects[Project Name *],223)&amp;""</f>
        <v/>
      </c>
      <c r="C224" s="66">
        <f>INDEX(Projects[MS Shuttles],223)</f>
        <v/>
      </c>
      <c r="D224" s="66">
        <f>INDEX(Projects[MS Tote Locations],223)</f>
        <v/>
      </c>
      <c r="E224" s="66">
        <f>INDEX(Projects[AS Robots],223)</f>
        <v/>
      </c>
      <c r="F224" s="66">
        <f>INDEX(Projects[AS Tote Locations],223)</f>
        <v/>
      </c>
      <c r="G224" s="66">
        <f>INDEX(Projects[PS Shuttles],223)</f>
        <v/>
      </c>
      <c r="H224" s="66">
        <f>INDEX(Projects[PS Pallet Locations],223)</f>
        <v/>
      </c>
      <c r="I224" s="66">
        <f>INDEX(Projects[SRM Cranes],223)</f>
        <v/>
      </c>
      <c r="J224" s="66">
        <f>INDEX(Projects[SRM Pallet Locations],223)</f>
        <v/>
      </c>
      <c r="K224" s="66">
        <f>INDEX(Projects[Case Conv (m)],223)</f>
        <v/>
      </c>
      <c r="L224" s="66">
        <f>INDEX(Projects[Pallet Conv (m)],223)</f>
        <v/>
      </c>
      <c r="M224" s="66">
        <f>INDEX(Projects[Mech Eng (wks)],223)</f>
        <v/>
      </c>
      <c r="N224" s="66">
        <f>INDEX(Projects[Controls Eng (wks)],223)</f>
        <v/>
      </c>
      <c r="O224" s="66">
        <f>INDEX(Projects[Systems Eng (wks)],223)</f>
        <v/>
      </c>
      <c r="P224" s="66">
        <f>INDEX(Projects[Software Eng (wks)],223)</f>
        <v/>
      </c>
      <c r="Q224" s="66">
        <f>INDEX(Projects[M&amp;E Installation (wks)],223)</f>
        <v/>
      </c>
      <c r="R224" s="66">
        <f>INDEX(Projects[Commissioning (wks)],223)</f>
        <v/>
      </c>
      <c r="S224" s="66">
        <f>INDEX(Projects[Total Timeline (wks)],223)</f>
        <v/>
      </c>
      <c r="T224" s="66">
        <f>INDEX(Projects[Currency],223)&amp;""</f>
        <v/>
      </c>
      <c r="U224" s="67">
        <f>INDEX(Projects[Value (M)],223)</f>
        <v/>
      </c>
      <c r="V224" s="66">
        <f>IF('Smart Search'!B13=1,IFERROR(1/'Smart Search'!H13,0),0)</f>
        <v/>
      </c>
      <c r="W224" s="66">
        <f>IF('Smart Search'!B13=1,IFERROR(1/'Smart Search'!H13,0),0)</f>
        <v/>
      </c>
      <c r="X224" s="66">
        <f>IF('Smart Search'!C13=1,IFERROR(1/'Smart Search'!H13,0),0)</f>
        <v/>
      </c>
      <c r="Y224" s="66">
        <f>IF('Smart Search'!C13=1,IFERROR(1/'Smart Search'!H13,0),0)</f>
        <v/>
      </c>
      <c r="Z224" s="66">
        <f>IF('Smart Search'!D13=1,IFERROR(1/'Smart Search'!H13,0),0)</f>
        <v/>
      </c>
      <c r="AA224" s="66">
        <f>IF('Smart Search'!D13=1,IFERROR(1/'Smart Search'!H13,0),0)</f>
        <v/>
      </c>
      <c r="AB224" s="66">
        <f>IF('Smart Search'!E13=1,IFERROR(1/'Smart Search'!H13,0),0)</f>
        <v/>
      </c>
      <c r="AC224" s="66">
        <f>IF('Smart Search'!E13=1,IFERROR(1/'Smart Search'!H13,0),0)</f>
        <v/>
      </c>
      <c r="AD224" s="66">
        <f>IF('Smart Search'!F13=1,IFERROR(1/'Smart Search'!H13,0),0)</f>
        <v/>
      </c>
      <c r="AE224" s="66">
        <f>IF('Smart Search'!F13=1,IFERROR(1/'Smart Search'!H13,0),0)</f>
        <v/>
      </c>
      <c r="AF224" s="66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66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66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66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66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66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66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66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66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66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66">
        <f>AF224*V224</f>
        <v/>
      </c>
      <c r="AQ224" s="66">
        <f>AG224*W224</f>
        <v/>
      </c>
      <c r="AR224" s="66">
        <f>AH224*X224</f>
        <v/>
      </c>
      <c r="AS224" s="66">
        <f>AI224*Y224</f>
        <v/>
      </c>
      <c r="AT224" s="66">
        <f>AJ224*Z224</f>
        <v/>
      </c>
      <c r="AU224" s="66">
        <f>AK224*AA224</f>
        <v/>
      </c>
      <c r="AV224" s="66">
        <f>AL224*AB224</f>
        <v/>
      </c>
      <c r="AW224" s="66">
        <f>AM224*AC224</f>
        <v/>
      </c>
      <c r="AX224" s="66">
        <f>AN224*AD224</f>
        <v/>
      </c>
      <c r="AY224" s="66">
        <f>AO224*AE224</f>
        <v/>
      </c>
      <c r="AZ224" s="66">
        <f>INDEX(Projects[Automation Equipment],223)&amp;""</f>
        <v/>
      </c>
      <c r="BA224" s="66">
        <f>IF(OR(A224="",'Smart Search'!H13=0),"",MAX(0,BE224*BF224*MAX(0,1-BG224)))</f>
        <v/>
      </c>
      <c r="BB224" s="66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66">
        <f>IF('Smart Search'!G13=1,IFERROR(1/'Smart Search'!H13,0),0)</f>
        <v/>
      </c>
      <c r="BD224" s="66">
        <f>BB224*BC224</f>
        <v/>
      </c>
      <c r="BE224" s="66">
        <f>AP224+AQ224+AR224+AS224+AT224+AU224+AV224+AW224+AX224+AY224+BD224</f>
        <v/>
      </c>
      <c r="BF224" s="5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5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5">
        <f>IF(AND(A224&lt;&gt;"",OR('Smart Search'!$L$5="",'Smart Search'!$L$5="All",TRIM(BZ224)=TRIM('Smart Search'!$L$5)),OR(TRIM('Smart Search'!$L$6)="",TRIM('Smart Search'!$L$6)="All",ISNUMBER(SEARCH(SUBSTITUTE(SUBSTITUTE(SUBSTITUTE(TRIM('Smart Search'!$L$6),"~","~~"),"*","~*"),"?","~?"),CA224))),OR('Smart Search'!$L$7="",AND(CB224&lt;&gt;0,CB224='Smart Search'!$L$7)),OR('Smart Search'!$L$8="",'Smart Search'!$L$8="All",TRIM(CC224)=TRIM('Smart Search'!$L$8))),IF(BA224="","",BA224+ROW()*0.0000000001),"")</f>
        <v/>
      </c>
      <c r="BI224" s="5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5">
        <f>IF(A224="","",N(INDEX(Projects[Mech Inst],223)))</f>
        <v/>
      </c>
      <c r="BK224" s="5">
        <f>IF(A224="","",N(INDEX(Projects[Elec Inst],223)))</f>
        <v/>
      </c>
      <c r="BL224" s="5">
        <f>IF(A224="","",N(INDEX(Projects[Project Management],223)))</f>
        <v/>
      </c>
      <c r="BM224" s="5">
        <f>IF(A224="","",N(INDEX(Projects[Systems Eng],223)))</f>
        <v/>
      </c>
      <c r="BN224" s="5">
        <f>IF(A224="","",N(INDEX(Projects[Mechanical Eng],223)))</f>
        <v/>
      </c>
      <c r="BO224" s="5">
        <f>IF(A224="","",N(INDEX(Projects[Structural Engineering],223)))</f>
        <v/>
      </c>
      <c r="BP224" s="5">
        <f>IF(A224="","",N(INDEX(Projects[Site Sup],223)))</f>
        <v/>
      </c>
      <c r="BQ224" s="5">
        <f>IF(A224="","",N(INDEX(Projects[Controls Commissioning],223)))</f>
        <v/>
      </c>
      <c r="BR224" s="5">
        <f>IF(A224="","",N(INDEX(Projects[Systems Commissioning],223)))</f>
        <v/>
      </c>
      <c r="BS224" s="5">
        <f>IF(A224="","",N(INDEX(Projects[Service Commissioning],223)))</f>
        <v/>
      </c>
      <c r="BT224" s="5">
        <f>IF(A224="","",N(INDEX(Projects[Controls Eng],223)))</f>
        <v/>
      </c>
      <c r="BU224" s="5">
        <f>IF(A224="","",N(INDEX(Projects[Controls Purchase],223)))</f>
        <v/>
      </c>
      <c r="BV224" s="5">
        <f>IF(A224="","",N(INDEX(Projects[Software Eng],223)))</f>
        <v/>
      </c>
      <c r="BW224" s="5">
        <f>IF(A224="","",N(INDEX(Projects[Misc],223)))</f>
        <v/>
      </c>
      <c r="BX224" s="5">
        <f>IF(A224="","",SUM(BJ224:BW224))</f>
        <v/>
      </c>
      <c r="BY224" s="5">
        <f>IF(A224="","",IFERROR(IF(ISNUMBER(U224),U224,VALUE(SUBSTITUTE(SUBSTITUTE(SUBSTITUTE(UPPER(TRIM(U224)),"M",""),",","")," ",""))),0))</f>
        <v/>
      </c>
      <c r="BZ224" s="5">
        <f>INDEX(Projects[Solution Type],223)&amp;""</f>
        <v/>
      </c>
      <c r="CA224" s="5">
        <f>INDEX(Projects[Client / Region],223)&amp;""</f>
        <v/>
      </c>
      <c r="CB224" s="5">
        <f>INDEX(Projects[Year],223)</f>
        <v/>
      </c>
      <c r="CC224" s="5">
        <f>INDEX(Projects[Won?],223)&amp;""</f>
        <v/>
      </c>
      <c r="CD224" s="5">
        <f>INDEX(Projects[Value (USD M)],223)</f>
        <v/>
      </c>
    </row>
    <row r="225" ht="15" customHeight="1" s="74">
      <c r="A225" s="66">
        <f>INDEX(Projects[Project ID *],224)&amp;""</f>
        <v/>
      </c>
      <c r="B225" s="66">
        <f>INDEX(Projects[Project Name *],224)&amp;""</f>
        <v/>
      </c>
      <c r="C225" s="66">
        <f>INDEX(Projects[MS Shuttles],224)</f>
        <v/>
      </c>
      <c r="D225" s="66">
        <f>INDEX(Projects[MS Tote Locations],224)</f>
        <v/>
      </c>
      <c r="E225" s="66">
        <f>INDEX(Projects[AS Robots],224)</f>
        <v/>
      </c>
      <c r="F225" s="66">
        <f>INDEX(Projects[AS Tote Locations],224)</f>
        <v/>
      </c>
      <c r="G225" s="66">
        <f>INDEX(Projects[PS Shuttles],224)</f>
        <v/>
      </c>
      <c r="H225" s="66">
        <f>INDEX(Projects[PS Pallet Locations],224)</f>
        <v/>
      </c>
      <c r="I225" s="66">
        <f>INDEX(Projects[SRM Cranes],224)</f>
        <v/>
      </c>
      <c r="J225" s="66">
        <f>INDEX(Projects[SRM Pallet Locations],224)</f>
        <v/>
      </c>
      <c r="K225" s="66">
        <f>INDEX(Projects[Case Conv (m)],224)</f>
        <v/>
      </c>
      <c r="L225" s="66">
        <f>INDEX(Projects[Pallet Conv (m)],224)</f>
        <v/>
      </c>
      <c r="M225" s="66">
        <f>INDEX(Projects[Mech Eng (wks)],224)</f>
        <v/>
      </c>
      <c r="N225" s="66">
        <f>INDEX(Projects[Controls Eng (wks)],224)</f>
        <v/>
      </c>
      <c r="O225" s="66">
        <f>INDEX(Projects[Systems Eng (wks)],224)</f>
        <v/>
      </c>
      <c r="P225" s="66">
        <f>INDEX(Projects[Software Eng (wks)],224)</f>
        <v/>
      </c>
      <c r="Q225" s="66">
        <f>INDEX(Projects[M&amp;E Installation (wks)],224)</f>
        <v/>
      </c>
      <c r="R225" s="66">
        <f>INDEX(Projects[Commissioning (wks)],224)</f>
        <v/>
      </c>
      <c r="S225" s="66">
        <f>INDEX(Projects[Total Timeline (wks)],224)</f>
        <v/>
      </c>
      <c r="T225" s="66">
        <f>INDEX(Projects[Currency],224)&amp;""</f>
        <v/>
      </c>
      <c r="U225" s="67">
        <f>INDEX(Projects[Value (M)],224)</f>
        <v/>
      </c>
      <c r="V225" s="66">
        <f>IF('Smart Search'!B13=1,IFERROR(1/'Smart Search'!H13,0),0)</f>
        <v/>
      </c>
      <c r="W225" s="66">
        <f>IF('Smart Search'!B13=1,IFERROR(1/'Smart Search'!H13,0),0)</f>
        <v/>
      </c>
      <c r="X225" s="66">
        <f>IF('Smart Search'!C13=1,IFERROR(1/'Smart Search'!H13,0),0)</f>
        <v/>
      </c>
      <c r="Y225" s="66">
        <f>IF('Smart Search'!C13=1,IFERROR(1/'Smart Search'!H13,0),0)</f>
        <v/>
      </c>
      <c r="Z225" s="66">
        <f>IF('Smart Search'!D13=1,IFERROR(1/'Smart Search'!H13,0),0)</f>
        <v/>
      </c>
      <c r="AA225" s="66">
        <f>IF('Smart Search'!D13=1,IFERROR(1/'Smart Search'!H13,0),0)</f>
        <v/>
      </c>
      <c r="AB225" s="66">
        <f>IF('Smart Search'!E13=1,IFERROR(1/'Smart Search'!H13,0),0)</f>
        <v/>
      </c>
      <c r="AC225" s="66">
        <f>IF('Smart Search'!E13=1,IFERROR(1/'Smart Search'!H13,0),0)</f>
        <v/>
      </c>
      <c r="AD225" s="66">
        <f>IF('Smart Search'!F13=1,IFERROR(1/'Smart Search'!H13,0),0)</f>
        <v/>
      </c>
      <c r="AE225" s="66">
        <f>IF('Smart Search'!F13=1,IFERROR(1/'Smart Search'!H13,0),0)</f>
        <v/>
      </c>
      <c r="AF225" s="66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66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66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66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66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66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66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66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66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66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66">
        <f>AF225*V225</f>
        <v/>
      </c>
      <c r="AQ225" s="66">
        <f>AG225*W225</f>
        <v/>
      </c>
      <c r="AR225" s="66">
        <f>AH225*X225</f>
        <v/>
      </c>
      <c r="AS225" s="66">
        <f>AI225*Y225</f>
        <v/>
      </c>
      <c r="AT225" s="66">
        <f>AJ225*Z225</f>
        <v/>
      </c>
      <c r="AU225" s="66">
        <f>AK225*AA225</f>
        <v/>
      </c>
      <c r="AV225" s="66">
        <f>AL225*AB225</f>
        <v/>
      </c>
      <c r="AW225" s="66">
        <f>AM225*AC225</f>
        <v/>
      </c>
      <c r="AX225" s="66">
        <f>AN225*AD225</f>
        <v/>
      </c>
      <c r="AY225" s="66">
        <f>AO225*AE225</f>
        <v/>
      </c>
      <c r="AZ225" s="66">
        <f>INDEX(Projects[Automation Equipment],224)&amp;""</f>
        <v/>
      </c>
      <c r="BA225" s="66">
        <f>IF(OR(A225="",'Smart Search'!H13=0),"",MAX(0,BE225*BF225*MAX(0,1-BG225)))</f>
        <v/>
      </c>
      <c r="BB225" s="66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66">
        <f>IF('Smart Search'!G13=1,IFERROR(1/'Smart Search'!H13,0),0)</f>
        <v/>
      </c>
      <c r="BD225" s="66">
        <f>BB225*BC225</f>
        <v/>
      </c>
      <c r="BE225" s="66">
        <f>AP225+AQ225+AR225+AS225+AT225+AU225+AV225+AW225+AX225+AY225+BD225</f>
        <v/>
      </c>
      <c r="BF225" s="5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5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5">
        <f>IF(AND(A225&lt;&gt;"",OR('Smart Search'!$L$5="",'Smart Search'!$L$5="All",TRIM(BZ225)=TRIM('Smart Search'!$L$5)),OR(TRIM('Smart Search'!$L$6)="",TRIM('Smart Search'!$L$6)="All",ISNUMBER(SEARCH(SUBSTITUTE(SUBSTITUTE(SUBSTITUTE(TRIM('Smart Search'!$L$6),"~","~~"),"*","~*"),"?","~?"),CA225))),OR('Smart Search'!$L$7="",AND(CB225&lt;&gt;0,CB225='Smart Search'!$L$7)),OR('Smart Search'!$L$8="",'Smart Search'!$L$8="All",TRIM(CC225)=TRIM('Smart Search'!$L$8))),IF(BA225="","",BA225+ROW()*0.0000000001),"")</f>
        <v/>
      </c>
      <c r="BI225" s="5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5">
        <f>IF(A225="","",N(INDEX(Projects[Mech Inst],224)))</f>
        <v/>
      </c>
      <c r="BK225" s="5">
        <f>IF(A225="","",N(INDEX(Projects[Elec Inst],224)))</f>
        <v/>
      </c>
      <c r="BL225" s="5">
        <f>IF(A225="","",N(INDEX(Projects[Project Management],224)))</f>
        <v/>
      </c>
      <c r="BM225" s="5">
        <f>IF(A225="","",N(INDEX(Projects[Systems Eng],224)))</f>
        <v/>
      </c>
      <c r="BN225" s="5">
        <f>IF(A225="","",N(INDEX(Projects[Mechanical Eng],224)))</f>
        <v/>
      </c>
      <c r="BO225" s="5">
        <f>IF(A225="","",N(INDEX(Projects[Structural Engineering],224)))</f>
        <v/>
      </c>
      <c r="BP225" s="5">
        <f>IF(A225="","",N(INDEX(Projects[Site Sup],224)))</f>
        <v/>
      </c>
      <c r="BQ225" s="5">
        <f>IF(A225="","",N(INDEX(Projects[Controls Commissioning],224)))</f>
        <v/>
      </c>
      <c r="BR225" s="5">
        <f>IF(A225="","",N(INDEX(Projects[Systems Commissioning],224)))</f>
        <v/>
      </c>
      <c r="BS225" s="5">
        <f>IF(A225="","",N(INDEX(Projects[Service Commissioning],224)))</f>
        <v/>
      </c>
      <c r="BT225" s="5">
        <f>IF(A225="","",N(INDEX(Projects[Controls Eng],224)))</f>
        <v/>
      </c>
      <c r="BU225" s="5">
        <f>IF(A225="","",N(INDEX(Projects[Controls Purchase],224)))</f>
        <v/>
      </c>
      <c r="BV225" s="5">
        <f>IF(A225="","",N(INDEX(Projects[Software Eng],224)))</f>
        <v/>
      </c>
      <c r="BW225" s="5">
        <f>IF(A225="","",N(INDEX(Projects[Misc],224)))</f>
        <v/>
      </c>
      <c r="BX225" s="5">
        <f>IF(A225="","",SUM(BJ225:BW225))</f>
        <v/>
      </c>
      <c r="BY225" s="5">
        <f>IF(A225="","",IFERROR(IF(ISNUMBER(U225),U225,VALUE(SUBSTITUTE(SUBSTITUTE(SUBSTITUTE(UPPER(TRIM(U225)),"M",""),",","")," ",""))),0))</f>
        <v/>
      </c>
      <c r="BZ225" s="5">
        <f>INDEX(Projects[Solution Type],224)&amp;""</f>
        <v/>
      </c>
      <c r="CA225" s="5">
        <f>INDEX(Projects[Client / Region],224)&amp;""</f>
        <v/>
      </c>
      <c r="CB225" s="5">
        <f>INDEX(Projects[Year],224)</f>
        <v/>
      </c>
      <c r="CC225" s="5">
        <f>INDEX(Projects[Won?],224)&amp;""</f>
        <v/>
      </c>
      <c r="CD225" s="5">
        <f>INDEX(Projects[Value (USD M)],224)</f>
        <v/>
      </c>
    </row>
    <row r="226" ht="15" customHeight="1" s="74">
      <c r="A226" s="66">
        <f>INDEX(Projects[Project ID *],225)&amp;""</f>
        <v/>
      </c>
      <c r="B226" s="66">
        <f>INDEX(Projects[Project Name *],225)&amp;""</f>
        <v/>
      </c>
      <c r="C226" s="66">
        <f>INDEX(Projects[MS Shuttles],225)</f>
        <v/>
      </c>
      <c r="D226" s="66">
        <f>INDEX(Projects[MS Tote Locations],225)</f>
        <v/>
      </c>
      <c r="E226" s="66">
        <f>INDEX(Projects[AS Robots],225)</f>
        <v/>
      </c>
      <c r="F226" s="66">
        <f>INDEX(Projects[AS Tote Locations],225)</f>
        <v/>
      </c>
      <c r="G226" s="66">
        <f>INDEX(Projects[PS Shuttles],225)</f>
        <v/>
      </c>
      <c r="H226" s="66">
        <f>INDEX(Projects[PS Pallet Locations],225)</f>
        <v/>
      </c>
      <c r="I226" s="66">
        <f>INDEX(Projects[SRM Cranes],225)</f>
        <v/>
      </c>
      <c r="J226" s="66">
        <f>INDEX(Projects[SRM Pallet Locations],225)</f>
        <v/>
      </c>
      <c r="K226" s="66">
        <f>INDEX(Projects[Case Conv (m)],225)</f>
        <v/>
      </c>
      <c r="L226" s="66">
        <f>INDEX(Projects[Pallet Conv (m)],225)</f>
        <v/>
      </c>
      <c r="M226" s="66">
        <f>INDEX(Projects[Mech Eng (wks)],225)</f>
        <v/>
      </c>
      <c r="N226" s="66">
        <f>INDEX(Projects[Controls Eng (wks)],225)</f>
        <v/>
      </c>
      <c r="O226" s="66">
        <f>INDEX(Projects[Systems Eng (wks)],225)</f>
        <v/>
      </c>
      <c r="P226" s="66">
        <f>INDEX(Projects[Software Eng (wks)],225)</f>
        <v/>
      </c>
      <c r="Q226" s="66">
        <f>INDEX(Projects[M&amp;E Installation (wks)],225)</f>
        <v/>
      </c>
      <c r="R226" s="66">
        <f>INDEX(Projects[Commissioning (wks)],225)</f>
        <v/>
      </c>
      <c r="S226" s="66">
        <f>INDEX(Projects[Total Timeline (wks)],225)</f>
        <v/>
      </c>
      <c r="T226" s="66">
        <f>INDEX(Projects[Currency],225)&amp;""</f>
        <v/>
      </c>
      <c r="U226" s="67">
        <f>INDEX(Projects[Value (M)],225)</f>
        <v/>
      </c>
      <c r="V226" s="66">
        <f>IF('Smart Search'!B13=1,IFERROR(1/'Smart Search'!H13,0),0)</f>
        <v/>
      </c>
      <c r="W226" s="66">
        <f>IF('Smart Search'!B13=1,IFERROR(1/'Smart Search'!H13,0),0)</f>
        <v/>
      </c>
      <c r="X226" s="66">
        <f>IF('Smart Search'!C13=1,IFERROR(1/'Smart Search'!H13,0),0)</f>
        <v/>
      </c>
      <c r="Y226" s="66">
        <f>IF('Smart Search'!C13=1,IFERROR(1/'Smart Search'!H13,0),0)</f>
        <v/>
      </c>
      <c r="Z226" s="66">
        <f>IF('Smart Search'!D13=1,IFERROR(1/'Smart Search'!H13,0),0)</f>
        <v/>
      </c>
      <c r="AA226" s="66">
        <f>IF('Smart Search'!D13=1,IFERROR(1/'Smart Search'!H13,0),0)</f>
        <v/>
      </c>
      <c r="AB226" s="66">
        <f>IF('Smart Search'!E13=1,IFERROR(1/'Smart Search'!H13,0),0)</f>
        <v/>
      </c>
      <c r="AC226" s="66">
        <f>IF('Smart Search'!E13=1,IFERROR(1/'Smart Search'!H13,0),0)</f>
        <v/>
      </c>
      <c r="AD226" s="66">
        <f>IF('Smart Search'!F13=1,IFERROR(1/'Smart Search'!H13,0),0)</f>
        <v/>
      </c>
      <c r="AE226" s="66">
        <f>IF('Smart Search'!F13=1,IFERROR(1/'Smart Search'!H13,0),0)</f>
        <v/>
      </c>
      <c r="AF226" s="66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66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66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66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66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66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66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66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66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66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66">
        <f>AF226*V226</f>
        <v/>
      </c>
      <c r="AQ226" s="66">
        <f>AG226*W226</f>
        <v/>
      </c>
      <c r="AR226" s="66">
        <f>AH226*X226</f>
        <v/>
      </c>
      <c r="AS226" s="66">
        <f>AI226*Y226</f>
        <v/>
      </c>
      <c r="AT226" s="66">
        <f>AJ226*Z226</f>
        <v/>
      </c>
      <c r="AU226" s="66">
        <f>AK226*AA226</f>
        <v/>
      </c>
      <c r="AV226" s="66">
        <f>AL226*AB226</f>
        <v/>
      </c>
      <c r="AW226" s="66">
        <f>AM226*AC226</f>
        <v/>
      </c>
      <c r="AX226" s="66">
        <f>AN226*AD226</f>
        <v/>
      </c>
      <c r="AY226" s="66">
        <f>AO226*AE226</f>
        <v/>
      </c>
      <c r="AZ226" s="66">
        <f>INDEX(Projects[Automation Equipment],225)&amp;""</f>
        <v/>
      </c>
      <c r="BA226" s="66">
        <f>IF(OR(A226="",'Smart Search'!H13=0),"",MAX(0,BE226*BF226*MAX(0,1-BG226)))</f>
        <v/>
      </c>
      <c r="BB226" s="66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66">
        <f>IF('Smart Search'!G13=1,IFERROR(1/'Smart Search'!H13,0),0)</f>
        <v/>
      </c>
      <c r="BD226" s="66">
        <f>BB226*BC226</f>
        <v/>
      </c>
      <c r="BE226" s="66">
        <f>AP226+AQ226+AR226+AS226+AT226+AU226+AV226+AW226+AX226+AY226+BD226</f>
        <v/>
      </c>
      <c r="BF226" s="5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5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5">
        <f>IF(AND(A226&lt;&gt;"",OR('Smart Search'!$L$5="",'Smart Search'!$L$5="All",TRIM(BZ226)=TRIM('Smart Search'!$L$5)),OR(TRIM('Smart Search'!$L$6)="",TRIM('Smart Search'!$L$6)="All",ISNUMBER(SEARCH(SUBSTITUTE(SUBSTITUTE(SUBSTITUTE(TRIM('Smart Search'!$L$6),"~","~~"),"*","~*"),"?","~?"),CA226))),OR('Smart Search'!$L$7="",AND(CB226&lt;&gt;0,CB226='Smart Search'!$L$7)),OR('Smart Search'!$L$8="",'Smart Search'!$L$8="All",TRIM(CC226)=TRIM('Smart Search'!$L$8))),IF(BA226="","",BA226+ROW()*0.0000000001),"")</f>
        <v/>
      </c>
      <c r="BI226" s="5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5">
        <f>IF(A226="","",N(INDEX(Projects[Mech Inst],225)))</f>
        <v/>
      </c>
      <c r="BK226" s="5">
        <f>IF(A226="","",N(INDEX(Projects[Elec Inst],225)))</f>
        <v/>
      </c>
      <c r="BL226" s="5">
        <f>IF(A226="","",N(INDEX(Projects[Project Management],225)))</f>
        <v/>
      </c>
      <c r="BM226" s="5">
        <f>IF(A226="","",N(INDEX(Projects[Systems Eng],225)))</f>
        <v/>
      </c>
      <c r="BN226" s="5">
        <f>IF(A226="","",N(INDEX(Projects[Mechanical Eng],225)))</f>
        <v/>
      </c>
      <c r="BO226" s="5">
        <f>IF(A226="","",N(INDEX(Projects[Structural Engineering],225)))</f>
        <v/>
      </c>
      <c r="BP226" s="5">
        <f>IF(A226="","",N(INDEX(Projects[Site Sup],225)))</f>
        <v/>
      </c>
      <c r="BQ226" s="5">
        <f>IF(A226="","",N(INDEX(Projects[Controls Commissioning],225)))</f>
        <v/>
      </c>
      <c r="BR226" s="5">
        <f>IF(A226="","",N(INDEX(Projects[Systems Commissioning],225)))</f>
        <v/>
      </c>
      <c r="BS226" s="5">
        <f>IF(A226="","",N(INDEX(Projects[Service Commissioning],225)))</f>
        <v/>
      </c>
      <c r="BT226" s="5">
        <f>IF(A226="","",N(INDEX(Projects[Controls Eng],225)))</f>
        <v/>
      </c>
      <c r="BU226" s="5">
        <f>IF(A226="","",N(INDEX(Projects[Controls Purchase],225)))</f>
        <v/>
      </c>
      <c r="BV226" s="5">
        <f>IF(A226="","",N(INDEX(Projects[Software Eng],225)))</f>
        <v/>
      </c>
      <c r="BW226" s="5">
        <f>IF(A226="","",N(INDEX(Projects[Misc],225)))</f>
        <v/>
      </c>
      <c r="BX226" s="5">
        <f>IF(A226="","",SUM(BJ226:BW226))</f>
        <v/>
      </c>
      <c r="BY226" s="5">
        <f>IF(A226="","",IFERROR(IF(ISNUMBER(U226),U226,VALUE(SUBSTITUTE(SUBSTITUTE(SUBSTITUTE(UPPER(TRIM(U226)),"M",""),",","")," ",""))),0))</f>
        <v/>
      </c>
      <c r="BZ226" s="5">
        <f>INDEX(Projects[Solution Type],225)&amp;""</f>
        <v/>
      </c>
      <c r="CA226" s="5">
        <f>INDEX(Projects[Client / Region],225)&amp;""</f>
        <v/>
      </c>
      <c r="CB226" s="5">
        <f>INDEX(Projects[Year],225)</f>
        <v/>
      </c>
      <c r="CC226" s="5">
        <f>INDEX(Projects[Won?],225)&amp;""</f>
        <v/>
      </c>
      <c r="CD226" s="5">
        <f>INDEX(Projects[Value (USD M)],225)</f>
        <v/>
      </c>
    </row>
    <row r="227" ht="15" customHeight="1" s="74">
      <c r="A227" s="66">
        <f>INDEX(Projects[Project ID *],226)&amp;""</f>
        <v/>
      </c>
      <c r="B227" s="66">
        <f>INDEX(Projects[Project Name *],226)&amp;""</f>
        <v/>
      </c>
      <c r="C227" s="66">
        <f>INDEX(Projects[MS Shuttles],226)</f>
        <v/>
      </c>
      <c r="D227" s="66">
        <f>INDEX(Projects[MS Tote Locations],226)</f>
        <v/>
      </c>
      <c r="E227" s="66">
        <f>INDEX(Projects[AS Robots],226)</f>
        <v/>
      </c>
      <c r="F227" s="66">
        <f>INDEX(Projects[AS Tote Locations],226)</f>
        <v/>
      </c>
      <c r="G227" s="66">
        <f>INDEX(Projects[PS Shuttles],226)</f>
        <v/>
      </c>
      <c r="H227" s="66">
        <f>INDEX(Projects[PS Pallet Locations],226)</f>
        <v/>
      </c>
      <c r="I227" s="66">
        <f>INDEX(Projects[SRM Cranes],226)</f>
        <v/>
      </c>
      <c r="J227" s="66">
        <f>INDEX(Projects[SRM Pallet Locations],226)</f>
        <v/>
      </c>
      <c r="K227" s="66">
        <f>INDEX(Projects[Case Conv (m)],226)</f>
        <v/>
      </c>
      <c r="L227" s="66">
        <f>INDEX(Projects[Pallet Conv (m)],226)</f>
        <v/>
      </c>
      <c r="M227" s="66">
        <f>INDEX(Projects[Mech Eng (wks)],226)</f>
        <v/>
      </c>
      <c r="N227" s="66">
        <f>INDEX(Projects[Controls Eng (wks)],226)</f>
        <v/>
      </c>
      <c r="O227" s="66">
        <f>INDEX(Projects[Systems Eng (wks)],226)</f>
        <v/>
      </c>
      <c r="P227" s="66">
        <f>INDEX(Projects[Software Eng (wks)],226)</f>
        <v/>
      </c>
      <c r="Q227" s="66">
        <f>INDEX(Projects[M&amp;E Installation (wks)],226)</f>
        <v/>
      </c>
      <c r="R227" s="66">
        <f>INDEX(Projects[Commissioning (wks)],226)</f>
        <v/>
      </c>
      <c r="S227" s="66">
        <f>INDEX(Projects[Total Timeline (wks)],226)</f>
        <v/>
      </c>
      <c r="T227" s="66">
        <f>INDEX(Projects[Currency],226)&amp;""</f>
        <v/>
      </c>
      <c r="U227" s="67">
        <f>INDEX(Projects[Value (M)],226)</f>
        <v/>
      </c>
      <c r="V227" s="66">
        <f>IF('Smart Search'!B13=1,IFERROR(1/'Smart Search'!H13,0),0)</f>
        <v/>
      </c>
      <c r="W227" s="66">
        <f>IF('Smart Search'!B13=1,IFERROR(1/'Smart Search'!H13,0),0)</f>
        <v/>
      </c>
      <c r="X227" s="66">
        <f>IF('Smart Search'!C13=1,IFERROR(1/'Smart Search'!H13,0),0)</f>
        <v/>
      </c>
      <c r="Y227" s="66">
        <f>IF('Smart Search'!C13=1,IFERROR(1/'Smart Search'!H13,0),0)</f>
        <v/>
      </c>
      <c r="Z227" s="66">
        <f>IF('Smart Search'!D13=1,IFERROR(1/'Smart Search'!H13,0),0)</f>
        <v/>
      </c>
      <c r="AA227" s="66">
        <f>IF('Smart Search'!D13=1,IFERROR(1/'Smart Search'!H13,0),0)</f>
        <v/>
      </c>
      <c r="AB227" s="66">
        <f>IF('Smart Search'!E13=1,IFERROR(1/'Smart Search'!H13,0),0)</f>
        <v/>
      </c>
      <c r="AC227" s="66">
        <f>IF('Smart Search'!E13=1,IFERROR(1/'Smart Search'!H13,0),0)</f>
        <v/>
      </c>
      <c r="AD227" s="66">
        <f>IF('Smart Search'!F13=1,IFERROR(1/'Smart Search'!H13,0),0)</f>
        <v/>
      </c>
      <c r="AE227" s="66">
        <f>IF('Smart Search'!F13=1,IFERROR(1/'Smart Search'!H13,0),0)</f>
        <v/>
      </c>
      <c r="AF227" s="66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66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66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66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66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66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66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66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66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66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66">
        <f>AF227*V227</f>
        <v/>
      </c>
      <c r="AQ227" s="66">
        <f>AG227*W227</f>
        <v/>
      </c>
      <c r="AR227" s="66">
        <f>AH227*X227</f>
        <v/>
      </c>
      <c r="AS227" s="66">
        <f>AI227*Y227</f>
        <v/>
      </c>
      <c r="AT227" s="66">
        <f>AJ227*Z227</f>
        <v/>
      </c>
      <c r="AU227" s="66">
        <f>AK227*AA227</f>
        <v/>
      </c>
      <c r="AV227" s="66">
        <f>AL227*AB227</f>
        <v/>
      </c>
      <c r="AW227" s="66">
        <f>AM227*AC227</f>
        <v/>
      </c>
      <c r="AX227" s="66">
        <f>AN227*AD227</f>
        <v/>
      </c>
      <c r="AY227" s="66">
        <f>AO227*AE227</f>
        <v/>
      </c>
      <c r="AZ227" s="66">
        <f>INDEX(Projects[Automation Equipment],226)&amp;""</f>
        <v/>
      </c>
      <c r="BA227" s="66">
        <f>IF(OR(A227="",'Smart Search'!H13=0),"",MAX(0,BE227*BF227*MAX(0,1-BG227)))</f>
        <v/>
      </c>
      <c r="BB227" s="66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66">
        <f>IF('Smart Search'!G13=1,IFERROR(1/'Smart Search'!H13,0),0)</f>
        <v/>
      </c>
      <c r="BD227" s="66">
        <f>BB227*BC227</f>
        <v/>
      </c>
      <c r="BE227" s="66">
        <f>AP227+AQ227+AR227+AS227+AT227+AU227+AV227+AW227+AX227+AY227+BD227</f>
        <v/>
      </c>
      <c r="BF227" s="5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5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5">
        <f>IF(AND(A227&lt;&gt;"",OR('Smart Search'!$L$5="",'Smart Search'!$L$5="All",TRIM(BZ227)=TRIM('Smart Search'!$L$5)),OR(TRIM('Smart Search'!$L$6)="",TRIM('Smart Search'!$L$6)="All",ISNUMBER(SEARCH(SUBSTITUTE(SUBSTITUTE(SUBSTITUTE(TRIM('Smart Search'!$L$6),"~","~~"),"*","~*"),"?","~?"),CA227))),OR('Smart Search'!$L$7="",AND(CB227&lt;&gt;0,CB227='Smart Search'!$L$7)),OR('Smart Search'!$L$8="",'Smart Search'!$L$8="All",TRIM(CC227)=TRIM('Smart Search'!$L$8))),IF(BA227="","",BA227+ROW()*0.0000000001),"")</f>
        <v/>
      </c>
      <c r="BI227" s="5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5">
        <f>IF(A227="","",N(INDEX(Projects[Mech Inst],226)))</f>
        <v/>
      </c>
      <c r="BK227" s="5">
        <f>IF(A227="","",N(INDEX(Projects[Elec Inst],226)))</f>
        <v/>
      </c>
      <c r="BL227" s="5">
        <f>IF(A227="","",N(INDEX(Projects[Project Management],226)))</f>
        <v/>
      </c>
      <c r="BM227" s="5">
        <f>IF(A227="","",N(INDEX(Projects[Systems Eng],226)))</f>
        <v/>
      </c>
      <c r="BN227" s="5">
        <f>IF(A227="","",N(INDEX(Projects[Mechanical Eng],226)))</f>
        <v/>
      </c>
      <c r="BO227" s="5">
        <f>IF(A227="","",N(INDEX(Projects[Structural Engineering],226)))</f>
        <v/>
      </c>
      <c r="BP227" s="5">
        <f>IF(A227="","",N(INDEX(Projects[Site Sup],226)))</f>
        <v/>
      </c>
      <c r="BQ227" s="5">
        <f>IF(A227="","",N(INDEX(Projects[Controls Commissioning],226)))</f>
        <v/>
      </c>
      <c r="BR227" s="5">
        <f>IF(A227="","",N(INDEX(Projects[Systems Commissioning],226)))</f>
        <v/>
      </c>
      <c r="BS227" s="5">
        <f>IF(A227="","",N(INDEX(Projects[Service Commissioning],226)))</f>
        <v/>
      </c>
      <c r="BT227" s="5">
        <f>IF(A227="","",N(INDEX(Projects[Controls Eng],226)))</f>
        <v/>
      </c>
      <c r="BU227" s="5">
        <f>IF(A227="","",N(INDEX(Projects[Controls Purchase],226)))</f>
        <v/>
      </c>
      <c r="BV227" s="5">
        <f>IF(A227="","",N(INDEX(Projects[Software Eng],226)))</f>
        <v/>
      </c>
      <c r="BW227" s="5">
        <f>IF(A227="","",N(INDEX(Projects[Misc],226)))</f>
        <v/>
      </c>
      <c r="BX227" s="5">
        <f>IF(A227="","",SUM(BJ227:BW227))</f>
        <v/>
      </c>
      <c r="BY227" s="5">
        <f>IF(A227="","",IFERROR(IF(ISNUMBER(U227),U227,VALUE(SUBSTITUTE(SUBSTITUTE(SUBSTITUTE(UPPER(TRIM(U227)),"M",""),",","")," ",""))),0))</f>
        <v/>
      </c>
      <c r="BZ227" s="5">
        <f>INDEX(Projects[Solution Type],226)&amp;""</f>
        <v/>
      </c>
      <c r="CA227" s="5">
        <f>INDEX(Projects[Client / Region],226)&amp;""</f>
        <v/>
      </c>
      <c r="CB227" s="5">
        <f>INDEX(Projects[Year],226)</f>
        <v/>
      </c>
      <c r="CC227" s="5">
        <f>INDEX(Projects[Won?],226)&amp;""</f>
        <v/>
      </c>
      <c r="CD227" s="5">
        <f>INDEX(Projects[Value (USD M)],226)</f>
        <v/>
      </c>
    </row>
    <row r="228" ht="15" customHeight="1" s="74">
      <c r="A228" s="66">
        <f>INDEX(Projects[Project ID *],227)&amp;""</f>
        <v/>
      </c>
      <c r="B228" s="66">
        <f>INDEX(Projects[Project Name *],227)&amp;""</f>
        <v/>
      </c>
      <c r="C228" s="66">
        <f>INDEX(Projects[MS Shuttles],227)</f>
        <v/>
      </c>
      <c r="D228" s="66">
        <f>INDEX(Projects[MS Tote Locations],227)</f>
        <v/>
      </c>
      <c r="E228" s="66">
        <f>INDEX(Projects[AS Robots],227)</f>
        <v/>
      </c>
      <c r="F228" s="66">
        <f>INDEX(Projects[AS Tote Locations],227)</f>
        <v/>
      </c>
      <c r="G228" s="66">
        <f>INDEX(Projects[PS Shuttles],227)</f>
        <v/>
      </c>
      <c r="H228" s="66">
        <f>INDEX(Projects[PS Pallet Locations],227)</f>
        <v/>
      </c>
      <c r="I228" s="66">
        <f>INDEX(Projects[SRM Cranes],227)</f>
        <v/>
      </c>
      <c r="J228" s="66">
        <f>INDEX(Projects[SRM Pallet Locations],227)</f>
        <v/>
      </c>
      <c r="K228" s="66">
        <f>INDEX(Projects[Case Conv (m)],227)</f>
        <v/>
      </c>
      <c r="L228" s="66">
        <f>INDEX(Projects[Pallet Conv (m)],227)</f>
        <v/>
      </c>
      <c r="M228" s="66">
        <f>INDEX(Projects[Mech Eng (wks)],227)</f>
        <v/>
      </c>
      <c r="N228" s="66">
        <f>INDEX(Projects[Controls Eng (wks)],227)</f>
        <v/>
      </c>
      <c r="O228" s="66">
        <f>INDEX(Projects[Systems Eng (wks)],227)</f>
        <v/>
      </c>
      <c r="P228" s="66">
        <f>INDEX(Projects[Software Eng (wks)],227)</f>
        <v/>
      </c>
      <c r="Q228" s="66">
        <f>INDEX(Projects[M&amp;E Installation (wks)],227)</f>
        <v/>
      </c>
      <c r="R228" s="66">
        <f>INDEX(Projects[Commissioning (wks)],227)</f>
        <v/>
      </c>
      <c r="S228" s="66">
        <f>INDEX(Projects[Total Timeline (wks)],227)</f>
        <v/>
      </c>
      <c r="T228" s="66">
        <f>INDEX(Projects[Currency],227)&amp;""</f>
        <v/>
      </c>
      <c r="U228" s="67">
        <f>INDEX(Projects[Value (M)],227)</f>
        <v/>
      </c>
      <c r="V228" s="66">
        <f>IF('Smart Search'!B13=1,IFERROR(1/'Smart Search'!H13,0),0)</f>
        <v/>
      </c>
      <c r="W228" s="66">
        <f>IF('Smart Search'!B13=1,IFERROR(1/'Smart Search'!H13,0),0)</f>
        <v/>
      </c>
      <c r="X228" s="66">
        <f>IF('Smart Search'!C13=1,IFERROR(1/'Smart Search'!H13,0),0)</f>
        <v/>
      </c>
      <c r="Y228" s="66">
        <f>IF('Smart Search'!C13=1,IFERROR(1/'Smart Search'!H13,0),0)</f>
        <v/>
      </c>
      <c r="Z228" s="66">
        <f>IF('Smart Search'!D13=1,IFERROR(1/'Smart Search'!H13,0),0)</f>
        <v/>
      </c>
      <c r="AA228" s="66">
        <f>IF('Smart Search'!D13=1,IFERROR(1/'Smart Search'!H13,0),0)</f>
        <v/>
      </c>
      <c r="AB228" s="66">
        <f>IF('Smart Search'!E13=1,IFERROR(1/'Smart Search'!H13,0),0)</f>
        <v/>
      </c>
      <c r="AC228" s="66">
        <f>IF('Smart Search'!E13=1,IFERROR(1/'Smart Search'!H13,0),0)</f>
        <v/>
      </c>
      <c r="AD228" s="66">
        <f>IF('Smart Search'!F13=1,IFERROR(1/'Smart Search'!H13,0),0)</f>
        <v/>
      </c>
      <c r="AE228" s="66">
        <f>IF('Smart Search'!F13=1,IFERROR(1/'Smart Search'!H13,0),0)</f>
        <v/>
      </c>
      <c r="AF228" s="66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66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66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66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66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66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66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66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66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66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66">
        <f>AF228*V228</f>
        <v/>
      </c>
      <c r="AQ228" s="66">
        <f>AG228*W228</f>
        <v/>
      </c>
      <c r="AR228" s="66">
        <f>AH228*X228</f>
        <v/>
      </c>
      <c r="AS228" s="66">
        <f>AI228*Y228</f>
        <v/>
      </c>
      <c r="AT228" s="66">
        <f>AJ228*Z228</f>
        <v/>
      </c>
      <c r="AU228" s="66">
        <f>AK228*AA228</f>
        <v/>
      </c>
      <c r="AV228" s="66">
        <f>AL228*AB228</f>
        <v/>
      </c>
      <c r="AW228" s="66">
        <f>AM228*AC228</f>
        <v/>
      </c>
      <c r="AX228" s="66">
        <f>AN228*AD228</f>
        <v/>
      </c>
      <c r="AY228" s="66">
        <f>AO228*AE228</f>
        <v/>
      </c>
      <c r="AZ228" s="66">
        <f>INDEX(Projects[Automation Equipment],227)&amp;""</f>
        <v/>
      </c>
      <c r="BA228" s="66">
        <f>IF(OR(A228="",'Smart Search'!H13=0),"",MAX(0,BE228*BF228*MAX(0,1-BG228)))</f>
        <v/>
      </c>
      <c r="BB228" s="66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66">
        <f>IF('Smart Search'!G13=1,IFERROR(1/'Smart Search'!H13,0),0)</f>
        <v/>
      </c>
      <c r="BD228" s="66">
        <f>BB228*BC228</f>
        <v/>
      </c>
      <c r="BE228" s="66">
        <f>AP228+AQ228+AR228+AS228+AT228+AU228+AV228+AW228+AX228+AY228+BD228</f>
        <v/>
      </c>
      <c r="BF228" s="5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5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5">
        <f>IF(AND(A228&lt;&gt;"",OR('Smart Search'!$L$5="",'Smart Search'!$L$5="All",TRIM(BZ228)=TRIM('Smart Search'!$L$5)),OR(TRIM('Smart Search'!$L$6)="",TRIM('Smart Search'!$L$6)="All",ISNUMBER(SEARCH(SUBSTITUTE(SUBSTITUTE(SUBSTITUTE(TRIM('Smart Search'!$L$6),"~","~~"),"*","~*"),"?","~?"),CA228))),OR('Smart Search'!$L$7="",AND(CB228&lt;&gt;0,CB228='Smart Search'!$L$7)),OR('Smart Search'!$L$8="",'Smart Search'!$L$8="All",TRIM(CC228)=TRIM('Smart Search'!$L$8))),IF(BA228="","",BA228+ROW()*0.0000000001),"")</f>
        <v/>
      </c>
      <c r="BI228" s="5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5">
        <f>IF(A228="","",N(INDEX(Projects[Mech Inst],227)))</f>
        <v/>
      </c>
      <c r="BK228" s="5">
        <f>IF(A228="","",N(INDEX(Projects[Elec Inst],227)))</f>
        <v/>
      </c>
      <c r="BL228" s="5">
        <f>IF(A228="","",N(INDEX(Projects[Project Management],227)))</f>
        <v/>
      </c>
      <c r="BM228" s="5">
        <f>IF(A228="","",N(INDEX(Projects[Systems Eng],227)))</f>
        <v/>
      </c>
      <c r="BN228" s="5">
        <f>IF(A228="","",N(INDEX(Projects[Mechanical Eng],227)))</f>
        <v/>
      </c>
      <c r="BO228" s="5">
        <f>IF(A228="","",N(INDEX(Projects[Structural Engineering],227)))</f>
        <v/>
      </c>
      <c r="BP228" s="5">
        <f>IF(A228="","",N(INDEX(Projects[Site Sup],227)))</f>
        <v/>
      </c>
      <c r="BQ228" s="5">
        <f>IF(A228="","",N(INDEX(Projects[Controls Commissioning],227)))</f>
        <v/>
      </c>
      <c r="BR228" s="5">
        <f>IF(A228="","",N(INDEX(Projects[Systems Commissioning],227)))</f>
        <v/>
      </c>
      <c r="BS228" s="5">
        <f>IF(A228="","",N(INDEX(Projects[Service Commissioning],227)))</f>
        <v/>
      </c>
      <c r="BT228" s="5">
        <f>IF(A228="","",N(INDEX(Projects[Controls Eng],227)))</f>
        <v/>
      </c>
      <c r="BU228" s="5">
        <f>IF(A228="","",N(INDEX(Projects[Controls Purchase],227)))</f>
        <v/>
      </c>
      <c r="BV228" s="5">
        <f>IF(A228="","",N(INDEX(Projects[Software Eng],227)))</f>
        <v/>
      </c>
      <c r="BW228" s="5">
        <f>IF(A228="","",N(INDEX(Projects[Misc],227)))</f>
        <v/>
      </c>
      <c r="BX228" s="5">
        <f>IF(A228="","",SUM(BJ228:BW228))</f>
        <v/>
      </c>
      <c r="BY228" s="5">
        <f>IF(A228="","",IFERROR(IF(ISNUMBER(U228),U228,VALUE(SUBSTITUTE(SUBSTITUTE(SUBSTITUTE(UPPER(TRIM(U228)),"M",""),",","")," ",""))),0))</f>
        <v/>
      </c>
      <c r="BZ228" s="5">
        <f>INDEX(Projects[Solution Type],227)&amp;""</f>
        <v/>
      </c>
      <c r="CA228" s="5">
        <f>INDEX(Projects[Client / Region],227)&amp;""</f>
        <v/>
      </c>
      <c r="CB228" s="5">
        <f>INDEX(Projects[Year],227)</f>
        <v/>
      </c>
      <c r="CC228" s="5">
        <f>INDEX(Projects[Won?],227)&amp;""</f>
        <v/>
      </c>
      <c r="CD228" s="5">
        <f>INDEX(Projects[Value (USD M)],227)</f>
        <v/>
      </c>
    </row>
    <row r="229" ht="15" customHeight="1" s="74">
      <c r="A229" s="66">
        <f>INDEX(Projects[Project ID *],228)&amp;""</f>
        <v/>
      </c>
      <c r="B229" s="66">
        <f>INDEX(Projects[Project Name *],228)&amp;""</f>
        <v/>
      </c>
      <c r="C229" s="66">
        <f>INDEX(Projects[MS Shuttles],228)</f>
        <v/>
      </c>
      <c r="D229" s="66">
        <f>INDEX(Projects[MS Tote Locations],228)</f>
        <v/>
      </c>
      <c r="E229" s="66">
        <f>INDEX(Projects[AS Robots],228)</f>
        <v/>
      </c>
      <c r="F229" s="66">
        <f>INDEX(Projects[AS Tote Locations],228)</f>
        <v/>
      </c>
      <c r="G229" s="66">
        <f>INDEX(Projects[PS Shuttles],228)</f>
        <v/>
      </c>
      <c r="H229" s="66">
        <f>INDEX(Projects[PS Pallet Locations],228)</f>
        <v/>
      </c>
      <c r="I229" s="66">
        <f>INDEX(Projects[SRM Cranes],228)</f>
        <v/>
      </c>
      <c r="J229" s="66">
        <f>INDEX(Projects[SRM Pallet Locations],228)</f>
        <v/>
      </c>
      <c r="K229" s="66">
        <f>INDEX(Projects[Case Conv (m)],228)</f>
        <v/>
      </c>
      <c r="L229" s="66">
        <f>INDEX(Projects[Pallet Conv (m)],228)</f>
        <v/>
      </c>
      <c r="M229" s="66">
        <f>INDEX(Projects[Mech Eng (wks)],228)</f>
        <v/>
      </c>
      <c r="N229" s="66">
        <f>INDEX(Projects[Controls Eng (wks)],228)</f>
        <v/>
      </c>
      <c r="O229" s="66">
        <f>INDEX(Projects[Systems Eng (wks)],228)</f>
        <v/>
      </c>
      <c r="P229" s="66">
        <f>INDEX(Projects[Software Eng (wks)],228)</f>
        <v/>
      </c>
      <c r="Q229" s="66">
        <f>INDEX(Projects[M&amp;E Installation (wks)],228)</f>
        <v/>
      </c>
      <c r="R229" s="66">
        <f>INDEX(Projects[Commissioning (wks)],228)</f>
        <v/>
      </c>
      <c r="S229" s="66">
        <f>INDEX(Projects[Total Timeline (wks)],228)</f>
        <v/>
      </c>
      <c r="T229" s="66">
        <f>INDEX(Projects[Currency],228)&amp;""</f>
        <v/>
      </c>
      <c r="U229" s="67">
        <f>INDEX(Projects[Value (M)],228)</f>
        <v/>
      </c>
      <c r="V229" s="66">
        <f>IF('Smart Search'!B13=1,IFERROR(1/'Smart Search'!H13,0),0)</f>
        <v/>
      </c>
      <c r="W229" s="66">
        <f>IF('Smart Search'!B13=1,IFERROR(1/'Smart Search'!H13,0),0)</f>
        <v/>
      </c>
      <c r="X229" s="66">
        <f>IF('Smart Search'!C13=1,IFERROR(1/'Smart Search'!H13,0),0)</f>
        <v/>
      </c>
      <c r="Y229" s="66">
        <f>IF('Smart Search'!C13=1,IFERROR(1/'Smart Search'!H13,0),0)</f>
        <v/>
      </c>
      <c r="Z229" s="66">
        <f>IF('Smart Search'!D13=1,IFERROR(1/'Smart Search'!H13,0),0)</f>
        <v/>
      </c>
      <c r="AA229" s="66">
        <f>IF('Smart Search'!D13=1,IFERROR(1/'Smart Search'!H13,0),0)</f>
        <v/>
      </c>
      <c r="AB229" s="66">
        <f>IF('Smart Search'!E13=1,IFERROR(1/'Smart Search'!H13,0),0)</f>
        <v/>
      </c>
      <c r="AC229" s="66">
        <f>IF('Smart Search'!E13=1,IFERROR(1/'Smart Search'!H13,0),0)</f>
        <v/>
      </c>
      <c r="AD229" s="66">
        <f>IF('Smart Search'!F13=1,IFERROR(1/'Smart Search'!H13,0),0)</f>
        <v/>
      </c>
      <c r="AE229" s="66">
        <f>IF('Smart Search'!F13=1,IFERROR(1/'Smart Search'!H13,0),0)</f>
        <v/>
      </c>
      <c r="AF229" s="66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66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66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66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66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66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66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66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66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66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66">
        <f>AF229*V229</f>
        <v/>
      </c>
      <c r="AQ229" s="66">
        <f>AG229*W229</f>
        <v/>
      </c>
      <c r="AR229" s="66">
        <f>AH229*X229</f>
        <v/>
      </c>
      <c r="AS229" s="66">
        <f>AI229*Y229</f>
        <v/>
      </c>
      <c r="AT229" s="66">
        <f>AJ229*Z229</f>
        <v/>
      </c>
      <c r="AU229" s="66">
        <f>AK229*AA229</f>
        <v/>
      </c>
      <c r="AV229" s="66">
        <f>AL229*AB229</f>
        <v/>
      </c>
      <c r="AW229" s="66">
        <f>AM229*AC229</f>
        <v/>
      </c>
      <c r="AX229" s="66">
        <f>AN229*AD229</f>
        <v/>
      </c>
      <c r="AY229" s="66">
        <f>AO229*AE229</f>
        <v/>
      </c>
      <c r="AZ229" s="66">
        <f>INDEX(Projects[Automation Equipment],228)&amp;""</f>
        <v/>
      </c>
      <c r="BA229" s="66">
        <f>IF(OR(A229="",'Smart Search'!H13=0),"",MAX(0,BE229*BF229*MAX(0,1-BG229)))</f>
        <v/>
      </c>
      <c r="BB229" s="66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66">
        <f>IF('Smart Search'!G13=1,IFERROR(1/'Smart Search'!H13,0),0)</f>
        <v/>
      </c>
      <c r="BD229" s="66">
        <f>BB229*BC229</f>
        <v/>
      </c>
      <c r="BE229" s="66">
        <f>AP229+AQ229+AR229+AS229+AT229+AU229+AV229+AW229+AX229+AY229+BD229</f>
        <v/>
      </c>
      <c r="BF229" s="5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5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5">
        <f>IF(AND(A229&lt;&gt;"",OR('Smart Search'!$L$5="",'Smart Search'!$L$5="All",TRIM(BZ229)=TRIM('Smart Search'!$L$5)),OR(TRIM('Smart Search'!$L$6)="",TRIM('Smart Search'!$L$6)="All",ISNUMBER(SEARCH(SUBSTITUTE(SUBSTITUTE(SUBSTITUTE(TRIM('Smart Search'!$L$6),"~","~~"),"*","~*"),"?","~?"),CA229))),OR('Smart Search'!$L$7="",AND(CB229&lt;&gt;0,CB229='Smart Search'!$L$7)),OR('Smart Search'!$L$8="",'Smart Search'!$L$8="All",TRIM(CC229)=TRIM('Smart Search'!$L$8))),IF(BA229="","",BA229+ROW()*0.0000000001),"")</f>
        <v/>
      </c>
      <c r="BI229" s="5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5">
        <f>IF(A229="","",N(INDEX(Projects[Mech Inst],228)))</f>
        <v/>
      </c>
      <c r="BK229" s="5">
        <f>IF(A229="","",N(INDEX(Projects[Elec Inst],228)))</f>
        <v/>
      </c>
      <c r="BL229" s="5">
        <f>IF(A229="","",N(INDEX(Projects[Project Management],228)))</f>
        <v/>
      </c>
      <c r="BM229" s="5">
        <f>IF(A229="","",N(INDEX(Projects[Systems Eng],228)))</f>
        <v/>
      </c>
      <c r="BN229" s="5">
        <f>IF(A229="","",N(INDEX(Projects[Mechanical Eng],228)))</f>
        <v/>
      </c>
      <c r="BO229" s="5">
        <f>IF(A229="","",N(INDEX(Projects[Structural Engineering],228)))</f>
        <v/>
      </c>
      <c r="BP229" s="5">
        <f>IF(A229="","",N(INDEX(Projects[Site Sup],228)))</f>
        <v/>
      </c>
      <c r="BQ229" s="5">
        <f>IF(A229="","",N(INDEX(Projects[Controls Commissioning],228)))</f>
        <v/>
      </c>
      <c r="BR229" s="5">
        <f>IF(A229="","",N(INDEX(Projects[Systems Commissioning],228)))</f>
        <v/>
      </c>
      <c r="BS229" s="5">
        <f>IF(A229="","",N(INDEX(Projects[Service Commissioning],228)))</f>
        <v/>
      </c>
      <c r="BT229" s="5">
        <f>IF(A229="","",N(INDEX(Projects[Controls Eng],228)))</f>
        <v/>
      </c>
      <c r="BU229" s="5">
        <f>IF(A229="","",N(INDEX(Projects[Controls Purchase],228)))</f>
        <v/>
      </c>
      <c r="BV229" s="5">
        <f>IF(A229="","",N(INDEX(Projects[Software Eng],228)))</f>
        <v/>
      </c>
      <c r="BW229" s="5">
        <f>IF(A229="","",N(INDEX(Projects[Misc],228)))</f>
        <v/>
      </c>
      <c r="BX229" s="5">
        <f>IF(A229="","",SUM(BJ229:BW229))</f>
        <v/>
      </c>
      <c r="BY229" s="5">
        <f>IF(A229="","",IFERROR(IF(ISNUMBER(U229),U229,VALUE(SUBSTITUTE(SUBSTITUTE(SUBSTITUTE(UPPER(TRIM(U229)),"M",""),",","")," ",""))),0))</f>
        <v/>
      </c>
      <c r="BZ229" s="5">
        <f>INDEX(Projects[Solution Type],228)&amp;""</f>
        <v/>
      </c>
      <c r="CA229" s="5">
        <f>INDEX(Projects[Client / Region],228)&amp;""</f>
        <v/>
      </c>
      <c r="CB229" s="5">
        <f>INDEX(Projects[Year],228)</f>
        <v/>
      </c>
      <c r="CC229" s="5">
        <f>INDEX(Projects[Won?],228)&amp;""</f>
        <v/>
      </c>
      <c r="CD229" s="5">
        <f>INDEX(Projects[Value (USD M)],228)</f>
        <v/>
      </c>
    </row>
    <row r="230" ht="15" customHeight="1" s="74">
      <c r="A230" s="66">
        <f>INDEX(Projects[Project ID *],229)&amp;""</f>
        <v/>
      </c>
      <c r="B230" s="66">
        <f>INDEX(Projects[Project Name *],229)&amp;""</f>
        <v/>
      </c>
      <c r="C230" s="66">
        <f>INDEX(Projects[MS Shuttles],229)</f>
        <v/>
      </c>
      <c r="D230" s="66">
        <f>INDEX(Projects[MS Tote Locations],229)</f>
        <v/>
      </c>
      <c r="E230" s="66">
        <f>INDEX(Projects[AS Robots],229)</f>
        <v/>
      </c>
      <c r="F230" s="66">
        <f>INDEX(Projects[AS Tote Locations],229)</f>
        <v/>
      </c>
      <c r="G230" s="66">
        <f>INDEX(Projects[PS Shuttles],229)</f>
        <v/>
      </c>
      <c r="H230" s="66">
        <f>INDEX(Projects[PS Pallet Locations],229)</f>
        <v/>
      </c>
      <c r="I230" s="66">
        <f>INDEX(Projects[SRM Cranes],229)</f>
        <v/>
      </c>
      <c r="J230" s="66">
        <f>INDEX(Projects[SRM Pallet Locations],229)</f>
        <v/>
      </c>
      <c r="K230" s="66">
        <f>INDEX(Projects[Case Conv (m)],229)</f>
        <v/>
      </c>
      <c r="L230" s="66">
        <f>INDEX(Projects[Pallet Conv (m)],229)</f>
        <v/>
      </c>
      <c r="M230" s="66">
        <f>INDEX(Projects[Mech Eng (wks)],229)</f>
        <v/>
      </c>
      <c r="N230" s="66">
        <f>INDEX(Projects[Controls Eng (wks)],229)</f>
        <v/>
      </c>
      <c r="O230" s="66">
        <f>INDEX(Projects[Systems Eng (wks)],229)</f>
        <v/>
      </c>
      <c r="P230" s="66">
        <f>INDEX(Projects[Software Eng (wks)],229)</f>
        <v/>
      </c>
      <c r="Q230" s="66">
        <f>INDEX(Projects[M&amp;E Installation (wks)],229)</f>
        <v/>
      </c>
      <c r="R230" s="66">
        <f>INDEX(Projects[Commissioning (wks)],229)</f>
        <v/>
      </c>
      <c r="S230" s="66">
        <f>INDEX(Projects[Total Timeline (wks)],229)</f>
        <v/>
      </c>
      <c r="T230" s="66">
        <f>INDEX(Projects[Currency],229)&amp;""</f>
        <v/>
      </c>
      <c r="U230" s="67">
        <f>INDEX(Projects[Value (M)],229)</f>
        <v/>
      </c>
      <c r="V230" s="66">
        <f>IF('Smart Search'!B13=1,IFERROR(1/'Smart Search'!H13,0),0)</f>
        <v/>
      </c>
      <c r="W230" s="66">
        <f>IF('Smart Search'!B13=1,IFERROR(1/'Smart Search'!H13,0),0)</f>
        <v/>
      </c>
      <c r="X230" s="66">
        <f>IF('Smart Search'!C13=1,IFERROR(1/'Smart Search'!H13,0),0)</f>
        <v/>
      </c>
      <c r="Y230" s="66">
        <f>IF('Smart Search'!C13=1,IFERROR(1/'Smart Search'!H13,0),0)</f>
        <v/>
      </c>
      <c r="Z230" s="66">
        <f>IF('Smart Search'!D13=1,IFERROR(1/'Smart Search'!H13,0),0)</f>
        <v/>
      </c>
      <c r="AA230" s="66">
        <f>IF('Smart Search'!D13=1,IFERROR(1/'Smart Search'!H13,0),0)</f>
        <v/>
      </c>
      <c r="AB230" s="66">
        <f>IF('Smart Search'!E13=1,IFERROR(1/'Smart Search'!H13,0),0)</f>
        <v/>
      </c>
      <c r="AC230" s="66">
        <f>IF('Smart Search'!E13=1,IFERROR(1/'Smart Search'!H13,0),0)</f>
        <v/>
      </c>
      <c r="AD230" s="66">
        <f>IF('Smart Search'!F13=1,IFERROR(1/'Smart Search'!H13,0),0)</f>
        <v/>
      </c>
      <c r="AE230" s="66">
        <f>IF('Smart Search'!F13=1,IFERROR(1/'Smart Search'!H13,0),0)</f>
        <v/>
      </c>
      <c r="AF230" s="66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66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66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66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66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66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66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66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66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66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66">
        <f>AF230*V230</f>
        <v/>
      </c>
      <c r="AQ230" s="66">
        <f>AG230*W230</f>
        <v/>
      </c>
      <c r="AR230" s="66">
        <f>AH230*X230</f>
        <v/>
      </c>
      <c r="AS230" s="66">
        <f>AI230*Y230</f>
        <v/>
      </c>
      <c r="AT230" s="66">
        <f>AJ230*Z230</f>
        <v/>
      </c>
      <c r="AU230" s="66">
        <f>AK230*AA230</f>
        <v/>
      </c>
      <c r="AV230" s="66">
        <f>AL230*AB230</f>
        <v/>
      </c>
      <c r="AW230" s="66">
        <f>AM230*AC230</f>
        <v/>
      </c>
      <c r="AX230" s="66">
        <f>AN230*AD230</f>
        <v/>
      </c>
      <c r="AY230" s="66">
        <f>AO230*AE230</f>
        <v/>
      </c>
      <c r="AZ230" s="66">
        <f>INDEX(Projects[Automation Equipment],229)&amp;""</f>
        <v/>
      </c>
      <c r="BA230" s="66">
        <f>IF(OR(A230="",'Smart Search'!H13=0),"",MAX(0,BE230*BF230*MAX(0,1-BG230)))</f>
        <v/>
      </c>
      <c r="BB230" s="66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66">
        <f>IF('Smart Search'!G13=1,IFERROR(1/'Smart Search'!H13,0),0)</f>
        <v/>
      </c>
      <c r="BD230" s="66">
        <f>BB230*BC230</f>
        <v/>
      </c>
      <c r="BE230" s="66">
        <f>AP230+AQ230+AR230+AS230+AT230+AU230+AV230+AW230+AX230+AY230+BD230</f>
        <v/>
      </c>
      <c r="BF230" s="5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5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5">
        <f>IF(AND(A230&lt;&gt;"",OR('Smart Search'!$L$5="",'Smart Search'!$L$5="All",TRIM(BZ230)=TRIM('Smart Search'!$L$5)),OR(TRIM('Smart Search'!$L$6)="",TRIM('Smart Search'!$L$6)="All",ISNUMBER(SEARCH(SUBSTITUTE(SUBSTITUTE(SUBSTITUTE(TRIM('Smart Search'!$L$6),"~","~~"),"*","~*"),"?","~?"),CA230))),OR('Smart Search'!$L$7="",AND(CB230&lt;&gt;0,CB230='Smart Search'!$L$7)),OR('Smart Search'!$L$8="",'Smart Search'!$L$8="All",TRIM(CC230)=TRIM('Smart Search'!$L$8))),IF(BA230="","",BA230+ROW()*0.0000000001),"")</f>
        <v/>
      </c>
      <c r="BI230" s="5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5">
        <f>IF(A230="","",N(INDEX(Projects[Mech Inst],229)))</f>
        <v/>
      </c>
      <c r="BK230" s="5">
        <f>IF(A230="","",N(INDEX(Projects[Elec Inst],229)))</f>
        <v/>
      </c>
      <c r="BL230" s="5">
        <f>IF(A230="","",N(INDEX(Projects[Project Management],229)))</f>
        <v/>
      </c>
      <c r="BM230" s="5">
        <f>IF(A230="","",N(INDEX(Projects[Systems Eng],229)))</f>
        <v/>
      </c>
      <c r="BN230" s="5">
        <f>IF(A230="","",N(INDEX(Projects[Mechanical Eng],229)))</f>
        <v/>
      </c>
      <c r="BO230" s="5">
        <f>IF(A230="","",N(INDEX(Projects[Structural Engineering],229)))</f>
        <v/>
      </c>
      <c r="BP230" s="5">
        <f>IF(A230="","",N(INDEX(Projects[Site Sup],229)))</f>
        <v/>
      </c>
      <c r="BQ230" s="5">
        <f>IF(A230="","",N(INDEX(Projects[Controls Commissioning],229)))</f>
        <v/>
      </c>
      <c r="BR230" s="5">
        <f>IF(A230="","",N(INDEX(Projects[Systems Commissioning],229)))</f>
        <v/>
      </c>
      <c r="BS230" s="5">
        <f>IF(A230="","",N(INDEX(Projects[Service Commissioning],229)))</f>
        <v/>
      </c>
      <c r="BT230" s="5">
        <f>IF(A230="","",N(INDEX(Projects[Controls Eng],229)))</f>
        <v/>
      </c>
      <c r="BU230" s="5">
        <f>IF(A230="","",N(INDEX(Projects[Controls Purchase],229)))</f>
        <v/>
      </c>
      <c r="BV230" s="5">
        <f>IF(A230="","",N(INDEX(Projects[Software Eng],229)))</f>
        <v/>
      </c>
      <c r="BW230" s="5">
        <f>IF(A230="","",N(INDEX(Projects[Misc],229)))</f>
        <v/>
      </c>
      <c r="BX230" s="5">
        <f>IF(A230="","",SUM(BJ230:BW230))</f>
        <v/>
      </c>
      <c r="BY230" s="5">
        <f>IF(A230="","",IFERROR(IF(ISNUMBER(U230),U230,VALUE(SUBSTITUTE(SUBSTITUTE(SUBSTITUTE(UPPER(TRIM(U230)),"M",""),",","")," ",""))),0))</f>
        <v/>
      </c>
      <c r="BZ230" s="5">
        <f>INDEX(Projects[Solution Type],229)&amp;""</f>
        <v/>
      </c>
      <c r="CA230" s="5">
        <f>INDEX(Projects[Client / Region],229)&amp;""</f>
        <v/>
      </c>
      <c r="CB230" s="5">
        <f>INDEX(Projects[Year],229)</f>
        <v/>
      </c>
      <c r="CC230" s="5">
        <f>INDEX(Projects[Won?],229)&amp;""</f>
        <v/>
      </c>
      <c r="CD230" s="5">
        <f>INDEX(Projects[Value (USD M)],229)</f>
        <v/>
      </c>
    </row>
    <row r="231" ht="15" customHeight="1" s="74">
      <c r="A231" s="66">
        <f>INDEX(Projects[Project ID *],230)&amp;""</f>
        <v/>
      </c>
      <c r="B231" s="66">
        <f>INDEX(Projects[Project Name *],230)&amp;""</f>
        <v/>
      </c>
      <c r="C231" s="66">
        <f>INDEX(Projects[MS Shuttles],230)</f>
        <v/>
      </c>
      <c r="D231" s="66">
        <f>INDEX(Projects[MS Tote Locations],230)</f>
        <v/>
      </c>
      <c r="E231" s="66">
        <f>INDEX(Projects[AS Robots],230)</f>
        <v/>
      </c>
      <c r="F231" s="66">
        <f>INDEX(Projects[AS Tote Locations],230)</f>
        <v/>
      </c>
      <c r="G231" s="66">
        <f>INDEX(Projects[PS Shuttles],230)</f>
        <v/>
      </c>
      <c r="H231" s="66">
        <f>INDEX(Projects[PS Pallet Locations],230)</f>
        <v/>
      </c>
      <c r="I231" s="66">
        <f>INDEX(Projects[SRM Cranes],230)</f>
        <v/>
      </c>
      <c r="J231" s="66">
        <f>INDEX(Projects[SRM Pallet Locations],230)</f>
        <v/>
      </c>
      <c r="K231" s="66">
        <f>INDEX(Projects[Case Conv (m)],230)</f>
        <v/>
      </c>
      <c r="L231" s="66">
        <f>INDEX(Projects[Pallet Conv (m)],230)</f>
        <v/>
      </c>
      <c r="M231" s="66">
        <f>INDEX(Projects[Mech Eng (wks)],230)</f>
        <v/>
      </c>
      <c r="N231" s="66">
        <f>INDEX(Projects[Controls Eng (wks)],230)</f>
        <v/>
      </c>
      <c r="O231" s="66">
        <f>INDEX(Projects[Systems Eng (wks)],230)</f>
        <v/>
      </c>
      <c r="P231" s="66">
        <f>INDEX(Projects[Software Eng (wks)],230)</f>
        <v/>
      </c>
      <c r="Q231" s="66">
        <f>INDEX(Projects[M&amp;E Installation (wks)],230)</f>
        <v/>
      </c>
      <c r="R231" s="66">
        <f>INDEX(Projects[Commissioning (wks)],230)</f>
        <v/>
      </c>
      <c r="S231" s="66">
        <f>INDEX(Projects[Total Timeline (wks)],230)</f>
        <v/>
      </c>
      <c r="T231" s="66">
        <f>INDEX(Projects[Currency],230)&amp;""</f>
        <v/>
      </c>
      <c r="U231" s="67">
        <f>INDEX(Projects[Value (M)],230)</f>
        <v/>
      </c>
      <c r="V231" s="66">
        <f>IF('Smart Search'!B13=1,IFERROR(1/'Smart Search'!H13,0),0)</f>
        <v/>
      </c>
      <c r="W231" s="66">
        <f>IF('Smart Search'!B13=1,IFERROR(1/'Smart Search'!H13,0),0)</f>
        <v/>
      </c>
      <c r="X231" s="66">
        <f>IF('Smart Search'!C13=1,IFERROR(1/'Smart Search'!H13,0),0)</f>
        <v/>
      </c>
      <c r="Y231" s="66">
        <f>IF('Smart Search'!C13=1,IFERROR(1/'Smart Search'!H13,0),0)</f>
        <v/>
      </c>
      <c r="Z231" s="66">
        <f>IF('Smart Search'!D13=1,IFERROR(1/'Smart Search'!H13,0),0)</f>
        <v/>
      </c>
      <c r="AA231" s="66">
        <f>IF('Smart Search'!D13=1,IFERROR(1/'Smart Search'!H13,0),0)</f>
        <v/>
      </c>
      <c r="AB231" s="66">
        <f>IF('Smart Search'!E13=1,IFERROR(1/'Smart Search'!H13,0),0)</f>
        <v/>
      </c>
      <c r="AC231" s="66">
        <f>IF('Smart Search'!E13=1,IFERROR(1/'Smart Search'!H13,0),0)</f>
        <v/>
      </c>
      <c r="AD231" s="66">
        <f>IF('Smart Search'!F13=1,IFERROR(1/'Smart Search'!H13,0),0)</f>
        <v/>
      </c>
      <c r="AE231" s="66">
        <f>IF('Smart Search'!F13=1,IFERROR(1/'Smart Search'!H13,0),0)</f>
        <v/>
      </c>
      <c r="AF231" s="66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66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66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66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66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66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66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66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66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66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66">
        <f>AF231*V231</f>
        <v/>
      </c>
      <c r="AQ231" s="66">
        <f>AG231*W231</f>
        <v/>
      </c>
      <c r="AR231" s="66">
        <f>AH231*X231</f>
        <v/>
      </c>
      <c r="AS231" s="66">
        <f>AI231*Y231</f>
        <v/>
      </c>
      <c r="AT231" s="66">
        <f>AJ231*Z231</f>
        <v/>
      </c>
      <c r="AU231" s="66">
        <f>AK231*AA231</f>
        <v/>
      </c>
      <c r="AV231" s="66">
        <f>AL231*AB231</f>
        <v/>
      </c>
      <c r="AW231" s="66">
        <f>AM231*AC231</f>
        <v/>
      </c>
      <c r="AX231" s="66">
        <f>AN231*AD231</f>
        <v/>
      </c>
      <c r="AY231" s="66">
        <f>AO231*AE231</f>
        <v/>
      </c>
      <c r="AZ231" s="66">
        <f>INDEX(Projects[Automation Equipment],230)&amp;""</f>
        <v/>
      </c>
      <c r="BA231" s="66">
        <f>IF(OR(A231="",'Smart Search'!H13=0),"",MAX(0,BE231*BF231*MAX(0,1-BG231)))</f>
        <v/>
      </c>
      <c r="BB231" s="66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66">
        <f>IF('Smart Search'!G13=1,IFERROR(1/'Smart Search'!H13,0),0)</f>
        <v/>
      </c>
      <c r="BD231" s="66">
        <f>BB231*BC231</f>
        <v/>
      </c>
      <c r="BE231" s="66">
        <f>AP231+AQ231+AR231+AS231+AT231+AU231+AV231+AW231+AX231+AY231+BD231</f>
        <v/>
      </c>
      <c r="BF231" s="5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5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5">
        <f>IF(AND(A231&lt;&gt;"",OR('Smart Search'!$L$5="",'Smart Search'!$L$5="All",TRIM(BZ231)=TRIM('Smart Search'!$L$5)),OR(TRIM('Smart Search'!$L$6)="",TRIM('Smart Search'!$L$6)="All",ISNUMBER(SEARCH(SUBSTITUTE(SUBSTITUTE(SUBSTITUTE(TRIM('Smart Search'!$L$6),"~","~~"),"*","~*"),"?","~?"),CA231))),OR('Smart Search'!$L$7="",AND(CB231&lt;&gt;0,CB231='Smart Search'!$L$7)),OR('Smart Search'!$L$8="",'Smart Search'!$L$8="All",TRIM(CC231)=TRIM('Smart Search'!$L$8))),IF(BA231="","",BA231+ROW()*0.0000000001),"")</f>
        <v/>
      </c>
      <c r="BI231" s="5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5">
        <f>IF(A231="","",N(INDEX(Projects[Mech Inst],230)))</f>
        <v/>
      </c>
      <c r="BK231" s="5">
        <f>IF(A231="","",N(INDEX(Projects[Elec Inst],230)))</f>
        <v/>
      </c>
      <c r="BL231" s="5">
        <f>IF(A231="","",N(INDEX(Projects[Project Management],230)))</f>
        <v/>
      </c>
      <c r="BM231" s="5">
        <f>IF(A231="","",N(INDEX(Projects[Systems Eng],230)))</f>
        <v/>
      </c>
      <c r="BN231" s="5">
        <f>IF(A231="","",N(INDEX(Projects[Mechanical Eng],230)))</f>
        <v/>
      </c>
      <c r="BO231" s="5">
        <f>IF(A231="","",N(INDEX(Projects[Structural Engineering],230)))</f>
        <v/>
      </c>
      <c r="BP231" s="5">
        <f>IF(A231="","",N(INDEX(Projects[Site Sup],230)))</f>
        <v/>
      </c>
      <c r="BQ231" s="5">
        <f>IF(A231="","",N(INDEX(Projects[Controls Commissioning],230)))</f>
        <v/>
      </c>
      <c r="BR231" s="5">
        <f>IF(A231="","",N(INDEX(Projects[Systems Commissioning],230)))</f>
        <v/>
      </c>
      <c r="BS231" s="5">
        <f>IF(A231="","",N(INDEX(Projects[Service Commissioning],230)))</f>
        <v/>
      </c>
      <c r="BT231" s="5">
        <f>IF(A231="","",N(INDEX(Projects[Controls Eng],230)))</f>
        <v/>
      </c>
      <c r="BU231" s="5">
        <f>IF(A231="","",N(INDEX(Projects[Controls Purchase],230)))</f>
        <v/>
      </c>
      <c r="BV231" s="5">
        <f>IF(A231="","",N(INDEX(Projects[Software Eng],230)))</f>
        <v/>
      </c>
      <c r="BW231" s="5">
        <f>IF(A231="","",N(INDEX(Projects[Misc],230)))</f>
        <v/>
      </c>
      <c r="BX231" s="5">
        <f>IF(A231="","",SUM(BJ231:BW231))</f>
        <v/>
      </c>
      <c r="BY231" s="5">
        <f>IF(A231="","",IFERROR(IF(ISNUMBER(U231),U231,VALUE(SUBSTITUTE(SUBSTITUTE(SUBSTITUTE(UPPER(TRIM(U231)),"M",""),",","")," ",""))),0))</f>
        <v/>
      </c>
      <c r="BZ231" s="5">
        <f>INDEX(Projects[Solution Type],230)&amp;""</f>
        <v/>
      </c>
      <c r="CA231" s="5">
        <f>INDEX(Projects[Client / Region],230)&amp;""</f>
        <v/>
      </c>
      <c r="CB231" s="5">
        <f>INDEX(Projects[Year],230)</f>
        <v/>
      </c>
      <c r="CC231" s="5">
        <f>INDEX(Projects[Won?],230)&amp;""</f>
        <v/>
      </c>
      <c r="CD231" s="5">
        <f>INDEX(Projects[Value (USD M)],230)</f>
        <v/>
      </c>
    </row>
    <row r="232" ht="15" customHeight="1" s="74">
      <c r="A232" s="66">
        <f>INDEX(Projects[Project ID *],231)&amp;""</f>
        <v/>
      </c>
      <c r="B232" s="66">
        <f>INDEX(Projects[Project Name *],231)&amp;""</f>
        <v/>
      </c>
      <c r="C232" s="66">
        <f>INDEX(Projects[MS Shuttles],231)</f>
        <v/>
      </c>
      <c r="D232" s="66">
        <f>INDEX(Projects[MS Tote Locations],231)</f>
        <v/>
      </c>
      <c r="E232" s="66">
        <f>INDEX(Projects[AS Robots],231)</f>
        <v/>
      </c>
      <c r="F232" s="66">
        <f>INDEX(Projects[AS Tote Locations],231)</f>
        <v/>
      </c>
      <c r="G232" s="66">
        <f>INDEX(Projects[PS Shuttles],231)</f>
        <v/>
      </c>
      <c r="H232" s="66">
        <f>INDEX(Projects[PS Pallet Locations],231)</f>
        <v/>
      </c>
      <c r="I232" s="66">
        <f>INDEX(Projects[SRM Cranes],231)</f>
        <v/>
      </c>
      <c r="J232" s="66">
        <f>INDEX(Projects[SRM Pallet Locations],231)</f>
        <v/>
      </c>
      <c r="K232" s="66">
        <f>INDEX(Projects[Case Conv (m)],231)</f>
        <v/>
      </c>
      <c r="L232" s="66">
        <f>INDEX(Projects[Pallet Conv (m)],231)</f>
        <v/>
      </c>
      <c r="M232" s="66">
        <f>INDEX(Projects[Mech Eng (wks)],231)</f>
        <v/>
      </c>
      <c r="N232" s="66">
        <f>INDEX(Projects[Controls Eng (wks)],231)</f>
        <v/>
      </c>
      <c r="O232" s="66">
        <f>INDEX(Projects[Systems Eng (wks)],231)</f>
        <v/>
      </c>
      <c r="P232" s="66">
        <f>INDEX(Projects[Software Eng (wks)],231)</f>
        <v/>
      </c>
      <c r="Q232" s="66">
        <f>INDEX(Projects[M&amp;E Installation (wks)],231)</f>
        <v/>
      </c>
      <c r="R232" s="66">
        <f>INDEX(Projects[Commissioning (wks)],231)</f>
        <v/>
      </c>
      <c r="S232" s="66">
        <f>INDEX(Projects[Total Timeline (wks)],231)</f>
        <v/>
      </c>
      <c r="T232" s="66">
        <f>INDEX(Projects[Currency],231)&amp;""</f>
        <v/>
      </c>
      <c r="U232" s="67">
        <f>INDEX(Projects[Value (M)],231)</f>
        <v/>
      </c>
      <c r="V232" s="66">
        <f>IF('Smart Search'!B13=1,IFERROR(1/'Smart Search'!H13,0),0)</f>
        <v/>
      </c>
      <c r="W232" s="66">
        <f>IF('Smart Search'!B13=1,IFERROR(1/'Smart Search'!H13,0),0)</f>
        <v/>
      </c>
      <c r="X232" s="66">
        <f>IF('Smart Search'!C13=1,IFERROR(1/'Smart Search'!H13,0),0)</f>
        <v/>
      </c>
      <c r="Y232" s="66">
        <f>IF('Smart Search'!C13=1,IFERROR(1/'Smart Search'!H13,0),0)</f>
        <v/>
      </c>
      <c r="Z232" s="66">
        <f>IF('Smart Search'!D13=1,IFERROR(1/'Smart Search'!H13,0),0)</f>
        <v/>
      </c>
      <c r="AA232" s="66">
        <f>IF('Smart Search'!D13=1,IFERROR(1/'Smart Search'!H13,0),0)</f>
        <v/>
      </c>
      <c r="AB232" s="66">
        <f>IF('Smart Search'!E13=1,IFERROR(1/'Smart Search'!H13,0),0)</f>
        <v/>
      </c>
      <c r="AC232" s="66">
        <f>IF('Smart Search'!E13=1,IFERROR(1/'Smart Search'!H13,0),0)</f>
        <v/>
      </c>
      <c r="AD232" s="66">
        <f>IF('Smart Search'!F13=1,IFERROR(1/'Smart Search'!H13,0),0)</f>
        <v/>
      </c>
      <c r="AE232" s="66">
        <f>IF('Smart Search'!F13=1,IFERROR(1/'Smart Search'!H13,0),0)</f>
        <v/>
      </c>
      <c r="AF232" s="66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66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66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66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66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66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66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66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66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66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66">
        <f>AF232*V232</f>
        <v/>
      </c>
      <c r="AQ232" s="66">
        <f>AG232*W232</f>
        <v/>
      </c>
      <c r="AR232" s="66">
        <f>AH232*X232</f>
        <v/>
      </c>
      <c r="AS232" s="66">
        <f>AI232*Y232</f>
        <v/>
      </c>
      <c r="AT232" s="66">
        <f>AJ232*Z232</f>
        <v/>
      </c>
      <c r="AU232" s="66">
        <f>AK232*AA232</f>
        <v/>
      </c>
      <c r="AV232" s="66">
        <f>AL232*AB232</f>
        <v/>
      </c>
      <c r="AW232" s="66">
        <f>AM232*AC232</f>
        <v/>
      </c>
      <c r="AX232" s="66">
        <f>AN232*AD232</f>
        <v/>
      </c>
      <c r="AY232" s="66">
        <f>AO232*AE232</f>
        <v/>
      </c>
      <c r="AZ232" s="66">
        <f>INDEX(Projects[Automation Equipment],231)&amp;""</f>
        <v/>
      </c>
      <c r="BA232" s="66">
        <f>IF(OR(A232="",'Smart Search'!H13=0),"",MAX(0,BE232*BF232*MAX(0,1-BG232)))</f>
        <v/>
      </c>
      <c r="BB232" s="66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66">
        <f>IF('Smart Search'!G13=1,IFERROR(1/'Smart Search'!H13,0),0)</f>
        <v/>
      </c>
      <c r="BD232" s="66">
        <f>BB232*BC232</f>
        <v/>
      </c>
      <c r="BE232" s="66">
        <f>AP232+AQ232+AR232+AS232+AT232+AU232+AV232+AW232+AX232+AY232+BD232</f>
        <v/>
      </c>
      <c r="BF232" s="5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5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5">
        <f>IF(AND(A232&lt;&gt;"",OR('Smart Search'!$L$5="",'Smart Search'!$L$5="All",TRIM(BZ232)=TRIM('Smart Search'!$L$5)),OR(TRIM('Smart Search'!$L$6)="",TRIM('Smart Search'!$L$6)="All",ISNUMBER(SEARCH(SUBSTITUTE(SUBSTITUTE(SUBSTITUTE(TRIM('Smart Search'!$L$6),"~","~~"),"*","~*"),"?","~?"),CA232))),OR('Smart Search'!$L$7="",AND(CB232&lt;&gt;0,CB232='Smart Search'!$L$7)),OR('Smart Search'!$L$8="",'Smart Search'!$L$8="All",TRIM(CC232)=TRIM('Smart Search'!$L$8))),IF(BA232="","",BA232+ROW()*0.0000000001),"")</f>
        <v/>
      </c>
      <c r="BI232" s="5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5">
        <f>IF(A232="","",N(INDEX(Projects[Mech Inst],231)))</f>
        <v/>
      </c>
      <c r="BK232" s="5">
        <f>IF(A232="","",N(INDEX(Projects[Elec Inst],231)))</f>
        <v/>
      </c>
      <c r="BL232" s="5">
        <f>IF(A232="","",N(INDEX(Projects[Project Management],231)))</f>
        <v/>
      </c>
      <c r="BM232" s="5">
        <f>IF(A232="","",N(INDEX(Projects[Systems Eng],231)))</f>
        <v/>
      </c>
      <c r="BN232" s="5">
        <f>IF(A232="","",N(INDEX(Projects[Mechanical Eng],231)))</f>
        <v/>
      </c>
      <c r="BO232" s="5">
        <f>IF(A232="","",N(INDEX(Projects[Structural Engineering],231)))</f>
        <v/>
      </c>
      <c r="BP232" s="5">
        <f>IF(A232="","",N(INDEX(Projects[Site Sup],231)))</f>
        <v/>
      </c>
      <c r="BQ232" s="5">
        <f>IF(A232="","",N(INDEX(Projects[Controls Commissioning],231)))</f>
        <v/>
      </c>
      <c r="BR232" s="5">
        <f>IF(A232="","",N(INDEX(Projects[Systems Commissioning],231)))</f>
        <v/>
      </c>
      <c r="BS232" s="5">
        <f>IF(A232="","",N(INDEX(Projects[Service Commissioning],231)))</f>
        <v/>
      </c>
      <c r="BT232" s="5">
        <f>IF(A232="","",N(INDEX(Projects[Controls Eng],231)))</f>
        <v/>
      </c>
      <c r="BU232" s="5">
        <f>IF(A232="","",N(INDEX(Projects[Controls Purchase],231)))</f>
        <v/>
      </c>
      <c r="BV232" s="5">
        <f>IF(A232="","",N(INDEX(Projects[Software Eng],231)))</f>
        <v/>
      </c>
      <c r="BW232" s="5">
        <f>IF(A232="","",N(INDEX(Projects[Misc],231)))</f>
        <v/>
      </c>
      <c r="BX232" s="5">
        <f>IF(A232="","",SUM(BJ232:BW232))</f>
        <v/>
      </c>
      <c r="BY232" s="5">
        <f>IF(A232="","",IFERROR(IF(ISNUMBER(U232),U232,VALUE(SUBSTITUTE(SUBSTITUTE(SUBSTITUTE(UPPER(TRIM(U232)),"M",""),",","")," ",""))),0))</f>
        <v/>
      </c>
      <c r="BZ232" s="5">
        <f>INDEX(Projects[Solution Type],231)&amp;""</f>
        <v/>
      </c>
      <c r="CA232" s="5">
        <f>INDEX(Projects[Client / Region],231)&amp;""</f>
        <v/>
      </c>
      <c r="CB232" s="5">
        <f>INDEX(Projects[Year],231)</f>
        <v/>
      </c>
      <c r="CC232" s="5">
        <f>INDEX(Projects[Won?],231)&amp;""</f>
        <v/>
      </c>
      <c r="CD232" s="5">
        <f>INDEX(Projects[Value (USD M)],231)</f>
        <v/>
      </c>
    </row>
    <row r="233" ht="15" customHeight="1" s="74">
      <c r="A233" s="66">
        <f>INDEX(Projects[Project ID *],232)&amp;""</f>
        <v/>
      </c>
      <c r="B233" s="66">
        <f>INDEX(Projects[Project Name *],232)&amp;""</f>
        <v/>
      </c>
      <c r="C233" s="66">
        <f>INDEX(Projects[MS Shuttles],232)</f>
        <v/>
      </c>
      <c r="D233" s="66">
        <f>INDEX(Projects[MS Tote Locations],232)</f>
        <v/>
      </c>
      <c r="E233" s="66">
        <f>INDEX(Projects[AS Robots],232)</f>
        <v/>
      </c>
      <c r="F233" s="66">
        <f>INDEX(Projects[AS Tote Locations],232)</f>
        <v/>
      </c>
      <c r="G233" s="66">
        <f>INDEX(Projects[PS Shuttles],232)</f>
        <v/>
      </c>
      <c r="H233" s="66">
        <f>INDEX(Projects[PS Pallet Locations],232)</f>
        <v/>
      </c>
      <c r="I233" s="66">
        <f>INDEX(Projects[SRM Cranes],232)</f>
        <v/>
      </c>
      <c r="J233" s="66">
        <f>INDEX(Projects[SRM Pallet Locations],232)</f>
        <v/>
      </c>
      <c r="K233" s="66">
        <f>INDEX(Projects[Case Conv (m)],232)</f>
        <v/>
      </c>
      <c r="L233" s="66">
        <f>INDEX(Projects[Pallet Conv (m)],232)</f>
        <v/>
      </c>
      <c r="M233" s="66">
        <f>INDEX(Projects[Mech Eng (wks)],232)</f>
        <v/>
      </c>
      <c r="N233" s="66">
        <f>INDEX(Projects[Controls Eng (wks)],232)</f>
        <v/>
      </c>
      <c r="O233" s="66">
        <f>INDEX(Projects[Systems Eng (wks)],232)</f>
        <v/>
      </c>
      <c r="P233" s="66">
        <f>INDEX(Projects[Software Eng (wks)],232)</f>
        <v/>
      </c>
      <c r="Q233" s="66">
        <f>INDEX(Projects[M&amp;E Installation (wks)],232)</f>
        <v/>
      </c>
      <c r="R233" s="66">
        <f>INDEX(Projects[Commissioning (wks)],232)</f>
        <v/>
      </c>
      <c r="S233" s="66">
        <f>INDEX(Projects[Total Timeline (wks)],232)</f>
        <v/>
      </c>
      <c r="T233" s="66">
        <f>INDEX(Projects[Currency],232)&amp;""</f>
        <v/>
      </c>
      <c r="U233" s="67">
        <f>INDEX(Projects[Value (M)],232)</f>
        <v/>
      </c>
      <c r="V233" s="66">
        <f>IF('Smart Search'!B13=1,IFERROR(1/'Smart Search'!H13,0),0)</f>
        <v/>
      </c>
      <c r="W233" s="66">
        <f>IF('Smart Search'!B13=1,IFERROR(1/'Smart Search'!H13,0),0)</f>
        <v/>
      </c>
      <c r="X233" s="66">
        <f>IF('Smart Search'!C13=1,IFERROR(1/'Smart Search'!H13,0),0)</f>
        <v/>
      </c>
      <c r="Y233" s="66">
        <f>IF('Smart Search'!C13=1,IFERROR(1/'Smart Search'!H13,0),0)</f>
        <v/>
      </c>
      <c r="Z233" s="66">
        <f>IF('Smart Search'!D13=1,IFERROR(1/'Smart Search'!H13,0),0)</f>
        <v/>
      </c>
      <c r="AA233" s="66">
        <f>IF('Smart Search'!D13=1,IFERROR(1/'Smart Search'!H13,0),0)</f>
        <v/>
      </c>
      <c r="AB233" s="66">
        <f>IF('Smart Search'!E13=1,IFERROR(1/'Smart Search'!H13,0),0)</f>
        <v/>
      </c>
      <c r="AC233" s="66">
        <f>IF('Smart Search'!E13=1,IFERROR(1/'Smart Search'!H13,0),0)</f>
        <v/>
      </c>
      <c r="AD233" s="66">
        <f>IF('Smart Search'!F13=1,IFERROR(1/'Smart Search'!H13,0),0)</f>
        <v/>
      </c>
      <c r="AE233" s="66">
        <f>IF('Smart Search'!F13=1,IFERROR(1/'Smart Search'!H13,0),0)</f>
        <v/>
      </c>
      <c r="AF233" s="66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66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66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66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66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66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66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66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66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66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66">
        <f>AF233*V233</f>
        <v/>
      </c>
      <c r="AQ233" s="66">
        <f>AG233*W233</f>
        <v/>
      </c>
      <c r="AR233" s="66">
        <f>AH233*X233</f>
        <v/>
      </c>
      <c r="AS233" s="66">
        <f>AI233*Y233</f>
        <v/>
      </c>
      <c r="AT233" s="66">
        <f>AJ233*Z233</f>
        <v/>
      </c>
      <c r="AU233" s="66">
        <f>AK233*AA233</f>
        <v/>
      </c>
      <c r="AV233" s="66">
        <f>AL233*AB233</f>
        <v/>
      </c>
      <c r="AW233" s="66">
        <f>AM233*AC233</f>
        <v/>
      </c>
      <c r="AX233" s="66">
        <f>AN233*AD233</f>
        <v/>
      </c>
      <c r="AY233" s="66">
        <f>AO233*AE233</f>
        <v/>
      </c>
      <c r="AZ233" s="66">
        <f>INDEX(Projects[Automation Equipment],232)&amp;""</f>
        <v/>
      </c>
      <c r="BA233" s="66">
        <f>IF(OR(A233="",'Smart Search'!H13=0),"",MAX(0,BE233*BF233*MAX(0,1-BG233)))</f>
        <v/>
      </c>
      <c r="BB233" s="66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66">
        <f>IF('Smart Search'!G13=1,IFERROR(1/'Smart Search'!H13,0),0)</f>
        <v/>
      </c>
      <c r="BD233" s="66">
        <f>BB233*BC233</f>
        <v/>
      </c>
      <c r="BE233" s="66">
        <f>AP233+AQ233+AR233+AS233+AT233+AU233+AV233+AW233+AX233+AY233+BD233</f>
        <v/>
      </c>
      <c r="BF233" s="5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5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5">
        <f>IF(AND(A233&lt;&gt;"",OR('Smart Search'!$L$5="",'Smart Search'!$L$5="All",TRIM(BZ233)=TRIM('Smart Search'!$L$5)),OR(TRIM('Smart Search'!$L$6)="",TRIM('Smart Search'!$L$6)="All",ISNUMBER(SEARCH(SUBSTITUTE(SUBSTITUTE(SUBSTITUTE(TRIM('Smart Search'!$L$6),"~","~~"),"*","~*"),"?","~?"),CA233))),OR('Smart Search'!$L$7="",AND(CB233&lt;&gt;0,CB233='Smart Search'!$L$7)),OR('Smart Search'!$L$8="",'Smart Search'!$L$8="All",TRIM(CC233)=TRIM('Smart Search'!$L$8))),IF(BA233="","",BA233+ROW()*0.0000000001),"")</f>
        <v/>
      </c>
      <c r="BI233" s="5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5">
        <f>IF(A233="","",N(INDEX(Projects[Mech Inst],232)))</f>
        <v/>
      </c>
      <c r="BK233" s="5">
        <f>IF(A233="","",N(INDEX(Projects[Elec Inst],232)))</f>
        <v/>
      </c>
      <c r="BL233" s="5">
        <f>IF(A233="","",N(INDEX(Projects[Project Management],232)))</f>
        <v/>
      </c>
      <c r="BM233" s="5">
        <f>IF(A233="","",N(INDEX(Projects[Systems Eng],232)))</f>
        <v/>
      </c>
      <c r="BN233" s="5">
        <f>IF(A233="","",N(INDEX(Projects[Mechanical Eng],232)))</f>
        <v/>
      </c>
      <c r="BO233" s="5">
        <f>IF(A233="","",N(INDEX(Projects[Structural Engineering],232)))</f>
        <v/>
      </c>
      <c r="BP233" s="5">
        <f>IF(A233="","",N(INDEX(Projects[Site Sup],232)))</f>
        <v/>
      </c>
      <c r="BQ233" s="5">
        <f>IF(A233="","",N(INDEX(Projects[Controls Commissioning],232)))</f>
        <v/>
      </c>
      <c r="BR233" s="5">
        <f>IF(A233="","",N(INDEX(Projects[Systems Commissioning],232)))</f>
        <v/>
      </c>
      <c r="BS233" s="5">
        <f>IF(A233="","",N(INDEX(Projects[Service Commissioning],232)))</f>
        <v/>
      </c>
      <c r="BT233" s="5">
        <f>IF(A233="","",N(INDEX(Projects[Controls Eng],232)))</f>
        <v/>
      </c>
      <c r="BU233" s="5">
        <f>IF(A233="","",N(INDEX(Projects[Controls Purchase],232)))</f>
        <v/>
      </c>
      <c r="BV233" s="5">
        <f>IF(A233="","",N(INDEX(Projects[Software Eng],232)))</f>
        <v/>
      </c>
      <c r="BW233" s="5">
        <f>IF(A233="","",N(INDEX(Projects[Misc],232)))</f>
        <v/>
      </c>
      <c r="BX233" s="5">
        <f>IF(A233="","",SUM(BJ233:BW233))</f>
        <v/>
      </c>
      <c r="BY233" s="5">
        <f>IF(A233="","",IFERROR(IF(ISNUMBER(U233),U233,VALUE(SUBSTITUTE(SUBSTITUTE(SUBSTITUTE(UPPER(TRIM(U233)),"M",""),",","")," ",""))),0))</f>
        <v/>
      </c>
      <c r="BZ233" s="5">
        <f>INDEX(Projects[Solution Type],232)&amp;""</f>
        <v/>
      </c>
      <c r="CA233" s="5">
        <f>INDEX(Projects[Client / Region],232)&amp;""</f>
        <v/>
      </c>
      <c r="CB233" s="5">
        <f>INDEX(Projects[Year],232)</f>
        <v/>
      </c>
      <c r="CC233" s="5">
        <f>INDEX(Projects[Won?],232)&amp;""</f>
        <v/>
      </c>
      <c r="CD233" s="5">
        <f>INDEX(Projects[Value (USD M)],232)</f>
        <v/>
      </c>
    </row>
    <row r="234" ht="15" customHeight="1" s="74">
      <c r="A234" s="66">
        <f>INDEX(Projects[Project ID *],233)&amp;""</f>
        <v/>
      </c>
      <c r="B234" s="66">
        <f>INDEX(Projects[Project Name *],233)&amp;""</f>
        <v/>
      </c>
      <c r="C234" s="66">
        <f>INDEX(Projects[MS Shuttles],233)</f>
        <v/>
      </c>
      <c r="D234" s="66">
        <f>INDEX(Projects[MS Tote Locations],233)</f>
        <v/>
      </c>
      <c r="E234" s="66">
        <f>INDEX(Projects[AS Robots],233)</f>
        <v/>
      </c>
      <c r="F234" s="66">
        <f>INDEX(Projects[AS Tote Locations],233)</f>
        <v/>
      </c>
      <c r="G234" s="66">
        <f>INDEX(Projects[PS Shuttles],233)</f>
        <v/>
      </c>
      <c r="H234" s="66">
        <f>INDEX(Projects[PS Pallet Locations],233)</f>
        <v/>
      </c>
      <c r="I234" s="66">
        <f>INDEX(Projects[SRM Cranes],233)</f>
        <v/>
      </c>
      <c r="J234" s="66">
        <f>INDEX(Projects[SRM Pallet Locations],233)</f>
        <v/>
      </c>
      <c r="K234" s="66">
        <f>INDEX(Projects[Case Conv (m)],233)</f>
        <v/>
      </c>
      <c r="L234" s="66">
        <f>INDEX(Projects[Pallet Conv (m)],233)</f>
        <v/>
      </c>
      <c r="M234" s="66">
        <f>INDEX(Projects[Mech Eng (wks)],233)</f>
        <v/>
      </c>
      <c r="N234" s="66">
        <f>INDEX(Projects[Controls Eng (wks)],233)</f>
        <v/>
      </c>
      <c r="O234" s="66">
        <f>INDEX(Projects[Systems Eng (wks)],233)</f>
        <v/>
      </c>
      <c r="P234" s="66">
        <f>INDEX(Projects[Software Eng (wks)],233)</f>
        <v/>
      </c>
      <c r="Q234" s="66">
        <f>INDEX(Projects[M&amp;E Installation (wks)],233)</f>
        <v/>
      </c>
      <c r="R234" s="66">
        <f>INDEX(Projects[Commissioning (wks)],233)</f>
        <v/>
      </c>
      <c r="S234" s="66">
        <f>INDEX(Projects[Total Timeline (wks)],233)</f>
        <v/>
      </c>
      <c r="T234" s="66">
        <f>INDEX(Projects[Currency],233)&amp;""</f>
        <v/>
      </c>
      <c r="U234" s="67">
        <f>INDEX(Projects[Value (M)],233)</f>
        <v/>
      </c>
      <c r="V234" s="66">
        <f>IF('Smart Search'!B13=1,IFERROR(1/'Smart Search'!H13,0),0)</f>
        <v/>
      </c>
      <c r="W234" s="66">
        <f>IF('Smart Search'!B13=1,IFERROR(1/'Smart Search'!H13,0),0)</f>
        <v/>
      </c>
      <c r="X234" s="66">
        <f>IF('Smart Search'!C13=1,IFERROR(1/'Smart Search'!H13,0),0)</f>
        <v/>
      </c>
      <c r="Y234" s="66">
        <f>IF('Smart Search'!C13=1,IFERROR(1/'Smart Search'!H13,0),0)</f>
        <v/>
      </c>
      <c r="Z234" s="66">
        <f>IF('Smart Search'!D13=1,IFERROR(1/'Smart Search'!H13,0),0)</f>
        <v/>
      </c>
      <c r="AA234" s="66">
        <f>IF('Smart Search'!D13=1,IFERROR(1/'Smart Search'!H13,0),0)</f>
        <v/>
      </c>
      <c r="AB234" s="66">
        <f>IF('Smart Search'!E13=1,IFERROR(1/'Smart Search'!H13,0),0)</f>
        <v/>
      </c>
      <c r="AC234" s="66">
        <f>IF('Smart Search'!E13=1,IFERROR(1/'Smart Search'!H13,0),0)</f>
        <v/>
      </c>
      <c r="AD234" s="66">
        <f>IF('Smart Search'!F13=1,IFERROR(1/'Smart Search'!H13,0),0)</f>
        <v/>
      </c>
      <c r="AE234" s="66">
        <f>IF('Smart Search'!F13=1,IFERROR(1/'Smart Search'!H13,0),0)</f>
        <v/>
      </c>
      <c r="AF234" s="66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66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66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66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66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66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66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66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66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66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66">
        <f>AF234*V234</f>
        <v/>
      </c>
      <c r="AQ234" s="66">
        <f>AG234*W234</f>
        <v/>
      </c>
      <c r="AR234" s="66">
        <f>AH234*X234</f>
        <v/>
      </c>
      <c r="AS234" s="66">
        <f>AI234*Y234</f>
        <v/>
      </c>
      <c r="AT234" s="66">
        <f>AJ234*Z234</f>
        <v/>
      </c>
      <c r="AU234" s="66">
        <f>AK234*AA234</f>
        <v/>
      </c>
      <c r="AV234" s="66">
        <f>AL234*AB234</f>
        <v/>
      </c>
      <c r="AW234" s="66">
        <f>AM234*AC234</f>
        <v/>
      </c>
      <c r="AX234" s="66">
        <f>AN234*AD234</f>
        <v/>
      </c>
      <c r="AY234" s="66">
        <f>AO234*AE234</f>
        <v/>
      </c>
      <c r="AZ234" s="66">
        <f>INDEX(Projects[Automation Equipment],233)&amp;""</f>
        <v/>
      </c>
      <c r="BA234" s="66">
        <f>IF(OR(A234="",'Smart Search'!H13=0),"",MAX(0,BE234*BF234*MAX(0,1-BG234)))</f>
        <v/>
      </c>
      <c r="BB234" s="66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66">
        <f>IF('Smart Search'!G13=1,IFERROR(1/'Smart Search'!H13,0),0)</f>
        <v/>
      </c>
      <c r="BD234" s="66">
        <f>BB234*BC234</f>
        <v/>
      </c>
      <c r="BE234" s="66">
        <f>AP234+AQ234+AR234+AS234+AT234+AU234+AV234+AW234+AX234+AY234+BD234</f>
        <v/>
      </c>
      <c r="BF234" s="5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5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5">
        <f>IF(AND(A234&lt;&gt;"",OR('Smart Search'!$L$5="",'Smart Search'!$L$5="All",TRIM(BZ234)=TRIM('Smart Search'!$L$5)),OR(TRIM('Smart Search'!$L$6)="",TRIM('Smart Search'!$L$6)="All",ISNUMBER(SEARCH(SUBSTITUTE(SUBSTITUTE(SUBSTITUTE(TRIM('Smart Search'!$L$6),"~","~~"),"*","~*"),"?","~?"),CA234))),OR('Smart Search'!$L$7="",AND(CB234&lt;&gt;0,CB234='Smart Search'!$L$7)),OR('Smart Search'!$L$8="",'Smart Search'!$L$8="All",TRIM(CC234)=TRIM('Smart Search'!$L$8))),IF(BA234="","",BA234+ROW()*0.0000000001),"")</f>
        <v/>
      </c>
      <c r="BI234" s="5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5">
        <f>IF(A234="","",N(INDEX(Projects[Mech Inst],233)))</f>
        <v/>
      </c>
      <c r="BK234" s="5">
        <f>IF(A234="","",N(INDEX(Projects[Elec Inst],233)))</f>
        <v/>
      </c>
      <c r="BL234" s="5">
        <f>IF(A234="","",N(INDEX(Projects[Project Management],233)))</f>
        <v/>
      </c>
      <c r="BM234" s="5">
        <f>IF(A234="","",N(INDEX(Projects[Systems Eng],233)))</f>
        <v/>
      </c>
      <c r="BN234" s="5">
        <f>IF(A234="","",N(INDEX(Projects[Mechanical Eng],233)))</f>
        <v/>
      </c>
      <c r="BO234" s="5">
        <f>IF(A234="","",N(INDEX(Projects[Structural Engineering],233)))</f>
        <v/>
      </c>
      <c r="BP234" s="5">
        <f>IF(A234="","",N(INDEX(Projects[Site Sup],233)))</f>
        <v/>
      </c>
      <c r="BQ234" s="5">
        <f>IF(A234="","",N(INDEX(Projects[Controls Commissioning],233)))</f>
        <v/>
      </c>
      <c r="BR234" s="5">
        <f>IF(A234="","",N(INDEX(Projects[Systems Commissioning],233)))</f>
        <v/>
      </c>
      <c r="BS234" s="5">
        <f>IF(A234="","",N(INDEX(Projects[Service Commissioning],233)))</f>
        <v/>
      </c>
      <c r="BT234" s="5">
        <f>IF(A234="","",N(INDEX(Projects[Controls Eng],233)))</f>
        <v/>
      </c>
      <c r="BU234" s="5">
        <f>IF(A234="","",N(INDEX(Projects[Controls Purchase],233)))</f>
        <v/>
      </c>
      <c r="BV234" s="5">
        <f>IF(A234="","",N(INDEX(Projects[Software Eng],233)))</f>
        <v/>
      </c>
      <c r="BW234" s="5">
        <f>IF(A234="","",N(INDEX(Projects[Misc],233)))</f>
        <v/>
      </c>
      <c r="BX234" s="5">
        <f>IF(A234="","",SUM(BJ234:BW234))</f>
        <v/>
      </c>
      <c r="BY234" s="5">
        <f>IF(A234="","",IFERROR(IF(ISNUMBER(U234),U234,VALUE(SUBSTITUTE(SUBSTITUTE(SUBSTITUTE(UPPER(TRIM(U234)),"M",""),",","")," ",""))),0))</f>
        <v/>
      </c>
      <c r="BZ234" s="5">
        <f>INDEX(Projects[Solution Type],233)&amp;""</f>
        <v/>
      </c>
      <c r="CA234" s="5">
        <f>INDEX(Projects[Client / Region],233)&amp;""</f>
        <v/>
      </c>
      <c r="CB234" s="5">
        <f>INDEX(Projects[Year],233)</f>
        <v/>
      </c>
      <c r="CC234" s="5">
        <f>INDEX(Projects[Won?],233)&amp;""</f>
        <v/>
      </c>
      <c r="CD234" s="5">
        <f>INDEX(Projects[Value (USD M)],233)</f>
        <v/>
      </c>
    </row>
    <row r="235" ht="15" customHeight="1" s="74">
      <c r="A235" s="66">
        <f>INDEX(Projects[Project ID *],234)&amp;""</f>
        <v/>
      </c>
      <c r="B235" s="66">
        <f>INDEX(Projects[Project Name *],234)&amp;""</f>
        <v/>
      </c>
      <c r="C235" s="66">
        <f>INDEX(Projects[MS Shuttles],234)</f>
        <v/>
      </c>
      <c r="D235" s="66">
        <f>INDEX(Projects[MS Tote Locations],234)</f>
        <v/>
      </c>
      <c r="E235" s="66">
        <f>INDEX(Projects[AS Robots],234)</f>
        <v/>
      </c>
      <c r="F235" s="66">
        <f>INDEX(Projects[AS Tote Locations],234)</f>
        <v/>
      </c>
      <c r="G235" s="66">
        <f>INDEX(Projects[PS Shuttles],234)</f>
        <v/>
      </c>
      <c r="H235" s="66">
        <f>INDEX(Projects[PS Pallet Locations],234)</f>
        <v/>
      </c>
      <c r="I235" s="66">
        <f>INDEX(Projects[SRM Cranes],234)</f>
        <v/>
      </c>
      <c r="J235" s="66">
        <f>INDEX(Projects[SRM Pallet Locations],234)</f>
        <v/>
      </c>
      <c r="K235" s="66">
        <f>INDEX(Projects[Case Conv (m)],234)</f>
        <v/>
      </c>
      <c r="L235" s="66">
        <f>INDEX(Projects[Pallet Conv (m)],234)</f>
        <v/>
      </c>
      <c r="M235" s="66">
        <f>INDEX(Projects[Mech Eng (wks)],234)</f>
        <v/>
      </c>
      <c r="N235" s="66">
        <f>INDEX(Projects[Controls Eng (wks)],234)</f>
        <v/>
      </c>
      <c r="O235" s="66">
        <f>INDEX(Projects[Systems Eng (wks)],234)</f>
        <v/>
      </c>
      <c r="P235" s="66">
        <f>INDEX(Projects[Software Eng (wks)],234)</f>
        <v/>
      </c>
      <c r="Q235" s="66">
        <f>INDEX(Projects[M&amp;E Installation (wks)],234)</f>
        <v/>
      </c>
      <c r="R235" s="66">
        <f>INDEX(Projects[Commissioning (wks)],234)</f>
        <v/>
      </c>
      <c r="S235" s="66">
        <f>INDEX(Projects[Total Timeline (wks)],234)</f>
        <v/>
      </c>
      <c r="T235" s="66">
        <f>INDEX(Projects[Currency],234)&amp;""</f>
        <v/>
      </c>
      <c r="U235" s="67">
        <f>INDEX(Projects[Value (M)],234)</f>
        <v/>
      </c>
      <c r="V235" s="66">
        <f>IF('Smart Search'!B13=1,IFERROR(1/'Smart Search'!H13,0),0)</f>
        <v/>
      </c>
      <c r="W235" s="66">
        <f>IF('Smart Search'!B13=1,IFERROR(1/'Smart Search'!H13,0),0)</f>
        <v/>
      </c>
      <c r="X235" s="66">
        <f>IF('Smart Search'!C13=1,IFERROR(1/'Smart Search'!H13,0),0)</f>
        <v/>
      </c>
      <c r="Y235" s="66">
        <f>IF('Smart Search'!C13=1,IFERROR(1/'Smart Search'!H13,0),0)</f>
        <v/>
      </c>
      <c r="Z235" s="66">
        <f>IF('Smart Search'!D13=1,IFERROR(1/'Smart Search'!H13,0),0)</f>
        <v/>
      </c>
      <c r="AA235" s="66">
        <f>IF('Smart Search'!D13=1,IFERROR(1/'Smart Search'!H13,0),0)</f>
        <v/>
      </c>
      <c r="AB235" s="66">
        <f>IF('Smart Search'!E13=1,IFERROR(1/'Smart Search'!H13,0),0)</f>
        <v/>
      </c>
      <c r="AC235" s="66">
        <f>IF('Smart Search'!E13=1,IFERROR(1/'Smart Search'!H13,0),0)</f>
        <v/>
      </c>
      <c r="AD235" s="66">
        <f>IF('Smart Search'!F13=1,IFERROR(1/'Smart Search'!H13,0),0)</f>
        <v/>
      </c>
      <c r="AE235" s="66">
        <f>IF('Smart Search'!F13=1,IFERROR(1/'Smart Search'!H13,0),0)</f>
        <v/>
      </c>
      <c r="AF235" s="66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66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66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66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66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66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66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66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66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66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66">
        <f>AF235*V235</f>
        <v/>
      </c>
      <c r="AQ235" s="66">
        <f>AG235*W235</f>
        <v/>
      </c>
      <c r="AR235" s="66">
        <f>AH235*X235</f>
        <v/>
      </c>
      <c r="AS235" s="66">
        <f>AI235*Y235</f>
        <v/>
      </c>
      <c r="AT235" s="66">
        <f>AJ235*Z235</f>
        <v/>
      </c>
      <c r="AU235" s="66">
        <f>AK235*AA235</f>
        <v/>
      </c>
      <c r="AV235" s="66">
        <f>AL235*AB235</f>
        <v/>
      </c>
      <c r="AW235" s="66">
        <f>AM235*AC235</f>
        <v/>
      </c>
      <c r="AX235" s="66">
        <f>AN235*AD235</f>
        <v/>
      </c>
      <c r="AY235" s="66">
        <f>AO235*AE235</f>
        <v/>
      </c>
      <c r="AZ235" s="66">
        <f>INDEX(Projects[Automation Equipment],234)&amp;""</f>
        <v/>
      </c>
      <c r="BA235" s="66">
        <f>IF(OR(A235="",'Smart Search'!H13=0),"",MAX(0,BE235*BF235*MAX(0,1-BG235)))</f>
        <v/>
      </c>
      <c r="BB235" s="66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66">
        <f>IF('Smart Search'!G13=1,IFERROR(1/'Smart Search'!H13,0),0)</f>
        <v/>
      </c>
      <c r="BD235" s="66">
        <f>BB235*BC235</f>
        <v/>
      </c>
      <c r="BE235" s="66">
        <f>AP235+AQ235+AR235+AS235+AT235+AU235+AV235+AW235+AX235+AY235+BD235</f>
        <v/>
      </c>
      <c r="BF235" s="5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5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5">
        <f>IF(AND(A235&lt;&gt;"",OR('Smart Search'!$L$5="",'Smart Search'!$L$5="All",TRIM(BZ235)=TRIM('Smart Search'!$L$5)),OR(TRIM('Smart Search'!$L$6)="",TRIM('Smart Search'!$L$6)="All",ISNUMBER(SEARCH(SUBSTITUTE(SUBSTITUTE(SUBSTITUTE(TRIM('Smart Search'!$L$6),"~","~~"),"*","~*"),"?","~?"),CA235))),OR('Smart Search'!$L$7="",AND(CB235&lt;&gt;0,CB235='Smart Search'!$L$7)),OR('Smart Search'!$L$8="",'Smart Search'!$L$8="All",TRIM(CC235)=TRIM('Smart Search'!$L$8))),IF(BA235="","",BA235+ROW()*0.0000000001),"")</f>
        <v/>
      </c>
      <c r="BI235" s="5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5">
        <f>IF(A235="","",N(INDEX(Projects[Mech Inst],234)))</f>
        <v/>
      </c>
      <c r="BK235" s="5">
        <f>IF(A235="","",N(INDEX(Projects[Elec Inst],234)))</f>
        <v/>
      </c>
      <c r="BL235" s="5">
        <f>IF(A235="","",N(INDEX(Projects[Project Management],234)))</f>
        <v/>
      </c>
      <c r="BM235" s="5">
        <f>IF(A235="","",N(INDEX(Projects[Systems Eng],234)))</f>
        <v/>
      </c>
      <c r="BN235" s="5">
        <f>IF(A235="","",N(INDEX(Projects[Mechanical Eng],234)))</f>
        <v/>
      </c>
      <c r="BO235" s="5">
        <f>IF(A235="","",N(INDEX(Projects[Structural Engineering],234)))</f>
        <v/>
      </c>
      <c r="BP235" s="5">
        <f>IF(A235="","",N(INDEX(Projects[Site Sup],234)))</f>
        <v/>
      </c>
      <c r="BQ235" s="5">
        <f>IF(A235="","",N(INDEX(Projects[Controls Commissioning],234)))</f>
        <v/>
      </c>
      <c r="BR235" s="5">
        <f>IF(A235="","",N(INDEX(Projects[Systems Commissioning],234)))</f>
        <v/>
      </c>
      <c r="BS235" s="5">
        <f>IF(A235="","",N(INDEX(Projects[Service Commissioning],234)))</f>
        <v/>
      </c>
      <c r="BT235" s="5">
        <f>IF(A235="","",N(INDEX(Projects[Controls Eng],234)))</f>
        <v/>
      </c>
      <c r="BU235" s="5">
        <f>IF(A235="","",N(INDEX(Projects[Controls Purchase],234)))</f>
        <v/>
      </c>
      <c r="BV235" s="5">
        <f>IF(A235="","",N(INDEX(Projects[Software Eng],234)))</f>
        <v/>
      </c>
      <c r="BW235" s="5">
        <f>IF(A235="","",N(INDEX(Projects[Misc],234)))</f>
        <v/>
      </c>
      <c r="BX235" s="5">
        <f>IF(A235="","",SUM(BJ235:BW235))</f>
        <v/>
      </c>
      <c r="BY235" s="5">
        <f>IF(A235="","",IFERROR(IF(ISNUMBER(U235),U235,VALUE(SUBSTITUTE(SUBSTITUTE(SUBSTITUTE(UPPER(TRIM(U235)),"M",""),",","")," ",""))),0))</f>
        <v/>
      </c>
      <c r="BZ235" s="5">
        <f>INDEX(Projects[Solution Type],234)&amp;""</f>
        <v/>
      </c>
      <c r="CA235" s="5">
        <f>INDEX(Projects[Client / Region],234)&amp;""</f>
        <v/>
      </c>
      <c r="CB235" s="5">
        <f>INDEX(Projects[Year],234)</f>
        <v/>
      </c>
      <c r="CC235" s="5">
        <f>INDEX(Projects[Won?],234)&amp;""</f>
        <v/>
      </c>
      <c r="CD235" s="5">
        <f>INDEX(Projects[Value (USD M)],234)</f>
        <v/>
      </c>
    </row>
    <row r="236" ht="15" customHeight="1" s="74">
      <c r="A236" s="66">
        <f>INDEX(Projects[Project ID *],235)&amp;""</f>
        <v/>
      </c>
      <c r="B236" s="66">
        <f>INDEX(Projects[Project Name *],235)&amp;""</f>
        <v/>
      </c>
      <c r="C236" s="66">
        <f>INDEX(Projects[MS Shuttles],235)</f>
        <v/>
      </c>
      <c r="D236" s="66">
        <f>INDEX(Projects[MS Tote Locations],235)</f>
        <v/>
      </c>
      <c r="E236" s="66">
        <f>INDEX(Projects[AS Robots],235)</f>
        <v/>
      </c>
      <c r="F236" s="66">
        <f>INDEX(Projects[AS Tote Locations],235)</f>
        <v/>
      </c>
      <c r="G236" s="66">
        <f>INDEX(Projects[PS Shuttles],235)</f>
        <v/>
      </c>
      <c r="H236" s="66">
        <f>INDEX(Projects[PS Pallet Locations],235)</f>
        <v/>
      </c>
      <c r="I236" s="66">
        <f>INDEX(Projects[SRM Cranes],235)</f>
        <v/>
      </c>
      <c r="J236" s="66">
        <f>INDEX(Projects[SRM Pallet Locations],235)</f>
        <v/>
      </c>
      <c r="K236" s="66">
        <f>INDEX(Projects[Case Conv (m)],235)</f>
        <v/>
      </c>
      <c r="L236" s="66">
        <f>INDEX(Projects[Pallet Conv (m)],235)</f>
        <v/>
      </c>
      <c r="M236" s="66">
        <f>INDEX(Projects[Mech Eng (wks)],235)</f>
        <v/>
      </c>
      <c r="N236" s="66">
        <f>INDEX(Projects[Controls Eng (wks)],235)</f>
        <v/>
      </c>
      <c r="O236" s="66">
        <f>INDEX(Projects[Systems Eng (wks)],235)</f>
        <v/>
      </c>
      <c r="P236" s="66">
        <f>INDEX(Projects[Software Eng (wks)],235)</f>
        <v/>
      </c>
      <c r="Q236" s="66">
        <f>INDEX(Projects[M&amp;E Installation (wks)],235)</f>
        <v/>
      </c>
      <c r="R236" s="66">
        <f>INDEX(Projects[Commissioning (wks)],235)</f>
        <v/>
      </c>
      <c r="S236" s="66">
        <f>INDEX(Projects[Total Timeline (wks)],235)</f>
        <v/>
      </c>
      <c r="T236" s="66">
        <f>INDEX(Projects[Currency],235)&amp;""</f>
        <v/>
      </c>
      <c r="U236" s="67">
        <f>INDEX(Projects[Value (M)],235)</f>
        <v/>
      </c>
      <c r="V236" s="66">
        <f>IF('Smart Search'!B13=1,IFERROR(1/'Smart Search'!H13,0),0)</f>
        <v/>
      </c>
      <c r="W236" s="66">
        <f>IF('Smart Search'!B13=1,IFERROR(1/'Smart Search'!H13,0),0)</f>
        <v/>
      </c>
      <c r="X236" s="66">
        <f>IF('Smart Search'!C13=1,IFERROR(1/'Smart Search'!H13,0),0)</f>
        <v/>
      </c>
      <c r="Y236" s="66">
        <f>IF('Smart Search'!C13=1,IFERROR(1/'Smart Search'!H13,0),0)</f>
        <v/>
      </c>
      <c r="Z236" s="66">
        <f>IF('Smart Search'!D13=1,IFERROR(1/'Smart Search'!H13,0),0)</f>
        <v/>
      </c>
      <c r="AA236" s="66">
        <f>IF('Smart Search'!D13=1,IFERROR(1/'Smart Search'!H13,0),0)</f>
        <v/>
      </c>
      <c r="AB236" s="66">
        <f>IF('Smart Search'!E13=1,IFERROR(1/'Smart Search'!H13,0),0)</f>
        <v/>
      </c>
      <c r="AC236" s="66">
        <f>IF('Smart Search'!E13=1,IFERROR(1/'Smart Search'!H13,0),0)</f>
        <v/>
      </c>
      <c r="AD236" s="66">
        <f>IF('Smart Search'!F13=1,IFERROR(1/'Smart Search'!H13,0),0)</f>
        <v/>
      </c>
      <c r="AE236" s="66">
        <f>IF('Smart Search'!F13=1,IFERROR(1/'Smart Search'!H13,0),0)</f>
        <v/>
      </c>
      <c r="AF236" s="66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66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66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66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66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66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66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66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66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66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66">
        <f>AF236*V236</f>
        <v/>
      </c>
      <c r="AQ236" s="66">
        <f>AG236*W236</f>
        <v/>
      </c>
      <c r="AR236" s="66">
        <f>AH236*X236</f>
        <v/>
      </c>
      <c r="AS236" s="66">
        <f>AI236*Y236</f>
        <v/>
      </c>
      <c r="AT236" s="66">
        <f>AJ236*Z236</f>
        <v/>
      </c>
      <c r="AU236" s="66">
        <f>AK236*AA236</f>
        <v/>
      </c>
      <c r="AV236" s="66">
        <f>AL236*AB236</f>
        <v/>
      </c>
      <c r="AW236" s="66">
        <f>AM236*AC236</f>
        <v/>
      </c>
      <c r="AX236" s="66">
        <f>AN236*AD236</f>
        <v/>
      </c>
      <c r="AY236" s="66">
        <f>AO236*AE236</f>
        <v/>
      </c>
      <c r="AZ236" s="66">
        <f>INDEX(Projects[Automation Equipment],235)&amp;""</f>
        <v/>
      </c>
      <c r="BA236" s="66">
        <f>IF(OR(A236="",'Smart Search'!H13=0),"",MAX(0,BE236*BF236*MAX(0,1-BG236)))</f>
        <v/>
      </c>
      <c r="BB236" s="66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66">
        <f>IF('Smart Search'!G13=1,IFERROR(1/'Smart Search'!H13,0),0)</f>
        <v/>
      </c>
      <c r="BD236" s="66">
        <f>BB236*BC236</f>
        <v/>
      </c>
      <c r="BE236" s="66">
        <f>AP236+AQ236+AR236+AS236+AT236+AU236+AV236+AW236+AX236+AY236+BD236</f>
        <v/>
      </c>
      <c r="BF236" s="5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5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5">
        <f>IF(AND(A236&lt;&gt;"",OR('Smart Search'!$L$5="",'Smart Search'!$L$5="All",TRIM(BZ236)=TRIM('Smart Search'!$L$5)),OR(TRIM('Smart Search'!$L$6)="",TRIM('Smart Search'!$L$6)="All",ISNUMBER(SEARCH(SUBSTITUTE(SUBSTITUTE(SUBSTITUTE(TRIM('Smart Search'!$L$6),"~","~~"),"*","~*"),"?","~?"),CA236))),OR('Smart Search'!$L$7="",AND(CB236&lt;&gt;0,CB236='Smart Search'!$L$7)),OR('Smart Search'!$L$8="",'Smart Search'!$L$8="All",TRIM(CC236)=TRIM('Smart Search'!$L$8))),IF(BA236="","",BA236+ROW()*0.0000000001),"")</f>
        <v/>
      </c>
      <c r="BI236" s="5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5">
        <f>IF(A236="","",N(INDEX(Projects[Mech Inst],235)))</f>
        <v/>
      </c>
      <c r="BK236" s="5">
        <f>IF(A236="","",N(INDEX(Projects[Elec Inst],235)))</f>
        <v/>
      </c>
      <c r="BL236" s="5">
        <f>IF(A236="","",N(INDEX(Projects[Project Management],235)))</f>
        <v/>
      </c>
      <c r="BM236" s="5">
        <f>IF(A236="","",N(INDEX(Projects[Systems Eng],235)))</f>
        <v/>
      </c>
      <c r="BN236" s="5">
        <f>IF(A236="","",N(INDEX(Projects[Mechanical Eng],235)))</f>
        <v/>
      </c>
      <c r="BO236" s="5">
        <f>IF(A236="","",N(INDEX(Projects[Structural Engineering],235)))</f>
        <v/>
      </c>
      <c r="BP236" s="5">
        <f>IF(A236="","",N(INDEX(Projects[Site Sup],235)))</f>
        <v/>
      </c>
      <c r="BQ236" s="5">
        <f>IF(A236="","",N(INDEX(Projects[Controls Commissioning],235)))</f>
        <v/>
      </c>
      <c r="BR236" s="5">
        <f>IF(A236="","",N(INDEX(Projects[Systems Commissioning],235)))</f>
        <v/>
      </c>
      <c r="BS236" s="5">
        <f>IF(A236="","",N(INDEX(Projects[Service Commissioning],235)))</f>
        <v/>
      </c>
      <c r="BT236" s="5">
        <f>IF(A236="","",N(INDEX(Projects[Controls Eng],235)))</f>
        <v/>
      </c>
      <c r="BU236" s="5">
        <f>IF(A236="","",N(INDEX(Projects[Controls Purchase],235)))</f>
        <v/>
      </c>
      <c r="BV236" s="5">
        <f>IF(A236="","",N(INDEX(Projects[Software Eng],235)))</f>
        <v/>
      </c>
      <c r="BW236" s="5">
        <f>IF(A236="","",N(INDEX(Projects[Misc],235)))</f>
        <v/>
      </c>
      <c r="BX236" s="5">
        <f>IF(A236="","",SUM(BJ236:BW236))</f>
        <v/>
      </c>
      <c r="BY236" s="5">
        <f>IF(A236="","",IFERROR(IF(ISNUMBER(U236),U236,VALUE(SUBSTITUTE(SUBSTITUTE(SUBSTITUTE(UPPER(TRIM(U236)),"M",""),",","")," ",""))),0))</f>
        <v/>
      </c>
      <c r="BZ236" s="5">
        <f>INDEX(Projects[Solution Type],235)&amp;""</f>
        <v/>
      </c>
      <c r="CA236" s="5">
        <f>INDEX(Projects[Client / Region],235)&amp;""</f>
        <v/>
      </c>
      <c r="CB236" s="5">
        <f>INDEX(Projects[Year],235)</f>
        <v/>
      </c>
      <c r="CC236" s="5">
        <f>INDEX(Projects[Won?],235)&amp;""</f>
        <v/>
      </c>
      <c r="CD236" s="5">
        <f>INDEX(Projects[Value (USD M)],235)</f>
        <v/>
      </c>
    </row>
    <row r="237" ht="15" customHeight="1" s="74">
      <c r="A237" s="66">
        <f>INDEX(Projects[Project ID *],236)&amp;""</f>
        <v/>
      </c>
      <c r="B237" s="66">
        <f>INDEX(Projects[Project Name *],236)&amp;""</f>
        <v/>
      </c>
      <c r="C237" s="66">
        <f>INDEX(Projects[MS Shuttles],236)</f>
        <v/>
      </c>
      <c r="D237" s="66">
        <f>INDEX(Projects[MS Tote Locations],236)</f>
        <v/>
      </c>
      <c r="E237" s="66">
        <f>INDEX(Projects[AS Robots],236)</f>
        <v/>
      </c>
      <c r="F237" s="66">
        <f>INDEX(Projects[AS Tote Locations],236)</f>
        <v/>
      </c>
      <c r="G237" s="66">
        <f>INDEX(Projects[PS Shuttles],236)</f>
        <v/>
      </c>
      <c r="H237" s="66">
        <f>INDEX(Projects[PS Pallet Locations],236)</f>
        <v/>
      </c>
      <c r="I237" s="66">
        <f>INDEX(Projects[SRM Cranes],236)</f>
        <v/>
      </c>
      <c r="J237" s="66">
        <f>INDEX(Projects[SRM Pallet Locations],236)</f>
        <v/>
      </c>
      <c r="K237" s="66">
        <f>INDEX(Projects[Case Conv (m)],236)</f>
        <v/>
      </c>
      <c r="L237" s="66">
        <f>INDEX(Projects[Pallet Conv (m)],236)</f>
        <v/>
      </c>
      <c r="M237" s="66">
        <f>INDEX(Projects[Mech Eng (wks)],236)</f>
        <v/>
      </c>
      <c r="N237" s="66">
        <f>INDEX(Projects[Controls Eng (wks)],236)</f>
        <v/>
      </c>
      <c r="O237" s="66">
        <f>INDEX(Projects[Systems Eng (wks)],236)</f>
        <v/>
      </c>
      <c r="P237" s="66">
        <f>INDEX(Projects[Software Eng (wks)],236)</f>
        <v/>
      </c>
      <c r="Q237" s="66">
        <f>INDEX(Projects[M&amp;E Installation (wks)],236)</f>
        <v/>
      </c>
      <c r="R237" s="66">
        <f>INDEX(Projects[Commissioning (wks)],236)</f>
        <v/>
      </c>
      <c r="S237" s="66">
        <f>INDEX(Projects[Total Timeline (wks)],236)</f>
        <v/>
      </c>
      <c r="T237" s="66">
        <f>INDEX(Projects[Currency],236)&amp;""</f>
        <v/>
      </c>
      <c r="U237" s="67">
        <f>INDEX(Projects[Value (M)],236)</f>
        <v/>
      </c>
      <c r="V237" s="66">
        <f>IF('Smart Search'!B13=1,IFERROR(1/'Smart Search'!H13,0),0)</f>
        <v/>
      </c>
      <c r="W237" s="66">
        <f>IF('Smart Search'!B13=1,IFERROR(1/'Smart Search'!H13,0),0)</f>
        <v/>
      </c>
      <c r="X237" s="66">
        <f>IF('Smart Search'!C13=1,IFERROR(1/'Smart Search'!H13,0),0)</f>
        <v/>
      </c>
      <c r="Y237" s="66">
        <f>IF('Smart Search'!C13=1,IFERROR(1/'Smart Search'!H13,0),0)</f>
        <v/>
      </c>
      <c r="Z237" s="66">
        <f>IF('Smart Search'!D13=1,IFERROR(1/'Smart Search'!H13,0),0)</f>
        <v/>
      </c>
      <c r="AA237" s="66">
        <f>IF('Smart Search'!D13=1,IFERROR(1/'Smart Search'!H13,0),0)</f>
        <v/>
      </c>
      <c r="AB237" s="66">
        <f>IF('Smart Search'!E13=1,IFERROR(1/'Smart Search'!H13,0),0)</f>
        <v/>
      </c>
      <c r="AC237" s="66">
        <f>IF('Smart Search'!E13=1,IFERROR(1/'Smart Search'!H13,0),0)</f>
        <v/>
      </c>
      <c r="AD237" s="66">
        <f>IF('Smart Search'!F13=1,IFERROR(1/'Smart Search'!H13,0),0)</f>
        <v/>
      </c>
      <c r="AE237" s="66">
        <f>IF('Smart Search'!F13=1,IFERROR(1/'Smart Search'!H13,0),0)</f>
        <v/>
      </c>
      <c r="AF237" s="66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66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66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66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66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66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66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66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66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66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66">
        <f>AF237*V237</f>
        <v/>
      </c>
      <c r="AQ237" s="66">
        <f>AG237*W237</f>
        <v/>
      </c>
      <c r="AR237" s="66">
        <f>AH237*X237</f>
        <v/>
      </c>
      <c r="AS237" s="66">
        <f>AI237*Y237</f>
        <v/>
      </c>
      <c r="AT237" s="66">
        <f>AJ237*Z237</f>
        <v/>
      </c>
      <c r="AU237" s="66">
        <f>AK237*AA237</f>
        <v/>
      </c>
      <c r="AV237" s="66">
        <f>AL237*AB237</f>
        <v/>
      </c>
      <c r="AW237" s="66">
        <f>AM237*AC237</f>
        <v/>
      </c>
      <c r="AX237" s="66">
        <f>AN237*AD237</f>
        <v/>
      </c>
      <c r="AY237" s="66">
        <f>AO237*AE237</f>
        <v/>
      </c>
      <c r="AZ237" s="66">
        <f>INDEX(Projects[Automation Equipment],236)&amp;""</f>
        <v/>
      </c>
      <c r="BA237" s="66">
        <f>IF(OR(A237="",'Smart Search'!H13=0),"",MAX(0,BE237*BF237*MAX(0,1-BG237)))</f>
        <v/>
      </c>
      <c r="BB237" s="66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66">
        <f>IF('Smart Search'!G13=1,IFERROR(1/'Smart Search'!H13,0),0)</f>
        <v/>
      </c>
      <c r="BD237" s="66">
        <f>BB237*BC237</f>
        <v/>
      </c>
      <c r="BE237" s="66">
        <f>AP237+AQ237+AR237+AS237+AT237+AU237+AV237+AW237+AX237+AY237+BD237</f>
        <v/>
      </c>
      <c r="BF237" s="5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5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5">
        <f>IF(AND(A237&lt;&gt;"",OR('Smart Search'!$L$5="",'Smart Search'!$L$5="All",TRIM(BZ237)=TRIM('Smart Search'!$L$5)),OR(TRIM('Smart Search'!$L$6)="",TRIM('Smart Search'!$L$6)="All",ISNUMBER(SEARCH(SUBSTITUTE(SUBSTITUTE(SUBSTITUTE(TRIM('Smart Search'!$L$6),"~","~~"),"*","~*"),"?","~?"),CA237))),OR('Smart Search'!$L$7="",AND(CB237&lt;&gt;0,CB237='Smart Search'!$L$7)),OR('Smart Search'!$L$8="",'Smart Search'!$L$8="All",TRIM(CC237)=TRIM('Smart Search'!$L$8))),IF(BA237="","",BA237+ROW()*0.0000000001),"")</f>
        <v/>
      </c>
      <c r="BI237" s="5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5">
        <f>IF(A237="","",N(INDEX(Projects[Mech Inst],236)))</f>
        <v/>
      </c>
      <c r="BK237" s="5">
        <f>IF(A237="","",N(INDEX(Projects[Elec Inst],236)))</f>
        <v/>
      </c>
      <c r="BL237" s="5">
        <f>IF(A237="","",N(INDEX(Projects[Project Management],236)))</f>
        <v/>
      </c>
      <c r="BM237" s="5">
        <f>IF(A237="","",N(INDEX(Projects[Systems Eng],236)))</f>
        <v/>
      </c>
      <c r="BN237" s="5">
        <f>IF(A237="","",N(INDEX(Projects[Mechanical Eng],236)))</f>
        <v/>
      </c>
      <c r="BO237" s="5">
        <f>IF(A237="","",N(INDEX(Projects[Structural Engineering],236)))</f>
        <v/>
      </c>
      <c r="BP237" s="5">
        <f>IF(A237="","",N(INDEX(Projects[Site Sup],236)))</f>
        <v/>
      </c>
      <c r="BQ237" s="5">
        <f>IF(A237="","",N(INDEX(Projects[Controls Commissioning],236)))</f>
        <v/>
      </c>
      <c r="BR237" s="5">
        <f>IF(A237="","",N(INDEX(Projects[Systems Commissioning],236)))</f>
        <v/>
      </c>
      <c r="BS237" s="5">
        <f>IF(A237="","",N(INDEX(Projects[Service Commissioning],236)))</f>
        <v/>
      </c>
      <c r="BT237" s="5">
        <f>IF(A237="","",N(INDEX(Projects[Controls Eng],236)))</f>
        <v/>
      </c>
      <c r="BU237" s="5">
        <f>IF(A237="","",N(INDEX(Projects[Controls Purchase],236)))</f>
        <v/>
      </c>
      <c r="BV237" s="5">
        <f>IF(A237="","",N(INDEX(Projects[Software Eng],236)))</f>
        <v/>
      </c>
      <c r="BW237" s="5">
        <f>IF(A237="","",N(INDEX(Projects[Misc],236)))</f>
        <v/>
      </c>
      <c r="BX237" s="5">
        <f>IF(A237="","",SUM(BJ237:BW237))</f>
        <v/>
      </c>
      <c r="BY237" s="5">
        <f>IF(A237="","",IFERROR(IF(ISNUMBER(U237),U237,VALUE(SUBSTITUTE(SUBSTITUTE(SUBSTITUTE(UPPER(TRIM(U237)),"M",""),",","")," ",""))),0))</f>
        <v/>
      </c>
      <c r="BZ237" s="5">
        <f>INDEX(Projects[Solution Type],236)&amp;""</f>
        <v/>
      </c>
      <c r="CA237" s="5">
        <f>INDEX(Projects[Client / Region],236)&amp;""</f>
        <v/>
      </c>
      <c r="CB237" s="5">
        <f>INDEX(Projects[Year],236)</f>
        <v/>
      </c>
      <c r="CC237" s="5">
        <f>INDEX(Projects[Won?],236)&amp;""</f>
        <v/>
      </c>
      <c r="CD237" s="5">
        <f>INDEX(Projects[Value (USD M)],236)</f>
        <v/>
      </c>
    </row>
    <row r="238" ht="15" customHeight="1" s="74">
      <c r="A238" s="66">
        <f>INDEX(Projects[Project ID *],237)&amp;""</f>
        <v/>
      </c>
      <c r="B238" s="66">
        <f>INDEX(Projects[Project Name *],237)&amp;""</f>
        <v/>
      </c>
      <c r="C238" s="66">
        <f>INDEX(Projects[MS Shuttles],237)</f>
        <v/>
      </c>
      <c r="D238" s="66">
        <f>INDEX(Projects[MS Tote Locations],237)</f>
        <v/>
      </c>
      <c r="E238" s="66">
        <f>INDEX(Projects[AS Robots],237)</f>
        <v/>
      </c>
      <c r="F238" s="66">
        <f>INDEX(Projects[AS Tote Locations],237)</f>
        <v/>
      </c>
      <c r="G238" s="66">
        <f>INDEX(Projects[PS Shuttles],237)</f>
        <v/>
      </c>
      <c r="H238" s="66">
        <f>INDEX(Projects[PS Pallet Locations],237)</f>
        <v/>
      </c>
      <c r="I238" s="66">
        <f>INDEX(Projects[SRM Cranes],237)</f>
        <v/>
      </c>
      <c r="J238" s="66">
        <f>INDEX(Projects[SRM Pallet Locations],237)</f>
        <v/>
      </c>
      <c r="K238" s="66">
        <f>INDEX(Projects[Case Conv (m)],237)</f>
        <v/>
      </c>
      <c r="L238" s="66">
        <f>INDEX(Projects[Pallet Conv (m)],237)</f>
        <v/>
      </c>
      <c r="M238" s="66">
        <f>INDEX(Projects[Mech Eng (wks)],237)</f>
        <v/>
      </c>
      <c r="N238" s="66">
        <f>INDEX(Projects[Controls Eng (wks)],237)</f>
        <v/>
      </c>
      <c r="O238" s="66">
        <f>INDEX(Projects[Systems Eng (wks)],237)</f>
        <v/>
      </c>
      <c r="P238" s="66">
        <f>INDEX(Projects[Software Eng (wks)],237)</f>
        <v/>
      </c>
      <c r="Q238" s="66">
        <f>INDEX(Projects[M&amp;E Installation (wks)],237)</f>
        <v/>
      </c>
      <c r="R238" s="66">
        <f>INDEX(Projects[Commissioning (wks)],237)</f>
        <v/>
      </c>
      <c r="S238" s="66">
        <f>INDEX(Projects[Total Timeline (wks)],237)</f>
        <v/>
      </c>
      <c r="T238" s="66">
        <f>INDEX(Projects[Currency],237)&amp;""</f>
        <v/>
      </c>
      <c r="U238" s="67">
        <f>INDEX(Projects[Value (M)],237)</f>
        <v/>
      </c>
      <c r="V238" s="66">
        <f>IF('Smart Search'!B13=1,IFERROR(1/'Smart Search'!H13,0),0)</f>
        <v/>
      </c>
      <c r="W238" s="66">
        <f>IF('Smart Search'!B13=1,IFERROR(1/'Smart Search'!H13,0),0)</f>
        <v/>
      </c>
      <c r="X238" s="66">
        <f>IF('Smart Search'!C13=1,IFERROR(1/'Smart Search'!H13,0),0)</f>
        <v/>
      </c>
      <c r="Y238" s="66">
        <f>IF('Smart Search'!C13=1,IFERROR(1/'Smart Search'!H13,0),0)</f>
        <v/>
      </c>
      <c r="Z238" s="66">
        <f>IF('Smart Search'!D13=1,IFERROR(1/'Smart Search'!H13,0),0)</f>
        <v/>
      </c>
      <c r="AA238" s="66">
        <f>IF('Smart Search'!D13=1,IFERROR(1/'Smart Search'!H13,0),0)</f>
        <v/>
      </c>
      <c r="AB238" s="66">
        <f>IF('Smart Search'!E13=1,IFERROR(1/'Smart Search'!H13,0),0)</f>
        <v/>
      </c>
      <c r="AC238" s="66">
        <f>IF('Smart Search'!E13=1,IFERROR(1/'Smart Search'!H13,0),0)</f>
        <v/>
      </c>
      <c r="AD238" s="66">
        <f>IF('Smart Search'!F13=1,IFERROR(1/'Smart Search'!H13,0),0)</f>
        <v/>
      </c>
      <c r="AE238" s="66">
        <f>IF('Smart Search'!F13=1,IFERROR(1/'Smart Search'!H13,0),0)</f>
        <v/>
      </c>
      <c r="AF238" s="66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66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66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66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66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66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66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66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66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66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66">
        <f>AF238*V238</f>
        <v/>
      </c>
      <c r="AQ238" s="66">
        <f>AG238*W238</f>
        <v/>
      </c>
      <c r="AR238" s="66">
        <f>AH238*X238</f>
        <v/>
      </c>
      <c r="AS238" s="66">
        <f>AI238*Y238</f>
        <v/>
      </c>
      <c r="AT238" s="66">
        <f>AJ238*Z238</f>
        <v/>
      </c>
      <c r="AU238" s="66">
        <f>AK238*AA238</f>
        <v/>
      </c>
      <c r="AV238" s="66">
        <f>AL238*AB238</f>
        <v/>
      </c>
      <c r="AW238" s="66">
        <f>AM238*AC238</f>
        <v/>
      </c>
      <c r="AX238" s="66">
        <f>AN238*AD238</f>
        <v/>
      </c>
      <c r="AY238" s="66">
        <f>AO238*AE238</f>
        <v/>
      </c>
      <c r="AZ238" s="66">
        <f>INDEX(Projects[Automation Equipment],237)&amp;""</f>
        <v/>
      </c>
      <c r="BA238" s="66">
        <f>IF(OR(A238="",'Smart Search'!H13=0),"",MAX(0,BE238*BF238*MAX(0,1-BG238)))</f>
        <v/>
      </c>
      <c r="BB238" s="66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66">
        <f>IF('Smart Search'!G13=1,IFERROR(1/'Smart Search'!H13,0),0)</f>
        <v/>
      </c>
      <c r="BD238" s="66">
        <f>BB238*BC238</f>
        <v/>
      </c>
      <c r="BE238" s="66">
        <f>AP238+AQ238+AR238+AS238+AT238+AU238+AV238+AW238+AX238+AY238+BD238</f>
        <v/>
      </c>
      <c r="BF238" s="5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5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5">
        <f>IF(AND(A238&lt;&gt;"",OR('Smart Search'!$L$5="",'Smart Search'!$L$5="All",TRIM(BZ238)=TRIM('Smart Search'!$L$5)),OR(TRIM('Smart Search'!$L$6)="",TRIM('Smart Search'!$L$6)="All",ISNUMBER(SEARCH(SUBSTITUTE(SUBSTITUTE(SUBSTITUTE(TRIM('Smart Search'!$L$6),"~","~~"),"*","~*"),"?","~?"),CA238))),OR('Smart Search'!$L$7="",AND(CB238&lt;&gt;0,CB238='Smart Search'!$L$7)),OR('Smart Search'!$L$8="",'Smart Search'!$L$8="All",TRIM(CC238)=TRIM('Smart Search'!$L$8))),IF(BA238="","",BA238+ROW()*0.0000000001),"")</f>
        <v/>
      </c>
      <c r="BI238" s="5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5">
        <f>IF(A238="","",N(INDEX(Projects[Mech Inst],237)))</f>
        <v/>
      </c>
      <c r="BK238" s="5">
        <f>IF(A238="","",N(INDEX(Projects[Elec Inst],237)))</f>
        <v/>
      </c>
      <c r="BL238" s="5">
        <f>IF(A238="","",N(INDEX(Projects[Project Management],237)))</f>
        <v/>
      </c>
      <c r="BM238" s="5">
        <f>IF(A238="","",N(INDEX(Projects[Systems Eng],237)))</f>
        <v/>
      </c>
      <c r="BN238" s="5">
        <f>IF(A238="","",N(INDEX(Projects[Mechanical Eng],237)))</f>
        <v/>
      </c>
      <c r="BO238" s="5">
        <f>IF(A238="","",N(INDEX(Projects[Structural Engineering],237)))</f>
        <v/>
      </c>
      <c r="BP238" s="5">
        <f>IF(A238="","",N(INDEX(Projects[Site Sup],237)))</f>
        <v/>
      </c>
      <c r="BQ238" s="5">
        <f>IF(A238="","",N(INDEX(Projects[Controls Commissioning],237)))</f>
        <v/>
      </c>
      <c r="BR238" s="5">
        <f>IF(A238="","",N(INDEX(Projects[Systems Commissioning],237)))</f>
        <v/>
      </c>
      <c r="BS238" s="5">
        <f>IF(A238="","",N(INDEX(Projects[Service Commissioning],237)))</f>
        <v/>
      </c>
      <c r="BT238" s="5">
        <f>IF(A238="","",N(INDEX(Projects[Controls Eng],237)))</f>
        <v/>
      </c>
      <c r="BU238" s="5">
        <f>IF(A238="","",N(INDEX(Projects[Controls Purchase],237)))</f>
        <v/>
      </c>
      <c r="BV238" s="5">
        <f>IF(A238="","",N(INDEX(Projects[Software Eng],237)))</f>
        <v/>
      </c>
      <c r="BW238" s="5">
        <f>IF(A238="","",N(INDEX(Projects[Misc],237)))</f>
        <v/>
      </c>
      <c r="BX238" s="5">
        <f>IF(A238="","",SUM(BJ238:BW238))</f>
        <v/>
      </c>
      <c r="BY238" s="5">
        <f>IF(A238="","",IFERROR(IF(ISNUMBER(U238),U238,VALUE(SUBSTITUTE(SUBSTITUTE(SUBSTITUTE(UPPER(TRIM(U238)),"M",""),",","")," ",""))),0))</f>
        <v/>
      </c>
      <c r="BZ238" s="5">
        <f>INDEX(Projects[Solution Type],237)&amp;""</f>
        <v/>
      </c>
      <c r="CA238" s="5">
        <f>INDEX(Projects[Client / Region],237)&amp;""</f>
        <v/>
      </c>
      <c r="CB238" s="5">
        <f>INDEX(Projects[Year],237)</f>
        <v/>
      </c>
      <c r="CC238" s="5">
        <f>INDEX(Projects[Won?],237)&amp;""</f>
        <v/>
      </c>
      <c r="CD238" s="5">
        <f>INDEX(Projects[Value (USD M)],237)</f>
        <v/>
      </c>
    </row>
    <row r="239" ht="15" customHeight="1" s="74">
      <c r="A239" s="66">
        <f>INDEX(Projects[Project ID *],238)&amp;""</f>
        <v/>
      </c>
      <c r="B239" s="66">
        <f>INDEX(Projects[Project Name *],238)&amp;""</f>
        <v/>
      </c>
      <c r="C239" s="66">
        <f>INDEX(Projects[MS Shuttles],238)</f>
        <v/>
      </c>
      <c r="D239" s="66">
        <f>INDEX(Projects[MS Tote Locations],238)</f>
        <v/>
      </c>
      <c r="E239" s="66">
        <f>INDEX(Projects[AS Robots],238)</f>
        <v/>
      </c>
      <c r="F239" s="66">
        <f>INDEX(Projects[AS Tote Locations],238)</f>
        <v/>
      </c>
      <c r="G239" s="66">
        <f>INDEX(Projects[PS Shuttles],238)</f>
        <v/>
      </c>
      <c r="H239" s="66">
        <f>INDEX(Projects[PS Pallet Locations],238)</f>
        <v/>
      </c>
      <c r="I239" s="66">
        <f>INDEX(Projects[SRM Cranes],238)</f>
        <v/>
      </c>
      <c r="J239" s="66">
        <f>INDEX(Projects[SRM Pallet Locations],238)</f>
        <v/>
      </c>
      <c r="K239" s="66">
        <f>INDEX(Projects[Case Conv (m)],238)</f>
        <v/>
      </c>
      <c r="L239" s="66">
        <f>INDEX(Projects[Pallet Conv (m)],238)</f>
        <v/>
      </c>
      <c r="M239" s="66">
        <f>INDEX(Projects[Mech Eng (wks)],238)</f>
        <v/>
      </c>
      <c r="N239" s="66">
        <f>INDEX(Projects[Controls Eng (wks)],238)</f>
        <v/>
      </c>
      <c r="O239" s="66">
        <f>INDEX(Projects[Systems Eng (wks)],238)</f>
        <v/>
      </c>
      <c r="P239" s="66">
        <f>INDEX(Projects[Software Eng (wks)],238)</f>
        <v/>
      </c>
      <c r="Q239" s="66">
        <f>INDEX(Projects[M&amp;E Installation (wks)],238)</f>
        <v/>
      </c>
      <c r="R239" s="66">
        <f>INDEX(Projects[Commissioning (wks)],238)</f>
        <v/>
      </c>
      <c r="S239" s="66">
        <f>INDEX(Projects[Total Timeline (wks)],238)</f>
        <v/>
      </c>
      <c r="T239" s="66">
        <f>INDEX(Projects[Currency],238)&amp;""</f>
        <v/>
      </c>
      <c r="U239" s="67">
        <f>INDEX(Projects[Value (M)],238)</f>
        <v/>
      </c>
      <c r="V239" s="66">
        <f>IF('Smart Search'!B13=1,IFERROR(1/'Smart Search'!H13,0),0)</f>
        <v/>
      </c>
      <c r="W239" s="66">
        <f>IF('Smart Search'!B13=1,IFERROR(1/'Smart Search'!H13,0),0)</f>
        <v/>
      </c>
      <c r="X239" s="66">
        <f>IF('Smart Search'!C13=1,IFERROR(1/'Smart Search'!H13,0),0)</f>
        <v/>
      </c>
      <c r="Y239" s="66">
        <f>IF('Smart Search'!C13=1,IFERROR(1/'Smart Search'!H13,0),0)</f>
        <v/>
      </c>
      <c r="Z239" s="66">
        <f>IF('Smart Search'!D13=1,IFERROR(1/'Smart Search'!H13,0),0)</f>
        <v/>
      </c>
      <c r="AA239" s="66">
        <f>IF('Smart Search'!D13=1,IFERROR(1/'Smart Search'!H13,0),0)</f>
        <v/>
      </c>
      <c r="AB239" s="66">
        <f>IF('Smart Search'!E13=1,IFERROR(1/'Smart Search'!H13,0),0)</f>
        <v/>
      </c>
      <c r="AC239" s="66">
        <f>IF('Smart Search'!E13=1,IFERROR(1/'Smart Search'!H13,0),0)</f>
        <v/>
      </c>
      <c r="AD239" s="66">
        <f>IF('Smart Search'!F13=1,IFERROR(1/'Smart Search'!H13,0),0)</f>
        <v/>
      </c>
      <c r="AE239" s="66">
        <f>IF('Smart Search'!F13=1,IFERROR(1/'Smart Search'!H13,0),0)</f>
        <v/>
      </c>
      <c r="AF239" s="66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66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66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66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66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66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66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66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66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66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66">
        <f>AF239*V239</f>
        <v/>
      </c>
      <c r="AQ239" s="66">
        <f>AG239*W239</f>
        <v/>
      </c>
      <c r="AR239" s="66">
        <f>AH239*X239</f>
        <v/>
      </c>
      <c r="AS239" s="66">
        <f>AI239*Y239</f>
        <v/>
      </c>
      <c r="AT239" s="66">
        <f>AJ239*Z239</f>
        <v/>
      </c>
      <c r="AU239" s="66">
        <f>AK239*AA239</f>
        <v/>
      </c>
      <c r="AV239" s="66">
        <f>AL239*AB239</f>
        <v/>
      </c>
      <c r="AW239" s="66">
        <f>AM239*AC239</f>
        <v/>
      </c>
      <c r="AX239" s="66">
        <f>AN239*AD239</f>
        <v/>
      </c>
      <c r="AY239" s="66">
        <f>AO239*AE239</f>
        <v/>
      </c>
      <c r="AZ239" s="66">
        <f>INDEX(Projects[Automation Equipment],238)&amp;""</f>
        <v/>
      </c>
      <c r="BA239" s="66">
        <f>IF(OR(A239="",'Smart Search'!H13=0),"",MAX(0,BE239*BF239*MAX(0,1-BG239)))</f>
        <v/>
      </c>
      <c r="BB239" s="66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66">
        <f>IF('Smart Search'!G13=1,IFERROR(1/'Smart Search'!H13,0),0)</f>
        <v/>
      </c>
      <c r="BD239" s="66">
        <f>BB239*BC239</f>
        <v/>
      </c>
      <c r="BE239" s="66">
        <f>AP239+AQ239+AR239+AS239+AT239+AU239+AV239+AW239+AX239+AY239+BD239</f>
        <v/>
      </c>
      <c r="BF239" s="5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5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5">
        <f>IF(AND(A239&lt;&gt;"",OR('Smart Search'!$L$5="",'Smart Search'!$L$5="All",TRIM(BZ239)=TRIM('Smart Search'!$L$5)),OR(TRIM('Smart Search'!$L$6)="",TRIM('Smart Search'!$L$6)="All",ISNUMBER(SEARCH(SUBSTITUTE(SUBSTITUTE(SUBSTITUTE(TRIM('Smart Search'!$L$6),"~","~~"),"*","~*"),"?","~?"),CA239))),OR('Smart Search'!$L$7="",AND(CB239&lt;&gt;0,CB239='Smart Search'!$L$7)),OR('Smart Search'!$L$8="",'Smart Search'!$L$8="All",TRIM(CC239)=TRIM('Smart Search'!$L$8))),IF(BA239="","",BA239+ROW()*0.0000000001),"")</f>
        <v/>
      </c>
      <c r="BI239" s="5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5">
        <f>IF(A239="","",N(INDEX(Projects[Mech Inst],238)))</f>
        <v/>
      </c>
      <c r="BK239" s="5">
        <f>IF(A239="","",N(INDEX(Projects[Elec Inst],238)))</f>
        <v/>
      </c>
      <c r="BL239" s="5">
        <f>IF(A239="","",N(INDEX(Projects[Project Management],238)))</f>
        <v/>
      </c>
      <c r="BM239" s="5">
        <f>IF(A239="","",N(INDEX(Projects[Systems Eng],238)))</f>
        <v/>
      </c>
      <c r="BN239" s="5">
        <f>IF(A239="","",N(INDEX(Projects[Mechanical Eng],238)))</f>
        <v/>
      </c>
      <c r="BO239" s="5">
        <f>IF(A239="","",N(INDEX(Projects[Structural Engineering],238)))</f>
        <v/>
      </c>
      <c r="BP239" s="5">
        <f>IF(A239="","",N(INDEX(Projects[Site Sup],238)))</f>
        <v/>
      </c>
      <c r="BQ239" s="5">
        <f>IF(A239="","",N(INDEX(Projects[Controls Commissioning],238)))</f>
        <v/>
      </c>
      <c r="BR239" s="5">
        <f>IF(A239="","",N(INDEX(Projects[Systems Commissioning],238)))</f>
        <v/>
      </c>
      <c r="BS239" s="5">
        <f>IF(A239="","",N(INDEX(Projects[Service Commissioning],238)))</f>
        <v/>
      </c>
      <c r="BT239" s="5">
        <f>IF(A239="","",N(INDEX(Projects[Controls Eng],238)))</f>
        <v/>
      </c>
      <c r="BU239" s="5">
        <f>IF(A239="","",N(INDEX(Projects[Controls Purchase],238)))</f>
        <v/>
      </c>
      <c r="BV239" s="5">
        <f>IF(A239="","",N(INDEX(Projects[Software Eng],238)))</f>
        <v/>
      </c>
      <c r="BW239" s="5">
        <f>IF(A239="","",N(INDEX(Projects[Misc],238)))</f>
        <v/>
      </c>
      <c r="BX239" s="5">
        <f>IF(A239="","",SUM(BJ239:BW239))</f>
        <v/>
      </c>
      <c r="BY239" s="5">
        <f>IF(A239="","",IFERROR(IF(ISNUMBER(U239),U239,VALUE(SUBSTITUTE(SUBSTITUTE(SUBSTITUTE(UPPER(TRIM(U239)),"M",""),",","")," ",""))),0))</f>
        <v/>
      </c>
      <c r="BZ239" s="5">
        <f>INDEX(Projects[Solution Type],238)&amp;""</f>
        <v/>
      </c>
      <c r="CA239" s="5">
        <f>INDEX(Projects[Client / Region],238)&amp;""</f>
        <v/>
      </c>
      <c r="CB239" s="5">
        <f>INDEX(Projects[Year],238)</f>
        <v/>
      </c>
      <c r="CC239" s="5">
        <f>INDEX(Projects[Won?],238)&amp;""</f>
        <v/>
      </c>
      <c r="CD239" s="5">
        <f>INDEX(Projects[Value (USD M)],238)</f>
        <v/>
      </c>
    </row>
    <row r="240" ht="15" customHeight="1" s="74">
      <c r="A240" s="66">
        <f>INDEX(Projects[Project ID *],239)&amp;""</f>
        <v/>
      </c>
      <c r="B240" s="66">
        <f>INDEX(Projects[Project Name *],239)&amp;""</f>
        <v/>
      </c>
      <c r="C240" s="66">
        <f>INDEX(Projects[MS Shuttles],239)</f>
        <v/>
      </c>
      <c r="D240" s="66">
        <f>INDEX(Projects[MS Tote Locations],239)</f>
        <v/>
      </c>
      <c r="E240" s="66">
        <f>INDEX(Projects[AS Robots],239)</f>
        <v/>
      </c>
      <c r="F240" s="66">
        <f>INDEX(Projects[AS Tote Locations],239)</f>
        <v/>
      </c>
      <c r="G240" s="66">
        <f>INDEX(Projects[PS Shuttles],239)</f>
        <v/>
      </c>
      <c r="H240" s="66">
        <f>INDEX(Projects[PS Pallet Locations],239)</f>
        <v/>
      </c>
      <c r="I240" s="66">
        <f>INDEX(Projects[SRM Cranes],239)</f>
        <v/>
      </c>
      <c r="J240" s="66">
        <f>INDEX(Projects[SRM Pallet Locations],239)</f>
        <v/>
      </c>
      <c r="K240" s="66">
        <f>INDEX(Projects[Case Conv (m)],239)</f>
        <v/>
      </c>
      <c r="L240" s="66">
        <f>INDEX(Projects[Pallet Conv (m)],239)</f>
        <v/>
      </c>
      <c r="M240" s="66">
        <f>INDEX(Projects[Mech Eng (wks)],239)</f>
        <v/>
      </c>
      <c r="N240" s="66">
        <f>INDEX(Projects[Controls Eng (wks)],239)</f>
        <v/>
      </c>
      <c r="O240" s="66">
        <f>INDEX(Projects[Systems Eng (wks)],239)</f>
        <v/>
      </c>
      <c r="P240" s="66">
        <f>INDEX(Projects[Software Eng (wks)],239)</f>
        <v/>
      </c>
      <c r="Q240" s="66">
        <f>INDEX(Projects[M&amp;E Installation (wks)],239)</f>
        <v/>
      </c>
      <c r="R240" s="66">
        <f>INDEX(Projects[Commissioning (wks)],239)</f>
        <v/>
      </c>
      <c r="S240" s="66">
        <f>INDEX(Projects[Total Timeline (wks)],239)</f>
        <v/>
      </c>
      <c r="T240" s="66">
        <f>INDEX(Projects[Currency],239)&amp;""</f>
        <v/>
      </c>
      <c r="U240" s="67">
        <f>INDEX(Projects[Value (M)],239)</f>
        <v/>
      </c>
      <c r="V240" s="66">
        <f>IF('Smart Search'!B13=1,IFERROR(1/'Smart Search'!H13,0),0)</f>
        <v/>
      </c>
      <c r="W240" s="66">
        <f>IF('Smart Search'!B13=1,IFERROR(1/'Smart Search'!H13,0),0)</f>
        <v/>
      </c>
      <c r="X240" s="66">
        <f>IF('Smart Search'!C13=1,IFERROR(1/'Smart Search'!H13,0),0)</f>
        <v/>
      </c>
      <c r="Y240" s="66">
        <f>IF('Smart Search'!C13=1,IFERROR(1/'Smart Search'!H13,0),0)</f>
        <v/>
      </c>
      <c r="Z240" s="66">
        <f>IF('Smart Search'!D13=1,IFERROR(1/'Smart Search'!H13,0),0)</f>
        <v/>
      </c>
      <c r="AA240" s="66">
        <f>IF('Smart Search'!D13=1,IFERROR(1/'Smart Search'!H13,0),0)</f>
        <v/>
      </c>
      <c r="AB240" s="66">
        <f>IF('Smart Search'!E13=1,IFERROR(1/'Smart Search'!H13,0),0)</f>
        <v/>
      </c>
      <c r="AC240" s="66">
        <f>IF('Smart Search'!E13=1,IFERROR(1/'Smart Search'!H13,0),0)</f>
        <v/>
      </c>
      <c r="AD240" s="66">
        <f>IF('Smart Search'!F13=1,IFERROR(1/'Smart Search'!H13,0),0)</f>
        <v/>
      </c>
      <c r="AE240" s="66">
        <f>IF('Smart Search'!F13=1,IFERROR(1/'Smart Search'!H13,0),0)</f>
        <v/>
      </c>
      <c r="AF240" s="66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66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66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66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66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66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66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66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66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66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66">
        <f>AF240*V240</f>
        <v/>
      </c>
      <c r="AQ240" s="66">
        <f>AG240*W240</f>
        <v/>
      </c>
      <c r="AR240" s="66">
        <f>AH240*X240</f>
        <v/>
      </c>
      <c r="AS240" s="66">
        <f>AI240*Y240</f>
        <v/>
      </c>
      <c r="AT240" s="66">
        <f>AJ240*Z240</f>
        <v/>
      </c>
      <c r="AU240" s="66">
        <f>AK240*AA240</f>
        <v/>
      </c>
      <c r="AV240" s="66">
        <f>AL240*AB240</f>
        <v/>
      </c>
      <c r="AW240" s="66">
        <f>AM240*AC240</f>
        <v/>
      </c>
      <c r="AX240" s="66">
        <f>AN240*AD240</f>
        <v/>
      </c>
      <c r="AY240" s="66">
        <f>AO240*AE240</f>
        <v/>
      </c>
      <c r="AZ240" s="66">
        <f>INDEX(Projects[Automation Equipment],239)&amp;""</f>
        <v/>
      </c>
      <c r="BA240" s="66">
        <f>IF(OR(A240="",'Smart Search'!H13=0),"",MAX(0,BE240*BF240*MAX(0,1-BG240)))</f>
        <v/>
      </c>
      <c r="BB240" s="66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66">
        <f>IF('Smart Search'!G13=1,IFERROR(1/'Smart Search'!H13,0),0)</f>
        <v/>
      </c>
      <c r="BD240" s="66">
        <f>BB240*BC240</f>
        <v/>
      </c>
      <c r="BE240" s="66">
        <f>AP240+AQ240+AR240+AS240+AT240+AU240+AV240+AW240+AX240+AY240+BD240</f>
        <v/>
      </c>
      <c r="BF240" s="5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5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5">
        <f>IF(AND(A240&lt;&gt;"",OR('Smart Search'!$L$5="",'Smart Search'!$L$5="All",TRIM(BZ240)=TRIM('Smart Search'!$L$5)),OR(TRIM('Smart Search'!$L$6)="",TRIM('Smart Search'!$L$6)="All",ISNUMBER(SEARCH(SUBSTITUTE(SUBSTITUTE(SUBSTITUTE(TRIM('Smart Search'!$L$6),"~","~~"),"*","~*"),"?","~?"),CA240))),OR('Smart Search'!$L$7="",AND(CB240&lt;&gt;0,CB240='Smart Search'!$L$7)),OR('Smart Search'!$L$8="",'Smart Search'!$L$8="All",TRIM(CC240)=TRIM('Smart Search'!$L$8))),IF(BA240="","",BA240+ROW()*0.0000000001),"")</f>
        <v/>
      </c>
      <c r="BI240" s="5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5">
        <f>IF(A240="","",N(INDEX(Projects[Mech Inst],239)))</f>
        <v/>
      </c>
      <c r="BK240" s="5">
        <f>IF(A240="","",N(INDEX(Projects[Elec Inst],239)))</f>
        <v/>
      </c>
      <c r="BL240" s="5">
        <f>IF(A240="","",N(INDEX(Projects[Project Management],239)))</f>
        <v/>
      </c>
      <c r="BM240" s="5">
        <f>IF(A240="","",N(INDEX(Projects[Systems Eng],239)))</f>
        <v/>
      </c>
      <c r="BN240" s="5">
        <f>IF(A240="","",N(INDEX(Projects[Mechanical Eng],239)))</f>
        <v/>
      </c>
      <c r="BO240" s="5">
        <f>IF(A240="","",N(INDEX(Projects[Structural Engineering],239)))</f>
        <v/>
      </c>
      <c r="BP240" s="5">
        <f>IF(A240="","",N(INDEX(Projects[Site Sup],239)))</f>
        <v/>
      </c>
      <c r="BQ240" s="5">
        <f>IF(A240="","",N(INDEX(Projects[Controls Commissioning],239)))</f>
        <v/>
      </c>
      <c r="BR240" s="5">
        <f>IF(A240="","",N(INDEX(Projects[Systems Commissioning],239)))</f>
        <v/>
      </c>
      <c r="BS240" s="5">
        <f>IF(A240="","",N(INDEX(Projects[Service Commissioning],239)))</f>
        <v/>
      </c>
      <c r="BT240" s="5">
        <f>IF(A240="","",N(INDEX(Projects[Controls Eng],239)))</f>
        <v/>
      </c>
      <c r="BU240" s="5">
        <f>IF(A240="","",N(INDEX(Projects[Controls Purchase],239)))</f>
        <v/>
      </c>
      <c r="BV240" s="5">
        <f>IF(A240="","",N(INDEX(Projects[Software Eng],239)))</f>
        <v/>
      </c>
      <c r="BW240" s="5">
        <f>IF(A240="","",N(INDEX(Projects[Misc],239)))</f>
        <v/>
      </c>
      <c r="BX240" s="5">
        <f>IF(A240="","",SUM(BJ240:BW240))</f>
        <v/>
      </c>
      <c r="BY240" s="5">
        <f>IF(A240="","",IFERROR(IF(ISNUMBER(U240),U240,VALUE(SUBSTITUTE(SUBSTITUTE(SUBSTITUTE(UPPER(TRIM(U240)),"M",""),",","")," ",""))),0))</f>
        <v/>
      </c>
      <c r="BZ240" s="5">
        <f>INDEX(Projects[Solution Type],239)&amp;""</f>
        <v/>
      </c>
      <c r="CA240" s="5">
        <f>INDEX(Projects[Client / Region],239)&amp;""</f>
        <v/>
      </c>
      <c r="CB240" s="5">
        <f>INDEX(Projects[Year],239)</f>
        <v/>
      </c>
      <c r="CC240" s="5">
        <f>INDEX(Projects[Won?],239)&amp;""</f>
        <v/>
      </c>
      <c r="CD240" s="5">
        <f>INDEX(Projects[Value (USD M)],239)</f>
        <v/>
      </c>
    </row>
    <row r="241" ht="15" customHeight="1" s="74">
      <c r="A241" s="66">
        <f>INDEX(Projects[Project ID *],240)&amp;""</f>
        <v/>
      </c>
      <c r="B241" s="66">
        <f>INDEX(Projects[Project Name *],240)&amp;""</f>
        <v/>
      </c>
      <c r="C241" s="66">
        <f>INDEX(Projects[MS Shuttles],240)</f>
        <v/>
      </c>
      <c r="D241" s="66">
        <f>INDEX(Projects[MS Tote Locations],240)</f>
        <v/>
      </c>
      <c r="E241" s="66">
        <f>INDEX(Projects[AS Robots],240)</f>
        <v/>
      </c>
      <c r="F241" s="66">
        <f>INDEX(Projects[AS Tote Locations],240)</f>
        <v/>
      </c>
      <c r="G241" s="66">
        <f>INDEX(Projects[PS Shuttles],240)</f>
        <v/>
      </c>
      <c r="H241" s="66">
        <f>INDEX(Projects[PS Pallet Locations],240)</f>
        <v/>
      </c>
      <c r="I241" s="66">
        <f>INDEX(Projects[SRM Cranes],240)</f>
        <v/>
      </c>
      <c r="J241" s="66">
        <f>INDEX(Projects[SRM Pallet Locations],240)</f>
        <v/>
      </c>
      <c r="K241" s="66">
        <f>INDEX(Projects[Case Conv (m)],240)</f>
        <v/>
      </c>
      <c r="L241" s="66">
        <f>INDEX(Projects[Pallet Conv (m)],240)</f>
        <v/>
      </c>
      <c r="M241" s="66">
        <f>INDEX(Projects[Mech Eng (wks)],240)</f>
        <v/>
      </c>
      <c r="N241" s="66">
        <f>INDEX(Projects[Controls Eng (wks)],240)</f>
        <v/>
      </c>
      <c r="O241" s="66">
        <f>INDEX(Projects[Systems Eng (wks)],240)</f>
        <v/>
      </c>
      <c r="P241" s="66">
        <f>INDEX(Projects[Software Eng (wks)],240)</f>
        <v/>
      </c>
      <c r="Q241" s="66">
        <f>INDEX(Projects[M&amp;E Installation (wks)],240)</f>
        <v/>
      </c>
      <c r="R241" s="66">
        <f>INDEX(Projects[Commissioning (wks)],240)</f>
        <v/>
      </c>
      <c r="S241" s="66">
        <f>INDEX(Projects[Total Timeline (wks)],240)</f>
        <v/>
      </c>
      <c r="T241" s="66">
        <f>INDEX(Projects[Currency],240)&amp;""</f>
        <v/>
      </c>
      <c r="U241" s="67">
        <f>INDEX(Projects[Value (M)],240)</f>
        <v/>
      </c>
      <c r="V241" s="66">
        <f>IF('Smart Search'!B13=1,IFERROR(1/'Smart Search'!H13,0),0)</f>
        <v/>
      </c>
      <c r="W241" s="66">
        <f>IF('Smart Search'!B13=1,IFERROR(1/'Smart Search'!H13,0),0)</f>
        <v/>
      </c>
      <c r="X241" s="66">
        <f>IF('Smart Search'!C13=1,IFERROR(1/'Smart Search'!H13,0),0)</f>
        <v/>
      </c>
      <c r="Y241" s="66">
        <f>IF('Smart Search'!C13=1,IFERROR(1/'Smart Search'!H13,0),0)</f>
        <v/>
      </c>
      <c r="Z241" s="66">
        <f>IF('Smart Search'!D13=1,IFERROR(1/'Smart Search'!H13,0),0)</f>
        <v/>
      </c>
      <c r="AA241" s="66">
        <f>IF('Smart Search'!D13=1,IFERROR(1/'Smart Search'!H13,0),0)</f>
        <v/>
      </c>
      <c r="AB241" s="66">
        <f>IF('Smart Search'!E13=1,IFERROR(1/'Smart Search'!H13,0),0)</f>
        <v/>
      </c>
      <c r="AC241" s="66">
        <f>IF('Smart Search'!E13=1,IFERROR(1/'Smart Search'!H13,0),0)</f>
        <v/>
      </c>
      <c r="AD241" s="66">
        <f>IF('Smart Search'!F13=1,IFERROR(1/'Smart Search'!H13,0),0)</f>
        <v/>
      </c>
      <c r="AE241" s="66">
        <f>IF('Smart Search'!F13=1,IFERROR(1/'Smart Search'!H13,0),0)</f>
        <v/>
      </c>
      <c r="AF241" s="66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66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66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66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66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66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66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66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66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66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66">
        <f>AF241*V241</f>
        <v/>
      </c>
      <c r="AQ241" s="66">
        <f>AG241*W241</f>
        <v/>
      </c>
      <c r="AR241" s="66">
        <f>AH241*X241</f>
        <v/>
      </c>
      <c r="AS241" s="66">
        <f>AI241*Y241</f>
        <v/>
      </c>
      <c r="AT241" s="66">
        <f>AJ241*Z241</f>
        <v/>
      </c>
      <c r="AU241" s="66">
        <f>AK241*AA241</f>
        <v/>
      </c>
      <c r="AV241" s="66">
        <f>AL241*AB241</f>
        <v/>
      </c>
      <c r="AW241" s="66">
        <f>AM241*AC241</f>
        <v/>
      </c>
      <c r="AX241" s="66">
        <f>AN241*AD241</f>
        <v/>
      </c>
      <c r="AY241" s="66">
        <f>AO241*AE241</f>
        <v/>
      </c>
      <c r="AZ241" s="66">
        <f>INDEX(Projects[Automation Equipment],240)&amp;""</f>
        <v/>
      </c>
      <c r="BA241" s="66">
        <f>IF(OR(A241="",'Smart Search'!H13=0),"",MAX(0,BE241*BF241*MAX(0,1-BG241)))</f>
        <v/>
      </c>
      <c r="BB241" s="66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66">
        <f>IF('Smart Search'!G13=1,IFERROR(1/'Smart Search'!H13,0),0)</f>
        <v/>
      </c>
      <c r="BD241" s="66">
        <f>BB241*BC241</f>
        <v/>
      </c>
      <c r="BE241" s="66">
        <f>AP241+AQ241+AR241+AS241+AT241+AU241+AV241+AW241+AX241+AY241+BD241</f>
        <v/>
      </c>
      <c r="BF241" s="5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5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5">
        <f>IF(AND(A241&lt;&gt;"",OR('Smart Search'!$L$5="",'Smart Search'!$L$5="All",TRIM(BZ241)=TRIM('Smart Search'!$L$5)),OR(TRIM('Smart Search'!$L$6)="",TRIM('Smart Search'!$L$6)="All",ISNUMBER(SEARCH(SUBSTITUTE(SUBSTITUTE(SUBSTITUTE(TRIM('Smart Search'!$L$6),"~","~~"),"*","~*"),"?","~?"),CA241))),OR('Smart Search'!$L$7="",AND(CB241&lt;&gt;0,CB241='Smart Search'!$L$7)),OR('Smart Search'!$L$8="",'Smart Search'!$L$8="All",TRIM(CC241)=TRIM('Smart Search'!$L$8))),IF(BA241="","",BA241+ROW()*0.0000000001),"")</f>
        <v/>
      </c>
      <c r="BI241" s="5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5">
        <f>IF(A241="","",N(INDEX(Projects[Mech Inst],240)))</f>
        <v/>
      </c>
      <c r="BK241" s="5">
        <f>IF(A241="","",N(INDEX(Projects[Elec Inst],240)))</f>
        <v/>
      </c>
      <c r="BL241" s="5">
        <f>IF(A241="","",N(INDEX(Projects[Project Management],240)))</f>
        <v/>
      </c>
      <c r="BM241" s="5">
        <f>IF(A241="","",N(INDEX(Projects[Systems Eng],240)))</f>
        <v/>
      </c>
      <c r="BN241" s="5">
        <f>IF(A241="","",N(INDEX(Projects[Mechanical Eng],240)))</f>
        <v/>
      </c>
      <c r="BO241" s="5">
        <f>IF(A241="","",N(INDEX(Projects[Structural Engineering],240)))</f>
        <v/>
      </c>
      <c r="BP241" s="5">
        <f>IF(A241="","",N(INDEX(Projects[Site Sup],240)))</f>
        <v/>
      </c>
      <c r="BQ241" s="5">
        <f>IF(A241="","",N(INDEX(Projects[Controls Commissioning],240)))</f>
        <v/>
      </c>
      <c r="BR241" s="5">
        <f>IF(A241="","",N(INDEX(Projects[Systems Commissioning],240)))</f>
        <v/>
      </c>
      <c r="BS241" s="5">
        <f>IF(A241="","",N(INDEX(Projects[Service Commissioning],240)))</f>
        <v/>
      </c>
      <c r="BT241" s="5">
        <f>IF(A241="","",N(INDEX(Projects[Controls Eng],240)))</f>
        <v/>
      </c>
      <c r="BU241" s="5">
        <f>IF(A241="","",N(INDEX(Projects[Controls Purchase],240)))</f>
        <v/>
      </c>
      <c r="BV241" s="5">
        <f>IF(A241="","",N(INDEX(Projects[Software Eng],240)))</f>
        <v/>
      </c>
      <c r="BW241" s="5">
        <f>IF(A241="","",N(INDEX(Projects[Misc],240)))</f>
        <v/>
      </c>
      <c r="BX241" s="5">
        <f>IF(A241="","",SUM(BJ241:BW241))</f>
        <v/>
      </c>
      <c r="BY241" s="5">
        <f>IF(A241="","",IFERROR(IF(ISNUMBER(U241),U241,VALUE(SUBSTITUTE(SUBSTITUTE(SUBSTITUTE(UPPER(TRIM(U241)),"M",""),",","")," ",""))),0))</f>
        <v/>
      </c>
      <c r="BZ241" s="5">
        <f>INDEX(Projects[Solution Type],240)&amp;""</f>
        <v/>
      </c>
      <c r="CA241" s="5">
        <f>INDEX(Projects[Client / Region],240)&amp;""</f>
        <v/>
      </c>
      <c r="CB241" s="5">
        <f>INDEX(Projects[Year],240)</f>
        <v/>
      </c>
      <c r="CC241" s="5">
        <f>INDEX(Projects[Won?],240)&amp;""</f>
        <v/>
      </c>
      <c r="CD241" s="5">
        <f>INDEX(Projects[Value (USD M)],240)</f>
        <v/>
      </c>
    </row>
    <row r="242" ht="15" customHeight="1" s="74">
      <c r="A242" s="66">
        <f>INDEX(Projects[Project ID *],241)&amp;""</f>
        <v/>
      </c>
      <c r="B242" s="66">
        <f>INDEX(Projects[Project Name *],241)&amp;""</f>
        <v/>
      </c>
      <c r="C242" s="66">
        <f>INDEX(Projects[MS Shuttles],241)</f>
        <v/>
      </c>
      <c r="D242" s="66">
        <f>INDEX(Projects[MS Tote Locations],241)</f>
        <v/>
      </c>
      <c r="E242" s="66">
        <f>INDEX(Projects[AS Robots],241)</f>
        <v/>
      </c>
      <c r="F242" s="66">
        <f>INDEX(Projects[AS Tote Locations],241)</f>
        <v/>
      </c>
      <c r="G242" s="66">
        <f>INDEX(Projects[PS Shuttles],241)</f>
        <v/>
      </c>
      <c r="H242" s="66">
        <f>INDEX(Projects[PS Pallet Locations],241)</f>
        <v/>
      </c>
      <c r="I242" s="66">
        <f>INDEX(Projects[SRM Cranes],241)</f>
        <v/>
      </c>
      <c r="J242" s="66">
        <f>INDEX(Projects[SRM Pallet Locations],241)</f>
        <v/>
      </c>
      <c r="K242" s="66">
        <f>INDEX(Projects[Case Conv (m)],241)</f>
        <v/>
      </c>
      <c r="L242" s="66">
        <f>INDEX(Projects[Pallet Conv (m)],241)</f>
        <v/>
      </c>
      <c r="M242" s="66">
        <f>INDEX(Projects[Mech Eng (wks)],241)</f>
        <v/>
      </c>
      <c r="N242" s="66">
        <f>INDEX(Projects[Controls Eng (wks)],241)</f>
        <v/>
      </c>
      <c r="O242" s="66">
        <f>INDEX(Projects[Systems Eng (wks)],241)</f>
        <v/>
      </c>
      <c r="P242" s="66">
        <f>INDEX(Projects[Software Eng (wks)],241)</f>
        <v/>
      </c>
      <c r="Q242" s="66">
        <f>INDEX(Projects[M&amp;E Installation (wks)],241)</f>
        <v/>
      </c>
      <c r="R242" s="66">
        <f>INDEX(Projects[Commissioning (wks)],241)</f>
        <v/>
      </c>
      <c r="S242" s="66">
        <f>INDEX(Projects[Total Timeline (wks)],241)</f>
        <v/>
      </c>
      <c r="T242" s="66">
        <f>INDEX(Projects[Currency],241)&amp;""</f>
        <v/>
      </c>
      <c r="U242" s="67">
        <f>INDEX(Projects[Value (M)],241)</f>
        <v/>
      </c>
      <c r="V242" s="66">
        <f>IF('Smart Search'!B13=1,IFERROR(1/'Smart Search'!H13,0),0)</f>
        <v/>
      </c>
      <c r="W242" s="66">
        <f>IF('Smart Search'!B13=1,IFERROR(1/'Smart Search'!H13,0),0)</f>
        <v/>
      </c>
      <c r="X242" s="66">
        <f>IF('Smart Search'!C13=1,IFERROR(1/'Smart Search'!H13,0),0)</f>
        <v/>
      </c>
      <c r="Y242" s="66">
        <f>IF('Smart Search'!C13=1,IFERROR(1/'Smart Search'!H13,0),0)</f>
        <v/>
      </c>
      <c r="Z242" s="66">
        <f>IF('Smart Search'!D13=1,IFERROR(1/'Smart Search'!H13,0),0)</f>
        <v/>
      </c>
      <c r="AA242" s="66">
        <f>IF('Smart Search'!D13=1,IFERROR(1/'Smart Search'!H13,0),0)</f>
        <v/>
      </c>
      <c r="AB242" s="66">
        <f>IF('Smart Search'!E13=1,IFERROR(1/'Smart Search'!H13,0),0)</f>
        <v/>
      </c>
      <c r="AC242" s="66">
        <f>IF('Smart Search'!E13=1,IFERROR(1/'Smart Search'!H13,0),0)</f>
        <v/>
      </c>
      <c r="AD242" s="66">
        <f>IF('Smart Search'!F13=1,IFERROR(1/'Smart Search'!H13,0),0)</f>
        <v/>
      </c>
      <c r="AE242" s="66">
        <f>IF('Smart Search'!F13=1,IFERROR(1/'Smart Search'!H13,0),0)</f>
        <v/>
      </c>
      <c r="AF242" s="66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66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66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66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66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66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66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66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66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66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66">
        <f>AF242*V242</f>
        <v/>
      </c>
      <c r="AQ242" s="66">
        <f>AG242*W242</f>
        <v/>
      </c>
      <c r="AR242" s="66">
        <f>AH242*X242</f>
        <v/>
      </c>
      <c r="AS242" s="66">
        <f>AI242*Y242</f>
        <v/>
      </c>
      <c r="AT242" s="66">
        <f>AJ242*Z242</f>
        <v/>
      </c>
      <c r="AU242" s="66">
        <f>AK242*AA242</f>
        <v/>
      </c>
      <c r="AV242" s="66">
        <f>AL242*AB242</f>
        <v/>
      </c>
      <c r="AW242" s="66">
        <f>AM242*AC242</f>
        <v/>
      </c>
      <c r="AX242" s="66">
        <f>AN242*AD242</f>
        <v/>
      </c>
      <c r="AY242" s="66">
        <f>AO242*AE242</f>
        <v/>
      </c>
      <c r="AZ242" s="66">
        <f>INDEX(Projects[Automation Equipment],241)&amp;""</f>
        <v/>
      </c>
      <c r="BA242" s="66">
        <f>IF(OR(A242="",'Smart Search'!H13=0),"",MAX(0,BE242*BF242*MAX(0,1-BG242)))</f>
        <v/>
      </c>
      <c r="BB242" s="66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66">
        <f>IF('Smart Search'!G13=1,IFERROR(1/'Smart Search'!H13,0),0)</f>
        <v/>
      </c>
      <c r="BD242" s="66">
        <f>BB242*BC242</f>
        <v/>
      </c>
      <c r="BE242" s="66">
        <f>AP242+AQ242+AR242+AS242+AT242+AU242+AV242+AW242+AX242+AY242+BD242</f>
        <v/>
      </c>
      <c r="BF242" s="5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5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5">
        <f>IF(AND(A242&lt;&gt;"",OR('Smart Search'!$L$5="",'Smart Search'!$L$5="All",TRIM(BZ242)=TRIM('Smart Search'!$L$5)),OR(TRIM('Smart Search'!$L$6)="",TRIM('Smart Search'!$L$6)="All",ISNUMBER(SEARCH(SUBSTITUTE(SUBSTITUTE(SUBSTITUTE(TRIM('Smart Search'!$L$6),"~","~~"),"*","~*"),"?","~?"),CA242))),OR('Smart Search'!$L$7="",AND(CB242&lt;&gt;0,CB242='Smart Search'!$L$7)),OR('Smart Search'!$L$8="",'Smart Search'!$L$8="All",TRIM(CC242)=TRIM('Smart Search'!$L$8))),IF(BA242="","",BA242+ROW()*0.0000000001),"")</f>
        <v/>
      </c>
      <c r="BI242" s="5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5">
        <f>IF(A242="","",N(INDEX(Projects[Mech Inst],241)))</f>
        <v/>
      </c>
      <c r="BK242" s="5">
        <f>IF(A242="","",N(INDEX(Projects[Elec Inst],241)))</f>
        <v/>
      </c>
      <c r="BL242" s="5">
        <f>IF(A242="","",N(INDEX(Projects[Project Management],241)))</f>
        <v/>
      </c>
      <c r="BM242" s="5">
        <f>IF(A242="","",N(INDEX(Projects[Systems Eng],241)))</f>
        <v/>
      </c>
      <c r="BN242" s="5">
        <f>IF(A242="","",N(INDEX(Projects[Mechanical Eng],241)))</f>
        <v/>
      </c>
      <c r="BO242" s="5">
        <f>IF(A242="","",N(INDEX(Projects[Structural Engineering],241)))</f>
        <v/>
      </c>
      <c r="BP242" s="5">
        <f>IF(A242="","",N(INDEX(Projects[Site Sup],241)))</f>
        <v/>
      </c>
      <c r="BQ242" s="5">
        <f>IF(A242="","",N(INDEX(Projects[Controls Commissioning],241)))</f>
        <v/>
      </c>
      <c r="BR242" s="5">
        <f>IF(A242="","",N(INDEX(Projects[Systems Commissioning],241)))</f>
        <v/>
      </c>
      <c r="BS242" s="5">
        <f>IF(A242="","",N(INDEX(Projects[Service Commissioning],241)))</f>
        <v/>
      </c>
      <c r="BT242" s="5">
        <f>IF(A242="","",N(INDEX(Projects[Controls Eng],241)))</f>
        <v/>
      </c>
      <c r="BU242" s="5">
        <f>IF(A242="","",N(INDEX(Projects[Controls Purchase],241)))</f>
        <v/>
      </c>
      <c r="BV242" s="5">
        <f>IF(A242="","",N(INDEX(Projects[Software Eng],241)))</f>
        <v/>
      </c>
      <c r="BW242" s="5">
        <f>IF(A242="","",N(INDEX(Projects[Misc],241)))</f>
        <v/>
      </c>
      <c r="BX242" s="5">
        <f>IF(A242="","",SUM(BJ242:BW242))</f>
        <v/>
      </c>
      <c r="BY242" s="5">
        <f>IF(A242="","",IFERROR(IF(ISNUMBER(U242),U242,VALUE(SUBSTITUTE(SUBSTITUTE(SUBSTITUTE(UPPER(TRIM(U242)),"M",""),",","")," ",""))),0))</f>
        <v/>
      </c>
      <c r="BZ242" s="5">
        <f>INDEX(Projects[Solution Type],241)&amp;""</f>
        <v/>
      </c>
      <c r="CA242" s="5">
        <f>INDEX(Projects[Client / Region],241)&amp;""</f>
        <v/>
      </c>
      <c r="CB242" s="5">
        <f>INDEX(Projects[Year],241)</f>
        <v/>
      </c>
      <c r="CC242" s="5">
        <f>INDEX(Projects[Won?],241)&amp;""</f>
        <v/>
      </c>
      <c r="CD242" s="5">
        <f>INDEX(Projects[Value (USD M)],241)</f>
        <v/>
      </c>
    </row>
    <row r="243" ht="15" customHeight="1" s="74">
      <c r="A243" s="66">
        <f>INDEX(Projects[Project ID *],242)&amp;""</f>
        <v/>
      </c>
      <c r="B243" s="66">
        <f>INDEX(Projects[Project Name *],242)&amp;""</f>
        <v/>
      </c>
      <c r="C243" s="66">
        <f>INDEX(Projects[MS Shuttles],242)</f>
        <v/>
      </c>
      <c r="D243" s="66">
        <f>INDEX(Projects[MS Tote Locations],242)</f>
        <v/>
      </c>
      <c r="E243" s="66">
        <f>INDEX(Projects[AS Robots],242)</f>
        <v/>
      </c>
      <c r="F243" s="66">
        <f>INDEX(Projects[AS Tote Locations],242)</f>
        <v/>
      </c>
      <c r="G243" s="66">
        <f>INDEX(Projects[PS Shuttles],242)</f>
        <v/>
      </c>
      <c r="H243" s="66">
        <f>INDEX(Projects[PS Pallet Locations],242)</f>
        <v/>
      </c>
      <c r="I243" s="66">
        <f>INDEX(Projects[SRM Cranes],242)</f>
        <v/>
      </c>
      <c r="J243" s="66">
        <f>INDEX(Projects[SRM Pallet Locations],242)</f>
        <v/>
      </c>
      <c r="K243" s="66">
        <f>INDEX(Projects[Case Conv (m)],242)</f>
        <v/>
      </c>
      <c r="L243" s="66">
        <f>INDEX(Projects[Pallet Conv (m)],242)</f>
        <v/>
      </c>
      <c r="M243" s="66">
        <f>INDEX(Projects[Mech Eng (wks)],242)</f>
        <v/>
      </c>
      <c r="N243" s="66">
        <f>INDEX(Projects[Controls Eng (wks)],242)</f>
        <v/>
      </c>
      <c r="O243" s="66">
        <f>INDEX(Projects[Systems Eng (wks)],242)</f>
        <v/>
      </c>
      <c r="P243" s="66">
        <f>INDEX(Projects[Software Eng (wks)],242)</f>
        <v/>
      </c>
      <c r="Q243" s="66">
        <f>INDEX(Projects[M&amp;E Installation (wks)],242)</f>
        <v/>
      </c>
      <c r="R243" s="66">
        <f>INDEX(Projects[Commissioning (wks)],242)</f>
        <v/>
      </c>
      <c r="S243" s="66">
        <f>INDEX(Projects[Total Timeline (wks)],242)</f>
        <v/>
      </c>
      <c r="T243" s="66">
        <f>INDEX(Projects[Currency],242)&amp;""</f>
        <v/>
      </c>
      <c r="U243" s="67">
        <f>INDEX(Projects[Value (M)],242)</f>
        <v/>
      </c>
      <c r="V243" s="66">
        <f>IF('Smart Search'!B13=1,IFERROR(1/'Smart Search'!H13,0),0)</f>
        <v/>
      </c>
      <c r="W243" s="66">
        <f>IF('Smart Search'!B13=1,IFERROR(1/'Smart Search'!H13,0),0)</f>
        <v/>
      </c>
      <c r="X243" s="66">
        <f>IF('Smart Search'!C13=1,IFERROR(1/'Smart Search'!H13,0),0)</f>
        <v/>
      </c>
      <c r="Y243" s="66">
        <f>IF('Smart Search'!C13=1,IFERROR(1/'Smart Search'!H13,0),0)</f>
        <v/>
      </c>
      <c r="Z243" s="66">
        <f>IF('Smart Search'!D13=1,IFERROR(1/'Smart Search'!H13,0),0)</f>
        <v/>
      </c>
      <c r="AA243" s="66">
        <f>IF('Smart Search'!D13=1,IFERROR(1/'Smart Search'!H13,0),0)</f>
        <v/>
      </c>
      <c r="AB243" s="66">
        <f>IF('Smart Search'!E13=1,IFERROR(1/'Smart Search'!H13,0),0)</f>
        <v/>
      </c>
      <c r="AC243" s="66">
        <f>IF('Smart Search'!E13=1,IFERROR(1/'Smart Search'!H13,0),0)</f>
        <v/>
      </c>
      <c r="AD243" s="66">
        <f>IF('Smart Search'!F13=1,IFERROR(1/'Smart Search'!H13,0),0)</f>
        <v/>
      </c>
      <c r="AE243" s="66">
        <f>IF('Smart Search'!F13=1,IFERROR(1/'Smart Search'!H13,0),0)</f>
        <v/>
      </c>
      <c r="AF243" s="66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66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66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66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66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66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66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66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66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66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66">
        <f>AF243*V243</f>
        <v/>
      </c>
      <c r="AQ243" s="66">
        <f>AG243*W243</f>
        <v/>
      </c>
      <c r="AR243" s="66">
        <f>AH243*X243</f>
        <v/>
      </c>
      <c r="AS243" s="66">
        <f>AI243*Y243</f>
        <v/>
      </c>
      <c r="AT243" s="66">
        <f>AJ243*Z243</f>
        <v/>
      </c>
      <c r="AU243" s="66">
        <f>AK243*AA243</f>
        <v/>
      </c>
      <c r="AV243" s="66">
        <f>AL243*AB243</f>
        <v/>
      </c>
      <c r="AW243" s="66">
        <f>AM243*AC243</f>
        <v/>
      </c>
      <c r="AX243" s="66">
        <f>AN243*AD243</f>
        <v/>
      </c>
      <c r="AY243" s="66">
        <f>AO243*AE243</f>
        <v/>
      </c>
      <c r="AZ243" s="66">
        <f>INDEX(Projects[Automation Equipment],242)&amp;""</f>
        <v/>
      </c>
      <c r="BA243" s="66">
        <f>IF(OR(A243="",'Smart Search'!H13=0),"",MAX(0,BE243*BF243*MAX(0,1-BG243)))</f>
        <v/>
      </c>
      <c r="BB243" s="66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66">
        <f>IF('Smart Search'!G13=1,IFERROR(1/'Smart Search'!H13,0),0)</f>
        <v/>
      </c>
      <c r="BD243" s="66">
        <f>BB243*BC243</f>
        <v/>
      </c>
      <c r="BE243" s="66">
        <f>AP243+AQ243+AR243+AS243+AT243+AU243+AV243+AW243+AX243+AY243+BD243</f>
        <v/>
      </c>
      <c r="BF243" s="5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5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5">
        <f>IF(AND(A243&lt;&gt;"",OR('Smart Search'!$L$5="",'Smart Search'!$L$5="All",TRIM(BZ243)=TRIM('Smart Search'!$L$5)),OR(TRIM('Smart Search'!$L$6)="",TRIM('Smart Search'!$L$6)="All",ISNUMBER(SEARCH(SUBSTITUTE(SUBSTITUTE(SUBSTITUTE(TRIM('Smart Search'!$L$6),"~","~~"),"*","~*"),"?","~?"),CA243))),OR('Smart Search'!$L$7="",AND(CB243&lt;&gt;0,CB243='Smart Search'!$L$7)),OR('Smart Search'!$L$8="",'Smart Search'!$L$8="All",TRIM(CC243)=TRIM('Smart Search'!$L$8))),IF(BA243="","",BA243+ROW()*0.0000000001),"")</f>
        <v/>
      </c>
      <c r="BI243" s="5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5">
        <f>IF(A243="","",N(INDEX(Projects[Mech Inst],242)))</f>
        <v/>
      </c>
      <c r="BK243" s="5">
        <f>IF(A243="","",N(INDEX(Projects[Elec Inst],242)))</f>
        <v/>
      </c>
      <c r="BL243" s="5">
        <f>IF(A243="","",N(INDEX(Projects[Project Management],242)))</f>
        <v/>
      </c>
      <c r="BM243" s="5">
        <f>IF(A243="","",N(INDEX(Projects[Systems Eng],242)))</f>
        <v/>
      </c>
      <c r="BN243" s="5">
        <f>IF(A243="","",N(INDEX(Projects[Mechanical Eng],242)))</f>
        <v/>
      </c>
      <c r="BO243" s="5">
        <f>IF(A243="","",N(INDEX(Projects[Structural Engineering],242)))</f>
        <v/>
      </c>
      <c r="BP243" s="5">
        <f>IF(A243="","",N(INDEX(Projects[Site Sup],242)))</f>
        <v/>
      </c>
      <c r="BQ243" s="5">
        <f>IF(A243="","",N(INDEX(Projects[Controls Commissioning],242)))</f>
        <v/>
      </c>
      <c r="BR243" s="5">
        <f>IF(A243="","",N(INDEX(Projects[Systems Commissioning],242)))</f>
        <v/>
      </c>
      <c r="BS243" s="5">
        <f>IF(A243="","",N(INDEX(Projects[Service Commissioning],242)))</f>
        <v/>
      </c>
      <c r="BT243" s="5">
        <f>IF(A243="","",N(INDEX(Projects[Controls Eng],242)))</f>
        <v/>
      </c>
      <c r="BU243" s="5">
        <f>IF(A243="","",N(INDEX(Projects[Controls Purchase],242)))</f>
        <v/>
      </c>
      <c r="BV243" s="5">
        <f>IF(A243="","",N(INDEX(Projects[Software Eng],242)))</f>
        <v/>
      </c>
      <c r="BW243" s="5">
        <f>IF(A243="","",N(INDEX(Projects[Misc],242)))</f>
        <v/>
      </c>
      <c r="BX243" s="5">
        <f>IF(A243="","",SUM(BJ243:BW243))</f>
        <v/>
      </c>
      <c r="BY243" s="5">
        <f>IF(A243="","",IFERROR(IF(ISNUMBER(U243),U243,VALUE(SUBSTITUTE(SUBSTITUTE(SUBSTITUTE(UPPER(TRIM(U243)),"M",""),",","")," ",""))),0))</f>
        <v/>
      </c>
      <c r="BZ243" s="5">
        <f>INDEX(Projects[Solution Type],242)&amp;""</f>
        <v/>
      </c>
      <c r="CA243" s="5">
        <f>INDEX(Projects[Client / Region],242)&amp;""</f>
        <v/>
      </c>
      <c r="CB243" s="5">
        <f>INDEX(Projects[Year],242)</f>
        <v/>
      </c>
      <c r="CC243" s="5">
        <f>INDEX(Projects[Won?],242)&amp;""</f>
        <v/>
      </c>
      <c r="CD243" s="5">
        <f>INDEX(Projects[Value (USD M)],242)</f>
        <v/>
      </c>
    </row>
    <row r="244" ht="15" customHeight="1" s="74">
      <c r="A244" s="66">
        <f>INDEX(Projects[Project ID *],243)&amp;""</f>
        <v/>
      </c>
      <c r="B244" s="66">
        <f>INDEX(Projects[Project Name *],243)&amp;""</f>
        <v/>
      </c>
      <c r="C244" s="66">
        <f>INDEX(Projects[MS Shuttles],243)</f>
        <v/>
      </c>
      <c r="D244" s="66">
        <f>INDEX(Projects[MS Tote Locations],243)</f>
        <v/>
      </c>
      <c r="E244" s="66">
        <f>INDEX(Projects[AS Robots],243)</f>
        <v/>
      </c>
      <c r="F244" s="66">
        <f>INDEX(Projects[AS Tote Locations],243)</f>
        <v/>
      </c>
      <c r="G244" s="66">
        <f>INDEX(Projects[PS Shuttles],243)</f>
        <v/>
      </c>
      <c r="H244" s="66">
        <f>INDEX(Projects[PS Pallet Locations],243)</f>
        <v/>
      </c>
      <c r="I244" s="66">
        <f>INDEX(Projects[SRM Cranes],243)</f>
        <v/>
      </c>
      <c r="J244" s="66">
        <f>INDEX(Projects[SRM Pallet Locations],243)</f>
        <v/>
      </c>
      <c r="K244" s="66">
        <f>INDEX(Projects[Case Conv (m)],243)</f>
        <v/>
      </c>
      <c r="L244" s="66">
        <f>INDEX(Projects[Pallet Conv (m)],243)</f>
        <v/>
      </c>
      <c r="M244" s="66">
        <f>INDEX(Projects[Mech Eng (wks)],243)</f>
        <v/>
      </c>
      <c r="N244" s="66">
        <f>INDEX(Projects[Controls Eng (wks)],243)</f>
        <v/>
      </c>
      <c r="O244" s="66">
        <f>INDEX(Projects[Systems Eng (wks)],243)</f>
        <v/>
      </c>
      <c r="P244" s="66">
        <f>INDEX(Projects[Software Eng (wks)],243)</f>
        <v/>
      </c>
      <c r="Q244" s="66">
        <f>INDEX(Projects[M&amp;E Installation (wks)],243)</f>
        <v/>
      </c>
      <c r="R244" s="66">
        <f>INDEX(Projects[Commissioning (wks)],243)</f>
        <v/>
      </c>
      <c r="S244" s="66">
        <f>INDEX(Projects[Total Timeline (wks)],243)</f>
        <v/>
      </c>
      <c r="T244" s="66">
        <f>INDEX(Projects[Currency],243)&amp;""</f>
        <v/>
      </c>
      <c r="U244" s="67">
        <f>INDEX(Projects[Value (M)],243)</f>
        <v/>
      </c>
      <c r="V244" s="66">
        <f>IF('Smart Search'!B13=1,IFERROR(1/'Smart Search'!H13,0),0)</f>
        <v/>
      </c>
      <c r="W244" s="66">
        <f>IF('Smart Search'!B13=1,IFERROR(1/'Smart Search'!H13,0),0)</f>
        <v/>
      </c>
      <c r="X244" s="66">
        <f>IF('Smart Search'!C13=1,IFERROR(1/'Smart Search'!H13,0),0)</f>
        <v/>
      </c>
      <c r="Y244" s="66">
        <f>IF('Smart Search'!C13=1,IFERROR(1/'Smart Search'!H13,0),0)</f>
        <v/>
      </c>
      <c r="Z244" s="66">
        <f>IF('Smart Search'!D13=1,IFERROR(1/'Smart Search'!H13,0),0)</f>
        <v/>
      </c>
      <c r="AA244" s="66">
        <f>IF('Smart Search'!D13=1,IFERROR(1/'Smart Search'!H13,0),0)</f>
        <v/>
      </c>
      <c r="AB244" s="66">
        <f>IF('Smart Search'!E13=1,IFERROR(1/'Smart Search'!H13,0),0)</f>
        <v/>
      </c>
      <c r="AC244" s="66">
        <f>IF('Smart Search'!E13=1,IFERROR(1/'Smart Search'!H13,0),0)</f>
        <v/>
      </c>
      <c r="AD244" s="66">
        <f>IF('Smart Search'!F13=1,IFERROR(1/'Smart Search'!H13,0),0)</f>
        <v/>
      </c>
      <c r="AE244" s="66">
        <f>IF('Smart Search'!F13=1,IFERROR(1/'Smart Search'!H13,0),0)</f>
        <v/>
      </c>
      <c r="AF244" s="66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66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66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66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66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66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66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66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66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66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66">
        <f>AF244*V244</f>
        <v/>
      </c>
      <c r="AQ244" s="66">
        <f>AG244*W244</f>
        <v/>
      </c>
      <c r="AR244" s="66">
        <f>AH244*X244</f>
        <v/>
      </c>
      <c r="AS244" s="66">
        <f>AI244*Y244</f>
        <v/>
      </c>
      <c r="AT244" s="66">
        <f>AJ244*Z244</f>
        <v/>
      </c>
      <c r="AU244" s="66">
        <f>AK244*AA244</f>
        <v/>
      </c>
      <c r="AV244" s="66">
        <f>AL244*AB244</f>
        <v/>
      </c>
      <c r="AW244" s="66">
        <f>AM244*AC244</f>
        <v/>
      </c>
      <c r="AX244" s="66">
        <f>AN244*AD244</f>
        <v/>
      </c>
      <c r="AY244" s="66">
        <f>AO244*AE244</f>
        <v/>
      </c>
      <c r="AZ244" s="66">
        <f>INDEX(Projects[Automation Equipment],243)&amp;""</f>
        <v/>
      </c>
      <c r="BA244" s="66">
        <f>IF(OR(A244="",'Smart Search'!H13=0),"",MAX(0,BE244*BF244*MAX(0,1-BG244)))</f>
        <v/>
      </c>
      <c r="BB244" s="66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66">
        <f>IF('Smart Search'!G13=1,IFERROR(1/'Smart Search'!H13,0),0)</f>
        <v/>
      </c>
      <c r="BD244" s="66">
        <f>BB244*BC244</f>
        <v/>
      </c>
      <c r="BE244" s="66">
        <f>AP244+AQ244+AR244+AS244+AT244+AU244+AV244+AW244+AX244+AY244+BD244</f>
        <v/>
      </c>
      <c r="BF244" s="5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5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5">
        <f>IF(AND(A244&lt;&gt;"",OR('Smart Search'!$L$5="",'Smart Search'!$L$5="All",TRIM(BZ244)=TRIM('Smart Search'!$L$5)),OR(TRIM('Smart Search'!$L$6)="",TRIM('Smart Search'!$L$6)="All",ISNUMBER(SEARCH(SUBSTITUTE(SUBSTITUTE(SUBSTITUTE(TRIM('Smart Search'!$L$6),"~","~~"),"*","~*"),"?","~?"),CA244))),OR('Smart Search'!$L$7="",AND(CB244&lt;&gt;0,CB244='Smart Search'!$L$7)),OR('Smart Search'!$L$8="",'Smart Search'!$L$8="All",TRIM(CC244)=TRIM('Smart Search'!$L$8))),IF(BA244="","",BA244+ROW()*0.0000000001),"")</f>
        <v/>
      </c>
      <c r="BI244" s="5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5">
        <f>IF(A244="","",N(INDEX(Projects[Mech Inst],243)))</f>
        <v/>
      </c>
      <c r="BK244" s="5">
        <f>IF(A244="","",N(INDEX(Projects[Elec Inst],243)))</f>
        <v/>
      </c>
      <c r="BL244" s="5">
        <f>IF(A244="","",N(INDEX(Projects[Project Management],243)))</f>
        <v/>
      </c>
      <c r="BM244" s="5">
        <f>IF(A244="","",N(INDEX(Projects[Systems Eng],243)))</f>
        <v/>
      </c>
      <c r="BN244" s="5">
        <f>IF(A244="","",N(INDEX(Projects[Mechanical Eng],243)))</f>
        <v/>
      </c>
      <c r="BO244" s="5">
        <f>IF(A244="","",N(INDEX(Projects[Structural Engineering],243)))</f>
        <v/>
      </c>
      <c r="BP244" s="5">
        <f>IF(A244="","",N(INDEX(Projects[Site Sup],243)))</f>
        <v/>
      </c>
      <c r="BQ244" s="5">
        <f>IF(A244="","",N(INDEX(Projects[Controls Commissioning],243)))</f>
        <v/>
      </c>
      <c r="BR244" s="5">
        <f>IF(A244="","",N(INDEX(Projects[Systems Commissioning],243)))</f>
        <v/>
      </c>
      <c r="BS244" s="5">
        <f>IF(A244="","",N(INDEX(Projects[Service Commissioning],243)))</f>
        <v/>
      </c>
      <c r="BT244" s="5">
        <f>IF(A244="","",N(INDEX(Projects[Controls Eng],243)))</f>
        <v/>
      </c>
      <c r="BU244" s="5">
        <f>IF(A244="","",N(INDEX(Projects[Controls Purchase],243)))</f>
        <v/>
      </c>
      <c r="BV244" s="5">
        <f>IF(A244="","",N(INDEX(Projects[Software Eng],243)))</f>
        <v/>
      </c>
      <c r="BW244" s="5">
        <f>IF(A244="","",N(INDEX(Projects[Misc],243)))</f>
        <v/>
      </c>
      <c r="BX244" s="5">
        <f>IF(A244="","",SUM(BJ244:BW244))</f>
        <v/>
      </c>
      <c r="BY244" s="5">
        <f>IF(A244="","",IFERROR(IF(ISNUMBER(U244),U244,VALUE(SUBSTITUTE(SUBSTITUTE(SUBSTITUTE(UPPER(TRIM(U244)),"M",""),",","")," ",""))),0))</f>
        <v/>
      </c>
      <c r="BZ244" s="5">
        <f>INDEX(Projects[Solution Type],243)&amp;""</f>
        <v/>
      </c>
      <c r="CA244" s="5">
        <f>INDEX(Projects[Client / Region],243)&amp;""</f>
        <v/>
      </c>
      <c r="CB244" s="5">
        <f>INDEX(Projects[Year],243)</f>
        <v/>
      </c>
      <c r="CC244" s="5">
        <f>INDEX(Projects[Won?],243)&amp;""</f>
        <v/>
      </c>
      <c r="CD244" s="5">
        <f>INDEX(Projects[Value (USD M)],243)</f>
        <v/>
      </c>
    </row>
    <row r="245" ht="15" customHeight="1" s="74">
      <c r="A245" s="66">
        <f>INDEX(Projects[Project ID *],244)&amp;""</f>
        <v/>
      </c>
      <c r="B245" s="66">
        <f>INDEX(Projects[Project Name *],244)&amp;""</f>
        <v/>
      </c>
      <c r="C245" s="66">
        <f>INDEX(Projects[MS Shuttles],244)</f>
        <v/>
      </c>
      <c r="D245" s="66">
        <f>INDEX(Projects[MS Tote Locations],244)</f>
        <v/>
      </c>
      <c r="E245" s="66">
        <f>INDEX(Projects[AS Robots],244)</f>
        <v/>
      </c>
      <c r="F245" s="66">
        <f>INDEX(Projects[AS Tote Locations],244)</f>
        <v/>
      </c>
      <c r="G245" s="66">
        <f>INDEX(Projects[PS Shuttles],244)</f>
        <v/>
      </c>
      <c r="H245" s="66">
        <f>INDEX(Projects[PS Pallet Locations],244)</f>
        <v/>
      </c>
      <c r="I245" s="66">
        <f>INDEX(Projects[SRM Cranes],244)</f>
        <v/>
      </c>
      <c r="J245" s="66">
        <f>INDEX(Projects[SRM Pallet Locations],244)</f>
        <v/>
      </c>
      <c r="K245" s="66">
        <f>INDEX(Projects[Case Conv (m)],244)</f>
        <v/>
      </c>
      <c r="L245" s="66">
        <f>INDEX(Projects[Pallet Conv (m)],244)</f>
        <v/>
      </c>
      <c r="M245" s="66">
        <f>INDEX(Projects[Mech Eng (wks)],244)</f>
        <v/>
      </c>
      <c r="N245" s="66">
        <f>INDEX(Projects[Controls Eng (wks)],244)</f>
        <v/>
      </c>
      <c r="O245" s="66">
        <f>INDEX(Projects[Systems Eng (wks)],244)</f>
        <v/>
      </c>
      <c r="P245" s="66">
        <f>INDEX(Projects[Software Eng (wks)],244)</f>
        <v/>
      </c>
      <c r="Q245" s="66">
        <f>INDEX(Projects[M&amp;E Installation (wks)],244)</f>
        <v/>
      </c>
      <c r="R245" s="66">
        <f>INDEX(Projects[Commissioning (wks)],244)</f>
        <v/>
      </c>
      <c r="S245" s="66">
        <f>INDEX(Projects[Total Timeline (wks)],244)</f>
        <v/>
      </c>
      <c r="T245" s="66">
        <f>INDEX(Projects[Currency],244)&amp;""</f>
        <v/>
      </c>
      <c r="U245" s="67">
        <f>INDEX(Projects[Value (M)],244)</f>
        <v/>
      </c>
      <c r="V245" s="66">
        <f>IF('Smart Search'!B13=1,IFERROR(1/'Smart Search'!H13,0),0)</f>
        <v/>
      </c>
      <c r="W245" s="66">
        <f>IF('Smart Search'!B13=1,IFERROR(1/'Smart Search'!H13,0),0)</f>
        <v/>
      </c>
      <c r="X245" s="66">
        <f>IF('Smart Search'!C13=1,IFERROR(1/'Smart Search'!H13,0),0)</f>
        <v/>
      </c>
      <c r="Y245" s="66">
        <f>IF('Smart Search'!C13=1,IFERROR(1/'Smart Search'!H13,0),0)</f>
        <v/>
      </c>
      <c r="Z245" s="66">
        <f>IF('Smart Search'!D13=1,IFERROR(1/'Smart Search'!H13,0),0)</f>
        <v/>
      </c>
      <c r="AA245" s="66">
        <f>IF('Smart Search'!D13=1,IFERROR(1/'Smart Search'!H13,0),0)</f>
        <v/>
      </c>
      <c r="AB245" s="66">
        <f>IF('Smart Search'!E13=1,IFERROR(1/'Smart Search'!H13,0),0)</f>
        <v/>
      </c>
      <c r="AC245" s="66">
        <f>IF('Smart Search'!E13=1,IFERROR(1/'Smart Search'!H13,0),0)</f>
        <v/>
      </c>
      <c r="AD245" s="66">
        <f>IF('Smart Search'!F13=1,IFERROR(1/'Smart Search'!H13,0),0)</f>
        <v/>
      </c>
      <c r="AE245" s="66">
        <f>IF('Smart Search'!F13=1,IFERROR(1/'Smart Search'!H13,0),0)</f>
        <v/>
      </c>
      <c r="AF245" s="66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66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66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66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66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66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66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66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66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66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66">
        <f>AF245*V245</f>
        <v/>
      </c>
      <c r="AQ245" s="66">
        <f>AG245*W245</f>
        <v/>
      </c>
      <c r="AR245" s="66">
        <f>AH245*X245</f>
        <v/>
      </c>
      <c r="AS245" s="66">
        <f>AI245*Y245</f>
        <v/>
      </c>
      <c r="AT245" s="66">
        <f>AJ245*Z245</f>
        <v/>
      </c>
      <c r="AU245" s="66">
        <f>AK245*AA245</f>
        <v/>
      </c>
      <c r="AV245" s="66">
        <f>AL245*AB245</f>
        <v/>
      </c>
      <c r="AW245" s="66">
        <f>AM245*AC245</f>
        <v/>
      </c>
      <c r="AX245" s="66">
        <f>AN245*AD245</f>
        <v/>
      </c>
      <c r="AY245" s="66">
        <f>AO245*AE245</f>
        <v/>
      </c>
      <c r="AZ245" s="66">
        <f>INDEX(Projects[Automation Equipment],244)&amp;""</f>
        <v/>
      </c>
      <c r="BA245" s="66">
        <f>IF(OR(A245="",'Smart Search'!H13=0),"",MAX(0,BE245*BF245*MAX(0,1-BG245)))</f>
        <v/>
      </c>
      <c r="BB245" s="66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66">
        <f>IF('Smart Search'!G13=1,IFERROR(1/'Smart Search'!H13,0),0)</f>
        <v/>
      </c>
      <c r="BD245" s="66">
        <f>BB245*BC245</f>
        <v/>
      </c>
      <c r="BE245" s="66">
        <f>AP245+AQ245+AR245+AS245+AT245+AU245+AV245+AW245+AX245+AY245+BD245</f>
        <v/>
      </c>
      <c r="BF245" s="5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5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5">
        <f>IF(AND(A245&lt;&gt;"",OR('Smart Search'!$L$5="",'Smart Search'!$L$5="All",TRIM(BZ245)=TRIM('Smart Search'!$L$5)),OR(TRIM('Smart Search'!$L$6)="",TRIM('Smart Search'!$L$6)="All",ISNUMBER(SEARCH(SUBSTITUTE(SUBSTITUTE(SUBSTITUTE(TRIM('Smart Search'!$L$6),"~","~~"),"*","~*"),"?","~?"),CA245))),OR('Smart Search'!$L$7="",AND(CB245&lt;&gt;0,CB245='Smart Search'!$L$7)),OR('Smart Search'!$L$8="",'Smart Search'!$L$8="All",TRIM(CC245)=TRIM('Smart Search'!$L$8))),IF(BA245="","",BA245+ROW()*0.0000000001),"")</f>
        <v/>
      </c>
      <c r="BI245" s="5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5">
        <f>IF(A245="","",N(INDEX(Projects[Mech Inst],244)))</f>
        <v/>
      </c>
      <c r="BK245" s="5">
        <f>IF(A245="","",N(INDEX(Projects[Elec Inst],244)))</f>
        <v/>
      </c>
      <c r="BL245" s="5">
        <f>IF(A245="","",N(INDEX(Projects[Project Management],244)))</f>
        <v/>
      </c>
      <c r="BM245" s="5">
        <f>IF(A245="","",N(INDEX(Projects[Systems Eng],244)))</f>
        <v/>
      </c>
      <c r="BN245" s="5">
        <f>IF(A245="","",N(INDEX(Projects[Mechanical Eng],244)))</f>
        <v/>
      </c>
      <c r="BO245" s="5">
        <f>IF(A245="","",N(INDEX(Projects[Structural Engineering],244)))</f>
        <v/>
      </c>
      <c r="BP245" s="5">
        <f>IF(A245="","",N(INDEX(Projects[Site Sup],244)))</f>
        <v/>
      </c>
      <c r="BQ245" s="5">
        <f>IF(A245="","",N(INDEX(Projects[Controls Commissioning],244)))</f>
        <v/>
      </c>
      <c r="BR245" s="5">
        <f>IF(A245="","",N(INDEX(Projects[Systems Commissioning],244)))</f>
        <v/>
      </c>
      <c r="BS245" s="5">
        <f>IF(A245="","",N(INDEX(Projects[Service Commissioning],244)))</f>
        <v/>
      </c>
      <c r="BT245" s="5">
        <f>IF(A245="","",N(INDEX(Projects[Controls Eng],244)))</f>
        <v/>
      </c>
      <c r="BU245" s="5">
        <f>IF(A245="","",N(INDEX(Projects[Controls Purchase],244)))</f>
        <v/>
      </c>
      <c r="BV245" s="5">
        <f>IF(A245="","",N(INDEX(Projects[Software Eng],244)))</f>
        <v/>
      </c>
      <c r="BW245" s="5">
        <f>IF(A245="","",N(INDEX(Projects[Misc],244)))</f>
        <v/>
      </c>
      <c r="BX245" s="5">
        <f>IF(A245="","",SUM(BJ245:BW245))</f>
        <v/>
      </c>
      <c r="BY245" s="5">
        <f>IF(A245="","",IFERROR(IF(ISNUMBER(U245),U245,VALUE(SUBSTITUTE(SUBSTITUTE(SUBSTITUTE(UPPER(TRIM(U245)),"M",""),",","")," ",""))),0))</f>
        <v/>
      </c>
      <c r="BZ245" s="5">
        <f>INDEX(Projects[Solution Type],244)&amp;""</f>
        <v/>
      </c>
      <c r="CA245" s="5">
        <f>INDEX(Projects[Client / Region],244)&amp;""</f>
        <v/>
      </c>
      <c r="CB245" s="5">
        <f>INDEX(Projects[Year],244)</f>
        <v/>
      </c>
      <c r="CC245" s="5">
        <f>INDEX(Projects[Won?],244)&amp;""</f>
        <v/>
      </c>
      <c r="CD245" s="5">
        <f>INDEX(Projects[Value (USD M)],244)</f>
        <v/>
      </c>
    </row>
    <row r="246" ht="15" customHeight="1" s="74">
      <c r="A246" s="66">
        <f>INDEX(Projects[Project ID *],245)&amp;""</f>
        <v/>
      </c>
      <c r="B246" s="66">
        <f>INDEX(Projects[Project Name *],245)&amp;""</f>
        <v/>
      </c>
      <c r="C246" s="66">
        <f>INDEX(Projects[MS Shuttles],245)</f>
        <v/>
      </c>
      <c r="D246" s="66">
        <f>INDEX(Projects[MS Tote Locations],245)</f>
        <v/>
      </c>
      <c r="E246" s="66">
        <f>INDEX(Projects[AS Robots],245)</f>
        <v/>
      </c>
      <c r="F246" s="66">
        <f>INDEX(Projects[AS Tote Locations],245)</f>
        <v/>
      </c>
      <c r="G246" s="66">
        <f>INDEX(Projects[PS Shuttles],245)</f>
        <v/>
      </c>
      <c r="H246" s="66">
        <f>INDEX(Projects[PS Pallet Locations],245)</f>
        <v/>
      </c>
      <c r="I246" s="66">
        <f>INDEX(Projects[SRM Cranes],245)</f>
        <v/>
      </c>
      <c r="J246" s="66">
        <f>INDEX(Projects[SRM Pallet Locations],245)</f>
        <v/>
      </c>
      <c r="K246" s="66">
        <f>INDEX(Projects[Case Conv (m)],245)</f>
        <v/>
      </c>
      <c r="L246" s="66">
        <f>INDEX(Projects[Pallet Conv (m)],245)</f>
        <v/>
      </c>
      <c r="M246" s="66">
        <f>INDEX(Projects[Mech Eng (wks)],245)</f>
        <v/>
      </c>
      <c r="N246" s="66">
        <f>INDEX(Projects[Controls Eng (wks)],245)</f>
        <v/>
      </c>
      <c r="O246" s="66">
        <f>INDEX(Projects[Systems Eng (wks)],245)</f>
        <v/>
      </c>
      <c r="P246" s="66">
        <f>INDEX(Projects[Software Eng (wks)],245)</f>
        <v/>
      </c>
      <c r="Q246" s="66">
        <f>INDEX(Projects[M&amp;E Installation (wks)],245)</f>
        <v/>
      </c>
      <c r="R246" s="66">
        <f>INDEX(Projects[Commissioning (wks)],245)</f>
        <v/>
      </c>
      <c r="S246" s="66">
        <f>INDEX(Projects[Total Timeline (wks)],245)</f>
        <v/>
      </c>
      <c r="T246" s="66">
        <f>INDEX(Projects[Currency],245)&amp;""</f>
        <v/>
      </c>
      <c r="U246" s="67">
        <f>INDEX(Projects[Value (M)],245)</f>
        <v/>
      </c>
      <c r="V246" s="66">
        <f>IF('Smart Search'!B13=1,IFERROR(1/'Smart Search'!H13,0),0)</f>
        <v/>
      </c>
      <c r="W246" s="66">
        <f>IF('Smart Search'!B13=1,IFERROR(1/'Smart Search'!H13,0),0)</f>
        <v/>
      </c>
      <c r="X246" s="66">
        <f>IF('Smart Search'!C13=1,IFERROR(1/'Smart Search'!H13,0),0)</f>
        <v/>
      </c>
      <c r="Y246" s="66">
        <f>IF('Smart Search'!C13=1,IFERROR(1/'Smart Search'!H13,0),0)</f>
        <v/>
      </c>
      <c r="Z246" s="66">
        <f>IF('Smart Search'!D13=1,IFERROR(1/'Smart Search'!H13,0),0)</f>
        <v/>
      </c>
      <c r="AA246" s="66">
        <f>IF('Smart Search'!D13=1,IFERROR(1/'Smart Search'!H13,0),0)</f>
        <v/>
      </c>
      <c r="AB246" s="66">
        <f>IF('Smart Search'!E13=1,IFERROR(1/'Smart Search'!H13,0),0)</f>
        <v/>
      </c>
      <c r="AC246" s="66">
        <f>IF('Smart Search'!E13=1,IFERROR(1/'Smart Search'!H13,0),0)</f>
        <v/>
      </c>
      <c r="AD246" s="66">
        <f>IF('Smart Search'!F13=1,IFERROR(1/'Smart Search'!H13,0),0)</f>
        <v/>
      </c>
      <c r="AE246" s="66">
        <f>IF('Smart Search'!F13=1,IFERROR(1/'Smart Search'!H13,0),0)</f>
        <v/>
      </c>
      <c r="AF246" s="66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66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66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66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66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66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66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66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66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66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66">
        <f>AF246*V246</f>
        <v/>
      </c>
      <c r="AQ246" s="66">
        <f>AG246*W246</f>
        <v/>
      </c>
      <c r="AR246" s="66">
        <f>AH246*X246</f>
        <v/>
      </c>
      <c r="AS246" s="66">
        <f>AI246*Y246</f>
        <v/>
      </c>
      <c r="AT246" s="66">
        <f>AJ246*Z246</f>
        <v/>
      </c>
      <c r="AU246" s="66">
        <f>AK246*AA246</f>
        <v/>
      </c>
      <c r="AV246" s="66">
        <f>AL246*AB246</f>
        <v/>
      </c>
      <c r="AW246" s="66">
        <f>AM246*AC246</f>
        <v/>
      </c>
      <c r="AX246" s="66">
        <f>AN246*AD246</f>
        <v/>
      </c>
      <c r="AY246" s="66">
        <f>AO246*AE246</f>
        <v/>
      </c>
      <c r="AZ246" s="66">
        <f>INDEX(Projects[Automation Equipment],245)&amp;""</f>
        <v/>
      </c>
      <c r="BA246" s="66">
        <f>IF(OR(A246="",'Smart Search'!H13=0),"",MAX(0,BE246*BF246*MAX(0,1-BG246)))</f>
        <v/>
      </c>
      <c r="BB246" s="66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66">
        <f>IF('Smart Search'!G13=1,IFERROR(1/'Smart Search'!H13,0),0)</f>
        <v/>
      </c>
      <c r="BD246" s="66">
        <f>BB246*BC246</f>
        <v/>
      </c>
      <c r="BE246" s="66">
        <f>AP246+AQ246+AR246+AS246+AT246+AU246+AV246+AW246+AX246+AY246+BD246</f>
        <v/>
      </c>
      <c r="BF246" s="5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5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5">
        <f>IF(AND(A246&lt;&gt;"",OR('Smart Search'!$L$5="",'Smart Search'!$L$5="All",TRIM(BZ246)=TRIM('Smart Search'!$L$5)),OR(TRIM('Smart Search'!$L$6)="",TRIM('Smart Search'!$L$6)="All",ISNUMBER(SEARCH(SUBSTITUTE(SUBSTITUTE(SUBSTITUTE(TRIM('Smart Search'!$L$6),"~","~~"),"*","~*"),"?","~?"),CA246))),OR('Smart Search'!$L$7="",AND(CB246&lt;&gt;0,CB246='Smart Search'!$L$7)),OR('Smart Search'!$L$8="",'Smart Search'!$L$8="All",TRIM(CC246)=TRIM('Smart Search'!$L$8))),IF(BA246="","",BA246+ROW()*0.0000000001),"")</f>
        <v/>
      </c>
      <c r="BI246" s="5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5">
        <f>IF(A246="","",N(INDEX(Projects[Mech Inst],245)))</f>
        <v/>
      </c>
      <c r="BK246" s="5">
        <f>IF(A246="","",N(INDEX(Projects[Elec Inst],245)))</f>
        <v/>
      </c>
      <c r="BL246" s="5">
        <f>IF(A246="","",N(INDEX(Projects[Project Management],245)))</f>
        <v/>
      </c>
      <c r="BM246" s="5">
        <f>IF(A246="","",N(INDEX(Projects[Systems Eng],245)))</f>
        <v/>
      </c>
      <c r="BN246" s="5">
        <f>IF(A246="","",N(INDEX(Projects[Mechanical Eng],245)))</f>
        <v/>
      </c>
      <c r="BO246" s="5">
        <f>IF(A246="","",N(INDEX(Projects[Structural Engineering],245)))</f>
        <v/>
      </c>
      <c r="BP246" s="5">
        <f>IF(A246="","",N(INDEX(Projects[Site Sup],245)))</f>
        <v/>
      </c>
      <c r="BQ246" s="5">
        <f>IF(A246="","",N(INDEX(Projects[Controls Commissioning],245)))</f>
        <v/>
      </c>
      <c r="BR246" s="5">
        <f>IF(A246="","",N(INDEX(Projects[Systems Commissioning],245)))</f>
        <v/>
      </c>
      <c r="BS246" s="5">
        <f>IF(A246="","",N(INDEX(Projects[Service Commissioning],245)))</f>
        <v/>
      </c>
      <c r="BT246" s="5">
        <f>IF(A246="","",N(INDEX(Projects[Controls Eng],245)))</f>
        <v/>
      </c>
      <c r="BU246" s="5">
        <f>IF(A246="","",N(INDEX(Projects[Controls Purchase],245)))</f>
        <v/>
      </c>
      <c r="BV246" s="5">
        <f>IF(A246="","",N(INDEX(Projects[Software Eng],245)))</f>
        <v/>
      </c>
      <c r="BW246" s="5">
        <f>IF(A246="","",N(INDEX(Projects[Misc],245)))</f>
        <v/>
      </c>
      <c r="BX246" s="5">
        <f>IF(A246="","",SUM(BJ246:BW246))</f>
        <v/>
      </c>
      <c r="BY246" s="5">
        <f>IF(A246="","",IFERROR(IF(ISNUMBER(U246),U246,VALUE(SUBSTITUTE(SUBSTITUTE(SUBSTITUTE(UPPER(TRIM(U246)),"M",""),",","")," ",""))),0))</f>
        <v/>
      </c>
      <c r="BZ246" s="5">
        <f>INDEX(Projects[Solution Type],245)&amp;""</f>
        <v/>
      </c>
      <c r="CA246" s="5">
        <f>INDEX(Projects[Client / Region],245)&amp;""</f>
        <v/>
      </c>
      <c r="CB246" s="5">
        <f>INDEX(Projects[Year],245)</f>
        <v/>
      </c>
      <c r="CC246" s="5">
        <f>INDEX(Projects[Won?],245)&amp;""</f>
        <v/>
      </c>
      <c r="CD246" s="5">
        <f>INDEX(Projects[Value (USD M)],245)</f>
        <v/>
      </c>
    </row>
    <row r="247" ht="15" customHeight="1" s="74">
      <c r="A247" s="66">
        <f>INDEX(Projects[Project ID *],246)&amp;""</f>
        <v/>
      </c>
      <c r="B247" s="66">
        <f>INDEX(Projects[Project Name *],246)&amp;""</f>
        <v/>
      </c>
      <c r="C247" s="66">
        <f>INDEX(Projects[MS Shuttles],246)</f>
        <v/>
      </c>
      <c r="D247" s="66">
        <f>INDEX(Projects[MS Tote Locations],246)</f>
        <v/>
      </c>
      <c r="E247" s="66">
        <f>INDEX(Projects[AS Robots],246)</f>
        <v/>
      </c>
      <c r="F247" s="66">
        <f>INDEX(Projects[AS Tote Locations],246)</f>
        <v/>
      </c>
      <c r="G247" s="66">
        <f>INDEX(Projects[PS Shuttles],246)</f>
        <v/>
      </c>
      <c r="H247" s="66">
        <f>INDEX(Projects[PS Pallet Locations],246)</f>
        <v/>
      </c>
      <c r="I247" s="66">
        <f>INDEX(Projects[SRM Cranes],246)</f>
        <v/>
      </c>
      <c r="J247" s="66">
        <f>INDEX(Projects[SRM Pallet Locations],246)</f>
        <v/>
      </c>
      <c r="K247" s="66">
        <f>INDEX(Projects[Case Conv (m)],246)</f>
        <v/>
      </c>
      <c r="L247" s="66">
        <f>INDEX(Projects[Pallet Conv (m)],246)</f>
        <v/>
      </c>
      <c r="M247" s="66">
        <f>INDEX(Projects[Mech Eng (wks)],246)</f>
        <v/>
      </c>
      <c r="N247" s="66">
        <f>INDEX(Projects[Controls Eng (wks)],246)</f>
        <v/>
      </c>
      <c r="O247" s="66">
        <f>INDEX(Projects[Systems Eng (wks)],246)</f>
        <v/>
      </c>
      <c r="P247" s="66">
        <f>INDEX(Projects[Software Eng (wks)],246)</f>
        <v/>
      </c>
      <c r="Q247" s="66">
        <f>INDEX(Projects[M&amp;E Installation (wks)],246)</f>
        <v/>
      </c>
      <c r="R247" s="66">
        <f>INDEX(Projects[Commissioning (wks)],246)</f>
        <v/>
      </c>
      <c r="S247" s="66">
        <f>INDEX(Projects[Total Timeline (wks)],246)</f>
        <v/>
      </c>
      <c r="T247" s="66">
        <f>INDEX(Projects[Currency],246)&amp;""</f>
        <v/>
      </c>
      <c r="U247" s="67">
        <f>INDEX(Projects[Value (M)],246)</f>
        <v/>
      </c>
      <c r="V247" s="66">
        <f>IF('Smart Search'!B13=1,IFERROR(1/'Smart Search'!H13,0),0)</f>
        <v/>
      </c>
      <c r="W247" s="66">
        <f>IF('Smart Search'!B13=1,IFERROR(1/'Smart Search'!H13,0),0)</f>
        <v/>
      </c>
      <c r="X247" s="66">
        <f>IF('Smart Search'!C13=1,IFERROR(1/'Smart Search'!H13,0),0)</f>
        <v/>
      </c>
      <c r="Y247" s="66">
        <f>IF('Smart Search'!C13=1,IFERROR(1/'Smart Search'!H13,0),0)</f>
        <v/>
      </c>
      <c r="Z247" s="66">
        <f>IF('Smart Search'!D13=1,IFERROR(1/'Smart Search'!H13,0),0)</f>
        <v/>
      </c>
      <c r="AA247" s="66">
        <f>IF('Smart Search'!D13=1,IFERROR(1/'Smart Search'!H13,0),0)</f>
        <v/>
      </c>
      <c r="AB247" s="66">
        <f>IF('Smart Search'!E13=1,IFERROR(1/'Smart Search'!H13,0),0)</f>
        <v/>
      </c>
      <c r="AC247" s="66">
        <f>IF('Smart Search'!E13=1,IFERROR(1/'Smart Search'!H13,0),0)</f>
        <v/>
      </c>
      <c r="AD247" s="66">
        <f>IF('Smart Search'!F13=1,IFERROR(1/'Smart Search'!H13,0),0)</f>
        <v/>
      </c>
      <c r="AE247" s="66">
        <f>IF('Smart Search'!F13=1,IFERROR(1/'Smart Search'!H13,0),0)</f>
        <v/>
      </c>
      <c r="AF247" s="66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66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66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66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66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66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66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66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66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66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66">
        <f>AF247*V247</f>
        <v/>
      </c>
      <c r="AQ247" s="66">
        <f>AG247*W247</f>
        <v/>
      </c>
      <c r="AR247" s="66">
        <f>AH247*X247</f>
        <v/>
      </c>
      <c r="AS247" s="66">
        <f>AI247*Y247</f>
        <v/>
      </c>
      <c r="AT247" s="66">
        <f>AJ247*Z247</f>
        <v/>
      </c>
      <c r="AU247" s="66">
        <f>AK247*AA247</f>
        <v/>
      </c>
      <c r="AV247" s="66">
        <f>AL247*AB247</f>
        <v/>
      </c>
      <c r="AW247" s="66">
        <f>AM247*AC247</f>
        <v/>
      </c>
      <c r="AX247" s="66">
        <f>AN247*AD247</f>
        <v/>
      </c>
      <c r="AY247" s="66">
        <f>AO247*AE247</f>
        <v/>
      </c>
      <c r="AZ247" s="66">
        <f>INDEX(Projects[Automation Equipment],246)&amp;""</f>
        <v/>
      </c>
      <c r="BA247" s="66">
        <f>IF(OR(A247="",'Smart Search'!H13=0),"",MAX(0,BE247*BF247*MAX(0,1-BG247)))</f>
        <v/>
      </c>
      <c r="BB247" s="66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66">
        <f>IF('Smart Search'!G13=1,IFERROR(1/'Smart Search'!H13,0),0)</f>
        <v/>
      </c>
      <c r="BD247" s="66">
        <f>BB247*BC247</f>
        <v/>
      </c>
      <c r="BE247" s="66">
        <f>AP247+AQ247+AR247+AS247+AT247+AU247+AV247+AW247+AX247+AY247+BD247</f>
        <v/>
      </c>
      <c r="BF247" s="5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5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5">
        <f>IF(AND(A247&lt;&gt;"",OR('Smart Search'!$L$5="",'Smart Search'!$L$5="All",TRIM(BZ247)=TRIM('Smart Search'!$L$5)),OR(TRIM('Smart Search'!$L$6)="",TRIM('Smart Search'!$L$6)="All",ISNUMBER(SEARCH(SUBSTITUTE(SUBSTITUTE(SUBSTITUTE(TRIM('Smart Search'!$L$6),"~","~~"),"*","~*"),"?","~?"),CA247))),OR('Smart Search'!$L$7="",AND(CB247&lt;&gt;0,CB247='Smart Search'!$L$7)),OR('Smart Search'!$L$8="",'Smart Search'!$L$8="All",TRIM(CC247)=TRIM('Smart Search'!$L$8))),IF(BA247="","",BA247+ROW()*0.0000000001),"")</f>
        <v/>
      </c>
      <c r="BI247" s="5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5">
        <f>IF(A247="","",N(INDEX(Projects[Mech Inst],246)))</f>
        <v/>
      </c>
      <c r="BK247" s="5">
        <f>IF(A247="","",N(INDEX(Projects[Elec Inst],246)))</f>
        <v/>
      </c>
      <c r="BL247" s="5">
        <f>IF(A247="","",N(INDEX(Projects[Project Management],246)))</f>
        <v/>
      </c>
      <c r="BM247" s="5">
        <f>IF(A247="","",N(INDEX(Projects[Systems Eng],246)))</f>
        <v/>
      </c>
      <c r="BN247" s="5">
        <f>IF(A247="","",N(INDEX(Projects[Mechanical Eng],246)))</f>
        <v/>
      </c>
      <c r="BO247" s="5">
        <f>IF(A247="","",N(INDEX(Projects[Structural Engineering],246)))</f>
        <v/>
      </c>
      <c r="BP247" s="5">
        <f>IF(A247="","",N(INDEX(Projects[Site Sup],246)))</f>
        <v/>
      </c>
      <c r="BQ247" s="5">
        <f>IF(A247="","",N(INDEX(Projects[Controls Commissioning],246)))</f>
        <v/>
      </c>
      <c r="BR247" s="5">
        <f>IF(A247="","",N(INDEX(Projects[Systems Commissioning],246)))</f>
        <v/>
      </c>
      <c r="BS247" s="5">
        <f>IF(A247="","",N(INDEX(Projects[Service Commissioning],246)))</f>
        <v/>
      </c>
      <c r="BT247" s="5">
        <f>IF(A247="","",N(INDEX(Projects[Controls Eng],246)))</f>
        <v/>
      </c>
      <c r="BU247" s="5">
        <f>IF(A247="","",N(INDEX(Projects[Controls Purchase],246)))</f>
        <v/>
      </c>
      <c r="BV247" s="5">
        <f>IF(A247="","",N(INDEX(Projects[Software Eng],246)))</f>
        <v/>
      </c>
      <c r="BW247" s="5">
        <f>IF(A247="","",N(INDEX(Projects[Misc],246)))</f>
        <v/>
      </c>
      <c r="BX247" s="5">
        <f>IF(A247="","",SUM(BJ247:BW247))</f>
        <v/>
      </c>
      <c r="BY247" s="5">
        <f>IF(A247="","",IFERROR(IF(ISNUMBER(U247),U247,VALUE(SUBSTITUTE(SUBSTITUTE(SUBSTITUTE(UPPER(TRIM(U247)),"M",""),",","")," ",""))),0))</f>
        <v/>
      </c>
      <c r="BZ247" s="5">
        <f>INDEX(Projects[Solution Type],246)&amp;""</f>
        <v/>
      </c>
      <c r="CA247" s="5">
        <f>INDEX(Projects[Client / Region],246)&amp;""</f>
        <v/>
      </c>
      <c r="CB247" s="5">
        <f>INDEX(Projects[Year],246)</f>
        <v/>
      </c>
      <c r="CC247" s="5">
        <f>INDEX(Projects[Won?],246)&amp;""</f>
        <v/>
      </c>
      <c r="CD247" s="5">
        <f>INDEX(Projects[Value (USD M)],246)</f>
        <v/>
      </c>
    </row>
    <row r="248" ht="15" customHeight="1" s="74">
      <c r="A248" s="66">
        <f>INDEX(Projects[Project ID *],247)&amp;""</f>
        <v/>
      </c>
      <c r="B248" s="66">
        <f>INDEX(Projects[Project Name *],247)&amp;""</f>
        <v/>
      </c>
      <c r="C248" s="66">
        <f>INDEX(Projects[MS Shuttles],247)</f>
        <v/>
      </c>
      <c r="D248" s="66">
        <f>INDEX(Projects[MS Tote Locations],247)</f>
        <v/>
      </c>
      <c r="E248" s="66">
        <f>INDEX(Projects[AS Robots],247)</f>
        <v/>
      </c>
      <c r="F248" s="66">
        <f>INDEX(Projects[AS Tote Locations],247)</f>
        <v/>
      </c>
      <c r="G248" s="66">
        <f>INDEX(Projects[PS Shuttles],247)</f>
        <v/>
      </c>
      <c r="H248" s="66">
        <f>INDEX(Projects[PS Pallet Locations],247)</f>
        <v/>
      </c>
      <c r="I248" s="66">
        <f>INDEX(Projects[SRM Cranes],247)</f>
        <v/>
      </c>
      <c r="J248" s="66">
        <f>INDEX(Projects[SRM Pallet Locations],247)</f>
        <v/>
      </c>
      <c r="K248" s="66">
        <f>INDEX(Projects[Case Conv (m)],247)</f>
        <v/>
      </c>
      <c r="L248" s="66">
        <f>INDEX(Projects[Pallet Conv (m)],247)</f>
        <v/>
      </c>
      <c r="M248" s="66">
        <f>INDEX(Projects[Mech Eng (wks)],247)</f>
        <v/>
      </c>
      <c r="N248" s="66">
        <f>INDEX(Projects[Controls Eng (wks)],247)</f>
        <v/>
      </c>
      <c r="O248" s="66">
        <f>INDEX(Projects[Systems Eng (wks)],247)</f>
        <v/>
      </c>
      <c r="P248" s="66">
        <f>INDEX(Projects[Software Eng (wks)],247)</f>
        <v/>
      </c>
      <c r="Q248" s="66">
        <f>INDEX(Projects[M&amp;E Installation (wks)],247)</f>
        <v/>
      </c>
      <c r="R248" s="66">
        <f>INDEX(Projects[Commissioning (wks)],247)</f>
        <v/>
      </c>
      <c r="S248" s="66">
        <f>INDEX(Projects[Total Timeline (wks)],247)</f>
        <v/>
      </c>
      <c r="T248" s="66">
        <f>INDEX(Projects[Currency],247)&amp;""</f>
        <v/>
      </c>
      <c r="U248" s="67">
        <f>INDEX(Projects[Value (M)],247)</f>
        <v/>
      </c>
      <c r="V248" s="66">
        <f>IF('Smart Search'!B13=1,IFERROR(1/'Smart Search'!H13,0),0)</f>
        <v/>
      </c>
      <c r="W248" s="66">
        <f>IF('Smart Search'!B13=1,IFERROR(1/'Smart Search'!H13,0),0)</f>
        <v/>
      </c>
      <c r="X248" s="66">
        <f>IF('Smart Search'!C13=1,IFERROR(1/'Smart Search'!H13,0),0)</f>
        <v/>
      </c>
      <c r="Y248" s="66">
        <f>IF('Smart Search'!C13=1,IFERROR(1/'Smart Search'!H13,0),0)</f>
        <v/>
      </c>
      <c r="Z248" s="66">
        <f>IF('Smart Search'!D13=1,IFERROR(1/'Smart Search'!H13,0),0)</f>
        <v/>
      </c>
      <c r="AA248" s="66">
        <f>IF('Smart Search'!D13=1,IFERROR(1/'Smart Search'!H13,0),0)</f>
        <v/>
      </c>
      <c r="AB248" s="66">
        <f>IF('Smart Search'!E13=1,IFERROR(1/'Smart Search'!H13,0),0)</f>
        <v/>
      </c>
      <c r="AC248" s="66">
        <f>IF('Smart Search'!E13=1,IFERROR(1/'Smart Search'!H13,0),0)</f>
        <v/>
      </c>
      <c r="AD248" s="66">
        <f>IF('Smart Search'!F13=1,IFERROR(1/'Smart Search'!H13,0),0)</f>
        <v/>
      </c>
      <c r="AE248" s="66">
        <f>IF('Smart Search'!F13=1,IFERROR(1/'Smart Search'!H13,0),0)</f>
        <v/>
      </c>
      <c r="AF248" s="66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66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66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66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66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66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66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66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66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66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66">
        <f>AF248*V248</f>
        <v/>
      </c>
      <c r="AQ248" s="66">
        <f>AG248*W248</f>
        <v/>
      </c>
      <c r="AR248" s="66">
        <f>AH248*X248</f>
        <v/>
      </c>
      <c r="AS248" s="66">
        <f>AI248*Y248</f>
        <v/>
      </c>
      <c r="AT248" s="66">
        <f>AJ248*Z248</f>
        <v/>
      </c>
      <c r="AU248" s="66">
        <f>AK248*AA248</f>
        <v/>
      </c>
      <c r="AV248" s="66">
        <f>AL248*AB248</f>
        <v/>
      </c>
      <c r="AW248" s="66">
        <f>AM248*AC248</f>
        <v/>
      </c>
      <c r="AX248" s="66">
        <f>AN248*AD248</f>
        <v/>
      </c>
      <c r="AY248" s="66">
        <f>AO248*AE248</f>
        <v/>
      </c>
      <c r="AZ248" s="66">
        <f>INDEX(Projects[Automation Equipment],247)&amp;""</f>
        <v/>
      </c>
      <c r="BA248" s="66">
        <f>IF(OR(A248="",'Smart Search'!H13=0),"",MAX(0,BE248*BF248*MAX(0,1-BG248)))</f>
        <v/>
      </c>
      <c r="BB248" s="66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66">
        <f>IF('Smart Search'!G13=1,IFERROR(1/'Smart Search'!H13,0),0)</f>
        <v/>
      </c>
      <c r="BD248" s="66">
        <f>BB248*BC248</f>
        <v/>
      </c>
      <c r="BE248" s="66">
        <f>AP248+AQ248+AR248+AS248+AT248+AU248+AV248+AW248+AX248+AY248+BD248</f>
        <v/>
      </c>
      <c r="BF248" s="5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5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5">
        <f>IF(AND(A248&lt;&gt;"",OR('Smart Search'!$L$5="",'Smart Search'!$L$5="All",TRIM(BZ248)=TRIM('Smart Search'!$L$5)),OR(TRIM('Smart Search'!$L$6)="",TRIM('Smart Search'!$L$6)="All",ISNUMBER(SEARCH(SUBSTITUTE(SUBSTITUTE(SUBSTITUTE(TRIM('Smart Search'!$L$6),"~","~~"),"*","~*"),"?","~?"),CA248))),OR('Smart Search'!$L$7="",AND(CB248&lt;&gt;0,CB248='Smart Search'!$L$7)),OR('Smart Search'!$L$8="",'Smart Search'!$L$8="All",TRIM(CC248)=TRIM('Smart Search'!$L$8))),IF(BA248="","",BA248+ROW()*0.0000000001),"")</f>
        <v/>
      </c>
      <c r="BI248" s="5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5">
        <f>IF(A248="","",N(INDEX(Projects[Mech Inst],247)))</f>
        <v/>
      </c>
      <c r="BK248" s="5">
        <f>IF(A248="","",N(INDEX(Projects[Elec Inst],247)))</f>
        <v/>
      </c>
      <c r="BL248" s="5">
        <f>IF(A248="","",N(INDEX(Projects[Project Management],247)))</f>
        <v/>
      </c>
      <c r="BM248" s="5">
        <f>IF(A248="","",N(INDEX(Projects[Systems Eng],247)))</f>
        <v/>
      </c>
      <c r="BN248" s="5">
        <f>IF(A248="","",N(INDEX(Projects[Mechanical Eng],247)))</f>
        <v/>
      </c>
      <c r="BO248" s="5">
        <f>IF(A248="","",N(INDEX(Projects[Structural Engineering],247)))</f>
        <v/>
      </c>
      <c r="BP248" s="5">
        <f>IF(A248="","",N(INDEX(Projects[Site Sup],247)))</f>
        <v/>
      </c>
      <c r="BQ248" s="5">
        <f>IF(A248="","",N(INDEX(Projects[Controls Commissioning],247)))</f>
        <v/>
      </c>
      <c r="BR248" s="5">
        <f>IF(A248="","",N(INDEX(Projects[Systems Commissioning],247)))</f>
        <v/>
      </c>
      <c r="BS248" s="5">
        <f>IF(A248="","",N(INDEX(Projects[Service Commissioning],247)))</f>
        <v/>
      </c>
      <c r="BT248" s="5">
        <f>IF(A248="","",N(INDEX(Projects[Controls Eng],247)))</f>
        <v/>
      </c>
      <c r="BU248" s="5">
        <f>IF(A248="","",N(INDEX(Projects[Controls Purchase],247)))</f>
        <v/>
      </c>
      <c r="BV248" s="5">
        <f>IF(A248="","",N(INDEX(Projects[Software Eng],247)))</f>
        <v/>
      </c>
      <c r="BW248" s="5">
        <f>IF(A248="","",N(INDEX(Projects[Misc],247)))</f>
        <v/>
      </c>
      <c r="BX248" s="5">
        <f>IF(A248="","",SUM(BJ248:BW248))</f>
        <v/>
      </c>
      <c r="BY248" s="5">
        <f>IF(A248="","",IFERROR(IF(ISNUMBER(U248),U248,VALUE(SUBSTITUTE(SUBSTITUTE(SUBSTITUTE(UPPER(TRIM(U248)),"M",""),",","")," ",""))),0))</f>
        <v/>
      </c>
      <c r="BZ248" s="5">
        <f>INDEX(Projects[Solution Type],247)&amp;""</f>
        <v/>
      </c>
      <c r="CA248" s="5">
        <f>INDEX(Projects[Client / Region],247)&amp;""</f>
        <v/>
      </c>
      <c r="CB248" s="5">
        <f>INDEX(Projects[Year],247)</f>
        <v/>
      </c>
      <c r="CC248" s="5">
        <f>INDEX(Projects[Won?],247)&amp;""</f>
        <v/>
      </c>
      <c r="CD248" s="5">
        <f>INDEX(Projects[Value (USD M)],247)</f>
        <v/>
      </c>
    </row>
    <row r="249" ht="15" customHeight="1" s="74">
      <c r="A249" s="66">
        <f>INDEX(Projects[Project ID *],248)&amp;""</f>
        <v/>
      </c>
      <c r="B249" s="66">
        <f>INDEX(Projects[Project Name *],248)&amp;""</f>
        <v/>
      </c>
      <c r="C249" s="66">
        <f>INDEX(Projects[MS Shuttles],248)</f>
        <v/>
      </c>
      <c r="D249" s="66">
        <f>INDEX(Projects[MS Tote Locations],248)</f>
        <v/>
      </c>
      <c r="E249" s="66">
        <f>INDEX(Projects[AS Robots],248)</f>
        <v/>
      </c>
      <c r="F249" s="66">
        <f>INDEX(Projects[AS Tote Locations],248)</f>
        <v/>
      </c>
      <c r="G249" s="66">
        <f>INDEX(Projects[PS Shuttles],248)</f>
        <v/>
      </c>
      <c r="H249" s="66">
        <f>INDEX(Projects[PS Pallet Locations],248)</f>
        <v/>
      </c>
      <c r="I249" s="66">
        <f>INDEX(Projects[SRM Cranes],248)</f>
        <v/>
      </c>
      <c r="J249" s="66">
        <f>INDEX(Projects[SRM Pallet Locations],248)</f>
        <v/>
      </c>
      <c r="K249" s="66">
        <f>INDEX(Projects[Case Conv (m)],248)</f>
        <v/>
      </c>
      <c r="L249" s="66">
        <f>INDEX(Projects[Pallet Conv (m)],248)</f>
        <v/>
      </c>
      <c r="M249" s="66">
        <f>INDEX(Projects[Mech Eng (wks)],248)</f>
        <v/>
      </c>
      <c r="N249" s="66">
        <f>INDEX(Projects[Controls Eng (wks)],248)</f>
        <v/>
      </c>
      <c r="O249" s="66">
        <f>INDEX(Projects[Systems Eng (wks)],248)</f>
        <v/>
      </c>
      <c r="P249" s="66">
        <f>INDEX(Projects[Software Eng (wks)],248)</f>
        <v/>
      </c>
      <c r="Q249" s="66">
        <f>INDEX(Projects[M&amp;E Installation (wks)],248)</f>
        <v/>
      </c>
      <c r="R249" s="66">
        <f>INDEX(Projects[Commissioning (wks)],248)</f>
        <v/>
      </c>
      <c r="S249" s="66">
        <f>INDEX(Projects[Total Timeline (wks)],248)</f>
        <v/>
      </c>
      <c r="T249" s="66">
        <f>INDEX(Projects[Currency],248)&amp;""</f>
        <v/>
      </c>
      <c r="U249" s="67">
        <f>INDEX(Projects[Value (M)],248)</f>
        <v/>
      </c>
      <c r="V249" s="66">
        <f>IF('Smart Search'!B13=1,IFERROR(1/'Smart Search'!H13,0),0)</f>
        <v/>
      </c>
      <c r="W249" s="66">
        <f>IF('Smart Search'!B13=1,IFERROR(1/'Smart Search'!H13,0),0)</f>
        <v/>
      </c>
      <c r="X249" s="66">
        <f>IF('Smart Search'!C13=1,IFERROR(1/'Smart Search'!H13,0),0)</f>
        <v/>
      </c>
      <c r="Y249" s="66">
        <f>IF('Smart Search'!C13=1,IFERROR(1/'Smart Search'!H13,0),0)</f>
        <v/>
      </c>
      <c r="Z249" s="66">
        <f>IF('Smart Search'!D13=1,IFERROR(1/'Smart Search'!H13,0),0)</f>
        <v/>
      </c>
      <c r="AA249" s="66">
        <f>IF('Smart Search'!D13=1,IFERROR(1/'Smart Search'!H13,0),0)</f>
        <v/>
      </c>
      <c r="AB249" s="66">
        <f>IF('Smart Search'!E13=1,IFERROR(1/'Smart Search'!H13,0),0)</f>
        <v/>
      </c>
      <c r="AC249" s="66">
        <f>IF('Smart Search'!E13=1,IFERROR(1/'Smart Search'!H13,0),0)</f>
        <v/>
      </c>
      <c r="AD249" s="66">
        <f>IF('Smart Search'!F13=1,IFERROR(1/'Smart Search'!H13,0),0)</f>
        <v/>
      </c>
      <c r="AE249" s="66">
        <f>IF('Smart Search'!F13=1,IFERROR(1/'Smart Search'!H13,0),0)</f>
        <v/>
      </c>
      <c r="AF249" s="66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66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66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66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66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66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66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66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66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66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66">
        <f>AF249*V249</f>
        <v/>
      </c>
      <c r="AQ249" s="66">
        <f>AG249*W249</f>
        <v/>
      </c>
      <c r="AR249" s="66">
        <f>AH249*X249</f>
        <v/>
      </c>
      <c r="AS249" s="66">
        <f>AI249*Y249</f>
        <v/>
      </c>
      <c r="AT249" s="66">
        <f>AJ249*Z249</f>
        <v/>
      </c>
      <c r="AU249" s="66">
        <f>AK249*AA249</f>
        <v/>
      </c>
      <c r="AV249" s="66">
        <f>AL249*AB249</f>
        <v/>
      </c>
      <c r="AW249" s="66">
        <f>AM249*AC249</f>
        <v/>
      </c>
      <c r="AX249" s="66">
        <f>AN249*AD249</f>
        <v/>
      </c>
      <c r="AY249" s="66">
        <f>AO249*AE249</f>
        <v/>
      </c>
      <c r="AZ249" s="66">
        <f>INDEX(Projects[Automation Equipment],248)&amp;""</f>
        <v/>
      </c>
      <c r="BA249" s="66">
        <f>IF(OR(A249="",'Smart Search'!H13=0),"",MAX(0,BE249*BF249*MAX(0,1-BG249)))</f>
        <v/>
      </c>
      <c r="BB249" s="66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66">
        <f>IF('Smart Search'!G13=1,IFERROR(1/'Smart Search'!H13,0),0)</f>
        <v/>
      </c>
      <c r="BD249" s="66">
        <f>BB249*BC249</f>
        <v/>
      </c>
      <c r="BE249" s="66">
        <f>AP249+AQ249+AR249+AS249+AT249+AU249+AV249+AW249+AX249+AY249+BD249</f>
        <v/>
      </c>
      <c r="BF249" s="5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5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5">
        <f>IF(AND(A249&lt;&gt;"",OR('Smart Search'!$L$5="",'Smart Search'!$L$5="All",TRIM(BZ249)=TRIM('Smart Search'!$L$5)),OR(TRIM('Smart Search'!$L$6)="",TRIM('Smart Search'!$L$6)="All",ISNUMBER(SEARCH(SUBSTITUTE(SUBSTITUTE(SUBSTITUTE(TRIM('Smart Search'!$L$6),"~","~~"),"*","~*"),"?","~?"),CA249))),OR('Smart Search'!$L$7="",AND(CB249&lt;&gt;0,CB249='Smart Search'!$L$7)),OR('Smart Search'!$L$8="",'Smart Search'!$L$8="All",TRIM(CC249)=TRIM('Smart Search'!$L$8))),IF(BA249="","",BA249+ROW()*0.0000000001),"")</f>
        <v/>
      </c>
      <c r="BI249" s="5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5">
        <f>IF(A249="","",N(INDEX(Projects[Mech Inst],248)))</f>
        <v/>
      </c>
      <c r="BK249" s="5">
        <f>IF(A249="","",N(INDEX(Projects[Elec Inst],248)))</f>
        <v/>
      </c>
      <c r="BL249" s="5">
        <f>IF(A249="","",N(INDEX(Projects[Project Management],248)))</f>
        <v/>
      </c>
      <c r="BM249" s="5">
        <f>IF(A249="","",N(INDEX(Projects[Systems Eng],248)))</f>
        <v/>
      </c>
      <c r="BN249" s="5">
        <f>IF(A249="","",N(INDEX(Projects[Mechanical Eng],248)))</f>
        <v/>
      </c>
      <c r="BO249" s="5">
        <f>IF(A249="","",N(INDEX(Projects[Structural Engineering],248)))</f>
        <v/>
      </c>
      <c r="BP249" s="5">
        <f>IF(A249="","",N(INDEX(Projects[Site Sup],248)))</f>
        <v/>
      </c>
      <c r="BQ249" s="5">
        <f>IF(A249="","",N(INDEX(Projects[Controls Commissioning],248)))</f>
        <v/>
      </c>
      <c r="BR249" s="5">
        <f>IF(A249="","",N(INDEX(Projects[Systems Commissioning],248)))</f>
        <v/>
      </c>
      <c r="BS249" s="5">
        <f>IF(A249="","",N(INDEX(Projects[Service Commissioning],248)))</f>
        <v/>
      </c>
      <c r="BT249" s="5">
        <f>IF(A249="","",N(INDEX(Projects[Controls Eng],248)))</f>
        <v/>
      </c>
      <c r="BU249" s="5">
        <f>IF(A249="","",N(INDEX(Projects[Controls Purchase],248)))</f>
        <v/>
      </c>
      <c r="BV249" s="5">
        <f>IF(A249="","",N(INDEX(Projects[Software Eng],248)))</f>
        <v/>
      </c>
      <c r="BW249" s="5">
        <f>IF(A249="","",N(INDEX(Projects[Misc],248)))</f>
        <v/>
      </c>
      <c r="BX249" s="5">
        <f>IF(A249="","",SUM(BJ249:BW249))</f>
        <v/>
      </c>
      <c r="BY249" s="5">
        <f>IF(A249="","",IFERROR(IF(ISNUMBER(U249),U249,VALUE(SUBSTITUTE(SUBSTITUTE(SUBSTITUTE(UPPER(TRIM(U249)),"M",""),",","")," ",""))),0))</f>
        <v/>
      </c>
      <c r="BZ249" s="5">
        <f>INDEX(Projects[Solution Type],248)&amp;""</f>
        <v/>
      </c>
      <c r="CA249" s="5">
        <f>INDEX(Projects[Client / Region],248)&amp;""</f>
        <v/>
      </c>
      <c r="CB249" s="5">
        <f>INDEX(Projects[Year],248)</f>
        <v/>
      </c>
      <c r="CC249" s="5">
        <f>INDEX(Projects[Won?],248)&amp;""</f>
        <v/>
      </c>
      <c r="CD249" s="5">
        <f>INDEX(Projects[Value (USD M)],248)</f>
        <v/>
      </c>
    </row>
    <row r="250" ht="15" customHeight="1" s="74">
      <c r="A250" s="66">
        <f>INDEX(Projects[Project ID *],249)&amp;""</f>
        <v/>
      </c>
      <c r="B250" s="66">
        <f>INDEX(Projects[Project Name *],249)&amp;""</f>
        <v/>
      </c>
      <c r="C250" s="66">
        <f>INDEX(Projects[MS Shuttles],249)</f>
        <v/>
      </c>
      <c r="D250" s="66">
        <f>INDEX(Projects[MS Tote Locations],249)</f>
        <v/>
      </c>
      <c r="E250" s="66">
        <f>INDEX(Projects[AS Robots],249)</f>
        <v/>
      </c>
      <c r="F250" s="66">
        <f>INDEX(Projects[AS Tote Locations],249)</f>
        <v/>
      </c>
      <c r="G250" s="66">
        <f>INDEX(Projects[PS Shuttles],249)</f>
        <v/>
      </c>
      <c r="H250" s="66">
        <f>INDEX(Projects[PS Pallet Locations],249)</f>
        <v/>
      </c>
      <c r="I250" s="66">
        <f>INDEX(Projects[SRM Cranes],249)</f>
        <v/>
      </c>
      <c r="J250" s="66">
        <f>INDEX(Projects[SRM Pallet Locations],249)</f>
        <v/>
      </c>
      <c r="K250" s="66">
        <f>INDEX(Projects[Case Conv (m)],249)</f>
        <v/>
      </c>
      <c r="L250" s="66">
        <f>INDEX(Projects[Pallet Conv (m)],249)</f>
        <v/>
      </c>
      <c r="M250" s="66">
        <f>INDEX(Projects[Mech Eng (wks)],249)</f>
        <v/>
      </c>
      <c r="N250" s="66">
        <f>INDEX(Projects[Controls Eng (wks)],249)</f>
        <v/>
      </c>
      <c r="O250" s="66">
        <f>INDEX(Projects[Systems Eng (wks)],249)</f>
        <v/>
      </c>
      <c r="P250" s="66">
        <f>INDEX(Projects[Software Eng (wks)],249)</f>
        <v/>
      </c>
      <c r="Q250" s="66">
        <f>INDEX(Projects[M&amp;E Installation (wks)],249)</f>
        <v/>
      </c>
      <c r="R250" s="66">
        <f>INDEX(Projects[Commissioning (wks)],249)</f>
        <v/>
      </c>
      <c r="S250" s="66">
        <f>INDEX(Projects[Total Timeline (wks)],249)</f>
        <v/>
      </c>
      <c r="T250" s="66">
        <f>INDEX(Projects[Currency],249)&amp;""</f>
        <v/>
      </c>
      <c r="U250" s="67">
        <f>INDEX(Projects[Value (M)],249)</f>
        <v/>
      </c>
      <c r="V250" s="66">
        <f>IF('Smart Search'!B13=1,IFERROR(1/'Smart Search'!H13,0),0)</f>
        <v/>
      </c>
      <c r="W250" s="66">
        <f>IF('Smart Search'!B13=1,IFERROR(1/'Smart Search'!H13,0),0)</f>
        <v/>
      </c>
      <c r="X250" s="66">
        <f>IF('Smart Search'!C13=1,IFERROR(1/'Smart Search'!H13,0),0)</f>
        <v/>
      </c>
      <c r="Y250" s="66">
        <f>IF('Smart Search'!C13=1,IFERROR(1/'Smart Search'!H13,0),0)</f>
        <v/>
      </c>
      <c r="Z250" s="66">
        <f>IF('Smart Search'!D13=1,IFERROR(1/'Smart Search'!H13,0),0)</f>
        <v/>
      </c>
      <c r="AA250" s="66">
        <f>IF('Smart Search'!D13=1,IFERROR(1/'Smart Search'!H13,0),0)</f>
        <v/>
      </c>
      <c r="AB250" s="66">
        <f>IF('Smart Search'!E13=1,IFERROR(1/'Smart Search'!H13,0),0)</f>
        <v/>
      </c>
      <c r="AC250" s="66">
        <f>IF('Smart Search'!E13=1,IFERROR(1/'Smart Search'!H13,0),0)</f>
        <v/>
      </c>
      <c r="AD250" s="66">
        <f>IF('Smart Search'!F13=1,IFERROR(1/'Smart Search'!H13,0),0)</f>
        <v/>
      </c>
      <c r="AE250" s="66">
        <f>IF('Smart Search'!F13=1,IFERROR(1/'Smart Search'!H13,0),0)</f>
        <v/>
      </c>
      <c r="AF250" s="66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66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66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66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66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66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66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66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66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66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66">
        <f>AF250*V250</f>
        <v/>
      </c>
      <c r="AQ250" s="66">
        <f>AG250*W250</f>
        <v/>
      </c>
      <c r="AR250" s="66">
        <f>AH250*X250</f>
        <v/>
      </c>
      <c r="AS250" s="66">
        <f>AI250*Y250</f>
        <v/>
      </c>
      <c r="AT250" s="66">
        <f>AJ250*Z250</f>
        <v/>
      </c>
      <c r="AU250" s="66">
        <f>AK250*AA250</f>
        <v/>
      </c>
      <c r="AV250" s="66">
        <f>AL250*AB250</f>
        <v/>
      </c>
      <c r="AW250" s="66">
        <f>AM250*AC250</f>
        <v/>
      </c>
      <c r="AX250" s="66">
        <f>AN250*AD250</f>
        <v/>
      </c>
      <c r="AY250" s="66">
        <f>AO250*AE250</f>
        <v/>
      </c>
      <c r="AZ250" s="66">
        <f>INDEX(Projects[Automation Equipment],249)&amp;""</f>
        <v/>
      </c>
      <c r="BA250" s="66">
        <f>IF(OR(A250="",'Smart Search'!H13=0),"",MAX(0,BE250*BF250*MAX(0,1-BG250)))</f>
        <v/>
      </c>
      <c r="BB250" s="66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66">
        <f>IF('Smart Search'!G13=1,IFERROR(1/'Smart Search'!H13,0),0)</f>
        <v/>
      </c>
      <c r="BD250" s="66">
        <f>BB250*BC250</f>
        <v/>
      </c>
      <c r="BE250" s="66">
        <f>AP250+AQ250+AR250+AS250+AT250+AU250+AV250+AW250+AX250+AY250+BD250</f>
        <v/>
      </c>
      <c r="BF250" s="5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5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5">
        <f>IF(AND(A250&lt;&gt;"",OR('Smart Search'!$L$5="",'Smart Search'!$L$5="All",TRIM(BZ250)=TRIM('Smart Search'!$L$5)),OR(TRIM('Smart Search'!$L$6)="",TRIM('Smart Search'!$L$6)="All",ISNUMBER(SEARCH(SUBSTITUTE(SUBSTITUTE(SUBSTITUTE(TRIM('Smart Search'!$L$6),"~","~~"),"*","~*"),"?","~?"),CA250))),OR('Smart Search'!$L$7="",AND(CB250&lt;&gt;0,CB250='Smart Search'!$L$7)),OR('Smart Search'!$L$8="",'Smart Search'!$L$8="All",TRIM(CC250)=TRIM('Smart Search'!$L$8))),IF(BA250="","",BA250+ROW()*0.0000000001),"")</f>
        <v/>
      </c>
      <c r="BI250" s="5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5">
        <f>IF(A250="","",N(INDEX(Projects[Mech Inst],249)))</f>
        <v/>
      </c>
      <c r="BK250" s="5">
        <f>IF(A250="","",N(INDEX(Projects[Elec Inst],249)))</f>
        <v/>
      </c>
      <c r="BL250" s="5">
        <f>IF(A250="","",N(INDEX(Projects[Project Management],249)))</f>
        <v/>
      </c>
      <c r="BM250" s="5">
        <f>IF(A250="","",N(INDEX(Projects[Systems Eng],249)))</f>
        <v/>
      </c>
      <c r="BN250" s="5">
        <f>IF(A250="","",N(INDEX(Projects[Mechanical Eng],249)))</f>
        <v/>
      </c>
      <c r="BO250" s="5">
        <f>IF(A250="","",N(INDEX(Projects[Structural Engineering],249)))</f>
        <v/>
      </c>
      <c r="BP250" s="5">
        <f>IF(A250="","",N(INDEX(Projects[Site Sup],249)))</f>
        <v/>
      </c>
      <c r="BQ250" s="5">
        <f>IF(A250="","",N(INDEX(Projects[Controls Commissioning],249)))</f>
        <v/>
      </c>
      <c r="BR250" s="5">
        <f>IF(A250="","",N(INDEX(Projects[Systems Commissioning],249)))</f>
        <v/>
      </c>
      <c r="BS250" s="5">
        <f>IF(A250="","",N(INDEX(Projects[Service Commissioning],249)))</f>
        <v/>
      </c>
      <c r="BT250" s="5">
        <f>IF(A250="","",N(INDEX(Projects[Controls Eng],249)))</f>
        <v/>
      </c>
      <c r="BU250" s="5">
        <f>IF(A250="","",N(INDEX(Projects[Controls Purchase],249)))</f>
        <v/>
      </c>
      <c r="BV250" s="5">
        <f>IF(A250="","",N(INDEX(Projects[Software Eng],249)))</f>
        <v/>
      </c>
      <c r="BW250" s="5">
        <f>IF(A250="","",N(INDEX(Projects[Misc],249)))</f>
        <v/>
      </c>
      <c r="BX250" s="5">
        <f>IF(A250="","",SUM(BJ250:BW250))</f>
        <v/>
      </c>
      <c r="BY250" s="5">
        <f>IF(A250="","",IFERROR(IF(ISNUMBER(U250),U250,VALUE(SUBSTITUTE(SUBSTITUTE(SUBSTITUTE(UPPER(TRIM(U250)),"M",""),",","")," ",""))),0))</f>
        <v/>
      </c>
      <c r="BZ250" s="5">
        <f>INDEX(Projects[Solution Type],249)&amp;""</f>
        <v/>
      </c>
      <c r="CA250" s="5">
        <f>INDEX(Projects[Client / Region],249)&amp;""</f>
        <v/>
      </c>
      <c r="CB250" s="5">
        <f>INDEX(Projects[Year],249)</f>
        <v/>
      </c>
      <c r="CC250" s="5">
        <f>INDEX(Projects[Won?],249)&amp;""</f>
        <v/>
      </c>
      <c r="CD250" s="5">
        <f>INDEX(Projects[Value (USD M)],249)</f>
        <v/>
      </c>
    </row>
    <row r="251" ht="15" customHeight="1" s="74">
      <c r="A251" s="66">
        <f>INDEX(Projects[Project ID *],250)&amp;""</f>
        <v/>
      </c>
      <c r="B251" s="66">
        <f>INDEX(Projects[Project Name *],250)&amp;""</f>
        <v/>
      </c>
      <c r="C251" s="66">
        <f>INDEX(Projects[MS Shuttles],250)</f>
        <v/>
      </c>
      <c r="D251" s="66">
        <f>INDEX(Projects[MS Tote Locations],250)</f>
        <v/>
      </c>
      <c r="E251" s="66">
        <f>INDEX(Projects[AS Robots],250)</f>
        <v/>
      </c>
      <c r="F251" s="66">
        <f>INDEX(Projects[AS Tote Locations],250)</f>
        <v/>
      </c>
      <c r="G251" s="66">
        <f>INDEX(Projects[PS Shuttles],250)</f>
        <v/>
      </c>
      <c r="H251" s="66">
        <f>INDEX(Projects[PS Pallet Locations],250)</f>
        <v/>
      </c>
      <c r="I251" s="66">
        <f>INDEX(Projects[SRM Cranes],250)</f>
        <v/>
      </c>
      <c r="J251" s="66">
        <f>INDEX(Projects[SRM Pallet Locations],250)</f>
        <v/>
      </c>
      <c r="K251" s="66">
        <f>INDEX(Projects[Case Conv (m)],250)</f>
        <v/>
      </c>
      <c r="L251" s="66">
        <f>INDEX(Projects[Pallet Conv (m)],250)</f>
        <v/>
      </c>
      <c r="M251" s="66">
        <f>INDEX(Projects[Mech Eng (wks)],250)</f>
        <v/>
      </c>
      <c r="N251" s="66">
        <f>INDEX(Projects[Controls Eng (wks)],250)</f>
        <v/>
      </c>
      <c r="O251" s="66">
        <f>INDEX(Projects[Systems Eng (wks)],250)</f>
        <v/>
      </c>
      <c r="P251" s="66">
        <f>INDEX(Projects[Software Eng (wks)],250)</f>
        <v/>
      </c>
      <c r="Q251" s="66">
        <f>INDEX(Projects[M&amp;E Installation (wks)],250)</f>
        <v/>
      </c>
      <c r="R251" s="66">
        <f>INDEX(Projects[Commissioning (wks)],250)</f>
        <v/>
      </c>
      <c r="S251" s="66">
        <f>INDEX(Projects[Total Timeline (wks)],250)</f>
        <v/>
      </c>
      <c r="T251" s="66">
        <f>INDEX(Projects[Currency],250)&amp;""</f>
        <v/>
      </c>
      <c r="U251" s="67">
        <f>INDEX(Projects[Value (M)],250)</f>
        <v/>
      </c>
      <c r="V251" s="66">
        <f>IF('Smart Search'!B13=1,IFERROR(1/'Smart Search'!H13,0),0)</f>
        <v/>
      </c>
      <c r="W251" s="66">
        <f>IF('Smart Search'!B13=1,IFERROR(1/'Smart Search'!H13,0),0)</f>
        <v/>
      </c>
      <c r="X251" s="66">
        <f>IF('Smart Search'!C13=1,IFERROR(1/'Smart Search'!H13,0),0)</f>
        <v/>
      </c>
      <c r="Y251" s="66">
        <f>IF('Smart Search'!C13=1,IFERROR(1/'Smart Search'!H13,0),0)</f>
        <v/>
      </c>
      <c r="Z251" s="66">
        <f>IF('Smart Search'!D13=1,IFERROR(1/'Smart Search'!H13,0),0)</f>
        <v/>
      </c>
      <c r="AA251" s="66">
        <f>IF('Smart Search'!D13=1,IFERROR(1/'Smart Search'!H13,0),0)</f>
        <v/>
      </c>
      <c r="AB251" s="66">
        <f>IF('Smart Search'!E13=1,IFERROR(1/'Smart Search'!H13,0),0)</f>
        <v/>
      </c>
      <c r="AC251" s="66">
        <f>IF('Smart Search'!E13=1,IFERROR(1/'Smart Search'!H13,0),0)</f>
        <v/>
      </c>
      <c r="AD251" s="66">
        <f>IF('Smart Search'!F13=1,IFERROR(1/'Smart Search'!H13,0),0)</f>
        <v/>
      </c>
      <c r="AE251" s="66">
        <f>IF('Smart Search'!F13=1,IFERROR(1/'Smart Search'!H13,0),0)</f>
        <v/>
      </c>
      <c r="AF251" s="66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66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66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66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66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66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66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66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66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66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66">
        <f>AF251*V251</f>
        <v/>
      </c>
      <c r="AQ251" s="66">
        <f>AG251*W251</f>
        <v/>
      </c>
      <c r="AR251" s="66">
        <f>AH251*X251</f>
        <v/>
      </c>
      <c r="AS251" s="66">
        <f>AI251*Y251</f>
        <v/>
      </c>
      <c r="AT251" s="66">
        <f>AJ251*Z251</f>
        <v/>
      </c>
      <c r="AU251" s="66">
        <f>AK251*AA251</f>
        <v/>
      </c>
      <c r="AV251" s="66">
        <f>AL251*AB251</f>
        <v/>
      </c>
      <c r="AW251" s="66">
        <f>AM251*AC251</f>
        <v/>
      </c>
      <c r="AX251" s="66">
        <f>AN251*AD251</f>
        <v/>
      </c>
      <c r="AY251" s="66">
        <f>AO251*AE251</f>
        <v/>
      </c>
      <c r="AZ251" s="66">
        <f>INDEX(Projects[Automation Equipment],250)&amp;""</f>
        <v/>
      </c>
      <c r="BA251" s="66">
        <f>IF(OR(A251="",'Smart Search'!H13=0),"",MAX(0,BE251*BF251*MAX(0,1-BG251)))</f>
        <v/>
      </c>
      <c r="BB251" s="66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66">
        <f>IF('Smart Search'!G13=1,IFERROR(1/'Smart Search'!H13,0),0)</f>
        <v/>
      </c>
      <c r="BD251" s="66">
        <f>BB251*BC251</f>
        <v/>
      </c>
      <c r="BE251" s="66">
        <f>AP251+AQ251+AR251+AS251+AT251+AU251+AV251+AW251+AX251+AY251+BD251</f>
        <v/>
      </c>
      <c r="BF251" s="5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5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5">
        <f>IF(AND(A251&lt;&gt;"",OR('Smart Search'!$L$5="",'Smart Search'!$L$5="All",TRIM(BZ251)=TRIM('Smart Search'!$L$5)),OR(TRIM('Smart Search'!$L$6)="",TRIM('Smart Search'!$L$6)="All",ISNUMBER(SEARCH(SUBSTITUTE(SUBSTITUTE(SUBSTITUTE(TRIM('Smart Search'!$L$6),"~","~~"),"*","~*"),"?","~?"),CA251))),OR('Smart Search'!$L$7="",AND(CB251&lt;&gt;0,CB251='Smart Search'!$L$7)),OR('Smart Search'!$L$8="",'Smart Search'!$L$8="All",TRIM(CC251)=TRIM('Smart Search'!$L$8))),IF(BA251="","",BA251+ROW()*0.0000000001),"")</f>
        <v/>
      </c>
      <c r="BI251" s="5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5">
        <f>IF(A251="","",N(INDEX(Projects[Mech Inst],250)))</f>
        <v/>
      </c>
      <c r="BK251" s="5">
        <f>IF(A251="","",N(INDEX(Projects[Elec Inst],250)))</f>
        <v/>
      </c>
      <c r="BL251" s="5">
        <f>IF(A251="","",N(INDEX(Projects[Project Management],250)))</f>
        <v/>
      </c>
      <c r="BM251" s="5">
        <f>IF(A251="","",N(INDEX(Projects[Systems Eng],250)))</f>
        <v/>
      </c>
      <c r="BN251" s="5">
        <f>IF(A251="","",N(INDEX(Projects[Mechanical Eng],250)))</f>
        <v/>
      </c>
      <c r="BO251" s="5">
        <f>IF(A251="","",N(INDEX(Projects[Structural Engineering],250)))</f>
        <v/>
      </c>
      <c r="BP251" s="5">
        <f>IF(A251="","",N(INDEX(Projects[Site Sup],250)))</f>
        <v/>
      </c>
      <c r="BQ251" s="5">
        <f>IF(A251="","",N(INDEX(Projects[Controls Commissioning],250)))</f>
        <v/>
      </c>
      <c r="BR251" s="5">
        <f>IF(A251="","",N(INDEX(Projects[Systems Commissioning],250)))</f>
        <v/>
      </c>
      <c r="BS251" s="5">
        <f>IF(A251="","",N(INDEX(Projects[Service Commissioning],250)))</f>
        <v/>
      </c>
      <c r="BT251" s="5">
        <f>IF(A251="","",N(INDEX(Projects[Controls Eng],250)))</f>
        <v/>
      </c>
      <c r="BU251" s="5">
        <f>IF(A251="","",N(INDEX(Projects[Controls Purchase],250)))</f>
        <v/>
      </c>
      <c r="BV251" s="5">
        <f>IF(A251="","",N(INDEX(Projects[Software Eng],250)))</f>
        <v/>
      </c>
      <c r="BW251" s="5">
        <f>IF(A251="","",N(INDEX(Projects[Misc],250)))</f>
        <v/>
      </c>
      <c r="BX251" s="5">
        <f>IF(A251="","",SUM(BJ251:BW251))</f>
        <v/>
      </c>
      <c r="BY251" s="5">
        <f>IF(A251="","",IFERROR(IF(ISNUMBER(U251),U251,VALUE(SUBSTITUTE(SUBSTITUTE(SUBSTITUTE(UPPER(TRIM(U251)),"M",""),",","")," ",""))),0))</f>
        <v/>
      </c>
      <c r="BZ251" s="5">
        <f>INDEX(Projects[Solution Type],250)&amp;""</f>
        <v/>
      </c>
      <c r="CA251" s="5">
        <f>INDEX(Projects[Client / Region],250)&amp;""</f>
        <v/>
      </c>
      <c r="CB251" s="5">
        <f>INDEX(Projects[Year],250)</f>
        <v/>
      </c>
      <c r="CC251" s="5">
        <f>INDEX(Projects[Won?],250)&amp;""</f>
        <v/>
      </c>
      <c r="CD251" s="5">
        <f>INDEX(Projects[Value (USD M)],250)</f>
        <v/>
      </c>
    </row>
    <row r="252" ht="15" customHeight="1" s="74">
      <c r="A252" s="66">
        <f>INDEX(Projects[Project ID *],251)&amp;""</f>
        <v/>
      </c>
      <c r="B252" s="66">
        <f>INDEX(Projects[Project Name *],251)&amp;""</f>
        <v/>
      </c>
      <c r="C252" s="66">
        <f>INDEX(Projects[MS Shuttles],251)</f>
        <v/>
      </c>
      <c r="D252" s="66">
        <f>INDEX(Projects[MS Tote Locations],251)</f>
        <v/>
      </c>
      <c r="E252" s="66">
        <f>INDEX(Projects[AS Robots],251)</f>
        <v/>
      </c>
      <c r="F252" s="66">
        <f>INDEX(Projects[AS Tote Locations],251)</f>
        <v/>
      </c>
      <c r="G252" s="66">
        <f>INDEX(Projects[PS Shuttles],251)</f>
        <v/>
      </c>
      <c r="H252" s="66">
        <f>INDEX(Projects[PS Pallet Locations],251)</f>
        <v/>
      </c>
      <c r="I252" s="66">
        <f>INDEX(Projects[SRM Cranes],251)</f>
        <v/>
      </c>
      <c r="J252" s="66">
        <f>INDEX(Projects[SRM Pallet Locations],251)</f>
        <v/>
      </c>
      <c r="K252" s="66">
        <f>INDEX(Projects[Case Conv (m)],251)</f>
        <v/>
      </c>
      <c r="L252" s="66">
        <f>INDEX(Projects[Pallet Conv (m)],251)</f>
        <v/>
      </c>
      <c r="M252" s="66">
        <f>INDEX(Projects[Mech Eng (wks)],251)</f>
        <v/>
      </c>
      <c r="N252" s="66">
        <f>INDEX(Projects[Controls Eng (wks)],251)</f>
        <v/>
      </c>
      <c r="O252" s="66">
        <f>INDEX(Projects[Systems Eng (wks)],251)</f>
        <v/>
      </c>
      <c r="P252" s="66">
        <f>INDEX(Projects[Software Eng (wks)],251)</f>
        <v/>
      </c>
      <c r="Q252" s="66">
        <f>INDEX(Projects[M&amp;E Installation (wks)],251)</f>
        <v/>
      </c>
      <c r="R252" s="66">
        <f>INDEX(Projects[Commissioning (wks)],251)</f>
        <v/>
      </c>
      <c r="S252" s="66">
        <f>INDEX(Projects[Total Timeline (wks)],251)</f>
        <v/>
      </c>
      <c r="T252" s="66">
        <f>INDEX(Projects[Currency],251)&amp;""</f>
        <v/>
      </c>
      <c r="U252" s="67">
        <f>INDEX(Projects[Value (M)],251)</f>
        <v/>
      </c>
      <c r="V252" s="66">
        <f>IF('Smart Search'!B13=1,IFERROR(1/'Smart Search'!H13,0),0)</f>
        <v/>
      </c>
      <c r="W252" s="66">
        <f>IF('Smart Search'!B13=1,IFERROR(1/'Smart Search'!H13,0),0)</f>
        <v/>
      </c>
      <c r="X252" s="66">
        <f>IF('Smart Search'!C13=1,IFERROR(1/'Smart Search'!H13,0),0)</f>
        <v/>
      </c>
      <c r="Y252" s="66">
        <f>IF('Smart Search'!C13=1,IFERROR(1/'Smart Search'!H13,0),0)</f>
        <v/>
      </c>
      <c r="Z252" s="66">
        <f>IF('Smart Search'!D13=1,IFERROR(1/'Smart Search'!H13,0),0)</f>
        <v/>
      </c>
      <c r="AA252" s="66">
        <f>IF('Smart Search'!D13=1,IFERROR(1/'Smart Search'!H13,0),0)</f>
        <v/>
      </c>
      <c r="AB252" s="66">
        <f>IF('Smart Search'!E13=1,IFERROR(1/'Smart Search'!H13,0),0)</f>
        <v/>
      </c>
      <c r="AC252" s="66">
        <f>IF('Smart Search'!E13=1,IFERROR(1/'Smart Search'!H13,0),0)</f>
        <v/>
      </c>
      <c r="AD252" s="66">
        <f>IF('Smart Search'!F13=1,IFERROR(1/'Smart Search'!H13,0),0)</f>
        <v/>
      </c>
      <c r="AE252" s="66">
        <f>IF('Smart Search'!F13=1,IFERROR(1/'Smart Search'!H13,0),0)</f>
        <v/>
      </c>
      <c r="AF252" s="66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66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66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66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66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66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66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66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66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66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66">
        <f>AF252*V252</f>
        <v/>
      </c>
      <c r="AQ252" s="66">
        <f>AG252*W252</f>
        <v/>
      </c>
      <c r="AR252" s="66">
        <f>AH252*X252</f>
        <v/>
      </c>
      <c r="AS252" s="66">
        <f>AI252*Y252</f>
        <v/>
      </c>
      <c r="AT252" s="66">
        <f>AJ252*Z252</f>
        <v/>
      </c>
      <c r="AU252" s="66">
        <f>AK252*AA252</f>
        <v/>
      </c>
      <c r="AV252" s="66">
        <f>AL252*AB252</f>
        <v/>
      </c>
      <c r="AW252" s="66">
        <f>AM252*AC252</f>
        <v/>
      </c>
      <c r="AX252" s="66">
        <f>AN252*AD252</f>
        <v/>
      </c>
      <c r="AY252" s="66">
        <f>AO252*AE252</f>
        <v/>
      </c>
      <c r="AZ252" s="66">
        <f>INDEX(Projects[Automation Equipment],251)&amp;""</f>
        <v/>
      </c>
      <c r="BA252" s="66">
        <f>IF(OR(A252="",'Smart Search'!H13=0),"",MAX(0,BE252*BF252*MAX(0,1-BG252)))</f>
        <v/>
      </c>
      <c r="BB252" s="66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66">
        <f>IF('Smart Search'!G13=1,IFERROR(1/'Smart Search'!H13,0),0)</f>
        <v/>
      </c>
      <c r="BD252" s="66">
        <f>BB252*BC252</f>
        <v/>
      </c>
      <c r="BE252" s="66">
        <f>AP252+AQ252+AR252+AS252+AT252+AU252+AV252+AW252+AX252+AY252+BD252</f>
        <v/>
      </c>
      <c r="BF252" s="5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5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5">
        <f>IF(AND(A252&lt;&gt;"",OR('Smart Search'!$L$5="",'Smart Search'!$L$5="All",TRIM(BZ252)=TRIM('Smart Search'!$L$5)),OR(TRIM('Smart Search'!$L$6)="",TRIM('Smart Search'!$L$6)="All",ISNUMBER(SEARCH(SUBSTITUTE(SUBSTITUTE(SUBSTITUTE(TRIM('Smart Search'!$L$6),"~","~~"),"*","~*"),"?","~?"),CA252))),OR('Smart Search'!$L$7="",AND(CB252&lt;&gt;0,CB252='Smart Search'!$L$7)),OR('Smart Search'!$L$8="",'Smart Search'!$L$8="All",TRIM(CC252)=TRIM('Smart Search'!$L$8))),IF(BA252="","",BA252+ROW()*0.0000000001),"")</f>
        <v/>
      </c>
      <c r="BI252" s="5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5">
        <f>IF(A252="","",N(INDEX(Projects[Mech Inst],251)))</f>
        <v/>
      </c>
      <c r="BK252" s="5">
        <f>IF(A252="","",N(INDEX(Projects[Elec Inst],251)))</f>
        <v/>
      </c>
      <c r="BL252" s="5">
        <f>IF(A252="","",N(INDEX(Projects[Project Management],251)))</f>
        <v/>
      </c>
      <c r="BM252" s="5">
        <f>IF(A252="","",N(INDEX(Projects[Systems Eng],251)))</f>
        <v/>
      </c>
      <c r="BN252" s="5">
        <f>IF(A252="","",N(INDEX(Projects[Mechanical Eng],251)))</f>
        <v/>
      </c>
      <c r="BO252" s="5">
        <f>IF(A252="","",N(INDEX(Projects[Structural Engineering],251)))</f>
        <v/>
      </c>
      <c r="BP252" s="5">
        <f>IF(A252="","",N(INDEX(Projects[Site Sup],251)))</f>
        <v/>
      </c>
      <c r="BQ252" s="5">
        <f>IF(A252="","",N(INDEX(Projects[Controls Commissioning],251)))</f>
        <v/>
      </c>
      <c r="BR252" s="5">
        <f>IF(A252="","",N(INDEX(Projects[Systems Commissioning],251)))</f>
        <v/>
      </c>
      <c r="BS252" s="5">
        <f>IF(A252="","",N(INDEX(Projects[Service Commissioning],251)))</f>
        <v/>
      </c>
      <c r="BT252" s="5">
        <f>IF(A252="","",N(INDEX(Projects[Controls Eng],251)))</f>
        <v/>
      </c>
      <c r="BU252" s="5">
        <f>IF(A252="","",N(INDEX(Projects[Controls Purchase],251)))</f>
        <v/>
      </c>
      <c r="BV252" s="5">
        <f>IF(A252="","",N(INDEX(Projects[Software Eng],251)))</f>
        <v/>
      </c>
      <c r="BW252" s="5">
        <f>IF(A252="","",N(INDEX(Projects[Misc],251)))</f>
        <v/>
      </c>
      <c r="BX252" s="5">
        <f>IF(A252="","",SUM(BJ252:BW252))</f>
        <v/>
      </c>
      <c r="BY252" s="5">
        <f>IF(A252="","",IFERROR(IF(ISNUMBER(U252),U252,VALUE(SUBSTITUTE(SUBSTITUTE(SUBSTITUTE(UPPER(TRIM(U252)),"M",""),",","")," ",""))),0))</f>
        <v/>
      </c>
      <c r="BZ252" s="5">
        <f>INDEX(Projects[Solution Type],251)&amp;""</f>
        <v/>
      </c>
      <c r="CA252" s="5">
        <f>INDEX(Projects[Client / Region],251)&amp;""</f>
        <v/>
      </c>
      <c r="CB252" s="5">
        <f>INDEX(Projects[Year],251)</f>
        <v/>
      </c>
      <c r="CC252" s="5">
        <f>INDEX(Projects[Won?],251)&amp;""</f>
        <v/>
      </c>
      <c r="CD252" s="5">
        <f>INDEX(Projects[Value (USD M)],251)</f>
        <v/>
      </c>
    </row>
    <row r="253" ht="15" customHeight="1" s="74">
      <c r="A253" s="66">
        <f>INDEX(Projects[Project ID *],252)&amp;""</f>
        <v/>
      </c>
      <c r="B253" s="66">
        <f>INDEX(Projects[Project Name *],252)&amp;""</f>
        <v/>
      </c>
      <c r="C253" s="66">
        <f>INDEX(Projects[MS Shuttles],252)</f>
        <v/>
      </c>
      <c r="D253" s="66">
        <f>INDEX(Projects[MS Tote Locations],252)</f>
        <v/>
      </c>
      <c r="E253" s="66">
        <f>INDEX(Projects[AS Robots],252)</f>
        <v/>
      </c>
      <c r="F253" s="66">
        <f>INDEX(Projects[AS Tote Locations],252)</f>
        <v/>
      </c>
      <c r="G253" s="66">
        <f>INDEX(Projects[PS Shuttles],252)</f>
        <v/>
      </c>
      <c r="H253" s="66">
        <f>INDEX(Projects[PS Pallet Locations],252)</f>
        <v/>
      </c>
      <c r="I253" s="66">
        <f>INDEX(Projects[SRM Cranes],252)</f>
        <v/>
      </c>
      <c r="J253" s="66">
        <f>INDEX(Projects[SRM Pallet Locations],252)</f>
        <v/>
      </c>
      <c r="K253" s="66">
        <f>INDEX(Projects[Case Conv (m)],252)</f>
        <v/>
      </c>
      <c r="L253" s="66">
        <f>INDEX(Projects[Pallet Conv (m)],252)</f>
        <v/>
      </c>
      <c r="M253" s="66">
        <f>INDEX(Projects[Mech Eng (wks)],252)</f>
        <v/>
      </c>
      <c r="N253" s="66">
        <f>INDEX(Projects[Controls Eng (wks)],252)</f>
        <v/>
      </c>
      <c r="O253" s="66">
        <f>INDEX(Projects[Systems Eng (wks)],252)</f>
        <v/>
      </c>
      <c r="P253" s="66">
        <f>INDEX(Projects[Software Eng (wks)],252)</f>
        <v/>
      </c>
      <c r="Q253" s="66">
        <f>INDEX(Projects[M&amp;E Installation (wks)],252)</f>
        <v/>
      </c>
      <c r="R253" s="66">
        <f>INDEX(Projects[Commissioning (wks)],252)</f>
        <v/>
      </c>
      <c r="S253" s="66">
        <f>INDEX(Projects[Total Timeline (wks)],252)</f>
        <v/>
      </c>
      <c r="T253" s="66">
        <f>INDEX(Projects[Currency],252)&amp;""</f>
        <v/>
      </c>
      <c r="U253" s="67">
        <f>INDEX(Projects[Value (M)],252)</f>
        <v/>
      </c>
      <c r="V253" s="66">
        <f>IF('Smart Search'!B13=1,IFERROR(1/'Smart Search'!H13,0),0)</f>
        <v/>
      </c>
      <c r="W253" s="66">
        <f>IF('Smart Search'!B13=1,IFERROR(1/'Smart Search'!H13,0),0)</f>
        <v/>
      </c>
      <c r="X253" s="66">
        <f>IF('Smart Search'!C13=1,IFERROR(1/'Smart Search'!H13,0),0)</f>
        <v/>
      </c>
      <c r="Y253" s="66">
        <f>IF('Smart Search'!C13=1,IFERROR(1/'Smart Search'!H13,0),0)</f>
        <v/>
      </c>
      <c r="Z253" s="66">
        <f>IF('Smart Search'!D13=1,IFERROR(1/'Smart Search'!H13,0),0)</f>
        <v/>
      </c>
      <c r="AA253" s="66">
        <f>IF('Smart Search'!D13=1,IFERROR(1/'Smart Search'!H13,0),0)</f>
        <v/>
      </c>
      <c r="AB253" s="66">
        <f>IF('Smart Search'!E13=1,IFERROR(1/'Smart Search'!H13,0),0)</f>
        <v/>
      </c>
      <c r="AC253" s="66">
        <f>IF('Smart Search'!E13=1,IFERROR(1/'Smart Search'!H13,0),0)</f>
        <v/>
      </c>
      <c r="AD253" s="66">
        <f>IF('Smart Search'!F13=1,IFERROR(1/'Smart Search'!H13,0),0)</f>
        <v/>
      </c>
      <c r="AE253" s="66">
        <f>IF('Smart Search'!F13=1,IFERROR(1/'Smart Search'!H13,0),0)</f>
        <v/>
      </c>
      <c r="AF253" s="66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66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66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66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66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66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66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66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66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66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66">
        <f>AF253*V253</f>
        <v/>
      </c>
      <c r="AQ253" s="66">
        <f>AG253*W253</f>
        <v/>
      </c>
      <c r="AR253" s="66">
        <f>AH253*X253</f>
        <v/>
      </c>
      <c r="AS253" s="66">
        <f>AI253*Y253</f>
        <v/>
      </c>
      <c r="AT253" s="66">
        <f>AJ253*Z253</f>
        <v/>
      </c>
      <c r="AU253" s="66">
        <f>AK253*AA253</f>
        <v/>
      </c>
      <c r="AV253" s="66">
        <f>AL253*AB253</f>
        <v/>
      </c>
      <c r="AW253" s="66">
        <f>AM253*AC253</f>
        <v/>
      </c>
      <c r="AX253" s="66">
        <f>AN253*AD253</f>
        <v/>
      </c>
      <c r="AY253" s="66">
        <f>AO253*AE253</f>
        <v/>
      </c>
      <c r="AZ253" s="66">
        <f>INDEX(Projects[Automation Equipment],252)&amp;""</f>
        <v/>
      </c>
      <c r="BA253" s="66">
        <f>IF(OR(A253="",'Smart Search'!H13=0),"",MAX(0,BE253*BF253*MAX(0,1-BG253)))</f>
        <v/>
      </c>
      <c r="BB253" s="66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66">
        <f>IF('Smart Search'!G13=1,IFERROR(1/'Smart Search'!H13,0),0)</f>
        <v/>
      </c>
      <c r="BD253" s="66">
        <f>BB253*BC253</f>
        <v/>
      </c>
      <c r="BE253" s="66">
        <f>AP253+AQ253+AR253+AS253+AT253+AU253+AV253+AW253+AX253+AY253+BD253</f>
        <v/>
      </c>
      <c r="BF253" s="5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5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5">
        <f>IF(AND(A253&lt;&gt;"",OR('Smart Search'!$L$5="",'Smart Search'!$L$5="All",TRIM(BZ253)=TRIM('Smart Search'!$L$5)),OR(TRIM('Smart Search'!$L$6)="",TRIM('Smart Search'!$L$6)="All",ISNUMBER(SEARCH(SUBSTITUTE(SUBSTITUTE(SUBSTITUTE(TRIM('Smart Search'!$L$6),"~","~~"),"*","~*"),"?","~?"),CA253))),OR('Smart Search'!$L$7="",AND(CB253&lt;&gt;0,CB253='Smart Search'!$L$7)),OR('Smart Search'!$L$8="",'Smart Search'!$L$8="All",TRIM(CC253)=TRIM('Smart Search'!$L$8))),IF(BA253="","",BA253+ROW()*0.0000000001),"")</f>
        <v/>
      </c>
      <c r="BI253" s="5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5">
        <f>IF(A253="","",N(INDEX(Projects[Mech Inst],252)))</f>
        <v/>
      </c>
      <c r="BK253" s="5">
        <f>IF(A253="","",N(INDEX(Projects[Elec Inst],252)))</f>
        <v/>
      </c>
      <c r="BL253" s="5">
        <f>IF(A253="","",N(INDEX(Projects[Project Management],252)))</f>
        <v/>
      </c>
      <c r="BM253" s="5">
        <f>IF(A253="","",N(INDEX(Projects[Systems Eng],252)))</f>
        <v/>
      </c>
      <c r="BN253" s="5">
        <f>IF(A253="","",N(INDEX(Projects[Mechanical Eng],252)))</f>
        <v/>
      </c>
      <c r="BO253" s="5">
        <f>IF(A253="","",N(INDEX(Projects[Structural Engineering],252)))</f>
        <v/>
      </c>
      <c r="BP253" s="5">
        <f>IF(A253="","",N(INDEX(Projects[Site Sup],252)))</f>
        <v/>
      </c>
      <c r="BQ253" s="5">
        <f>IF(A253="","",N(INDEX(Projects[Controls Commissioning],252)))</f>
        <v/>
      </c>
      <c r="BR253" s="5">
        <f>IF(A253="","",N(INDEX(Projects[Systems Commissioning],252)))</f>
        <v/>
      </c>
      <c r="BS253" s="5">
        <f>IF(A253="","",N(INDEX(Projects[Service Commissioning],252)))</f>
        <v/>
      </c>
      <c r="BT253" s="5">
        <f>IF(A253="","",N(INDEX(Projects[Controls Eng],252)))</f>
        <v/>
      </c>
      <c r="BU253" s="5">
        <f>IF(A253="","",N(INDEX(Projects[Controls Purchase],252)))</f>
        <v/>
      </c>
      <c r="BV253" s="5">
        <f>IF(A253="","",N(INDEX(Projects[Software Eng],252)))</f>
        <v/>
      </c>
      <c r="BW253" s="5">
        <f>IF(A253="","",N(INDEX(Projects[Misc],252)))</f>
        <v/>
      </c>
      <c r="BX253" s="5">
        <f>IF(A253="","",SUM(BJ253:BW253))</f>
        <v/>
      </c>
      <c r="BY253" s="5">
        <f>IF(A253="","",IFERROR(IF(ISNUMBER(U253),U253,VALUE(SUBSTITUTE(SUBSTITUTE(SUBSTITUTE(UPPER(TRIM(U253)),"M",""),",","")," ",""))),0))</f>
        <v/>
      </c>
      <c r="BZ253" s="5">
        <f>INDEX(Projects[Solution Type],252)&amp;""</f>
        <v/>
      </c>
      <c r="CA253" s="5">
        <f>INDEX(Projects[Client / Region],252)&amp;""</f>
        <v/>
      </c>
      <c r="CB253" s="5">
        <f>INDEX(Projects[Year],252)</f>
        <v/>
      </c>
      <c r="CC253" s="5">
        <f>INDEX(Projects[Won?],252)&amp;""</f>
        <v/>
      </c>
      <c r="CD253" s="5">
        <f>INDEX(Projects[Value (USD M)],252)</f>
        <v/>
      </c>
    </row>
    <row r="254" ht="15" customHeight="1" s="74">
      <c r="A254" s="66">
        <f>INDEX(Projects[Project ID *],253)&amp;""</f>
        <v/>
      </c>
      <c r="B254" s="66">
        <f>INDEX(Projects[Project Name *],253)&amp;""</f>
        <v/>
      </c>
      <c r="C254" s="66">
        <f>INDEX(Projects[MS Shuttles],253)</f>
        <v/>
      </c>
      <c r="D254" s="66">
        <f>INDEX(Projects[MS Tote Locations],253)</f>
        <v/>
      </c>
      <c r="E254" s="66">
        <f>INDEX(Projects[AS Robots],253)</f>
        <v/>
      </c>
      <c r="F254" s="66">
        <f>INDEX(Projects[AS Tote Locations],253)</f>
        <v/>
      </c>
      <c r="G254" s="66">
        <f>INDEX(Projects[PS Shuttles],253)</f>
        <v/>
      </c>
      <c r="H254" s="66">
        <f>INDEX(Projects[PS Pallet Locations],253)</f>
        <v/>
      </c>
      <c r="I254" s="66">
        <f>INDEX(Projects[SRM Cranes],253)</f>
        <v/>
      </c>
      <c r="J254" s="66">
        <f>INDEX(Projects[SRM Pallet Locations],253)</f>
        <v/>
      </c>
      <c r="K254" s="66">
        <f>INDEX(Projects[Case Conv (m)],253)</f>
        <v/>
      </c>
      <c r="L254" s="66">
        <f>INDEX(Projects[Pallet Conv (m)],253)</f>
        <v/>
      </c>
      <c r="M254" s="66">
        <f>INDEX(Projects[Mech Eng (wks)],253)</f>
        <v/>
      </c>
      <c r="N254" s="66">
        <f>INDEX(Projects[Controls Eng (wks)],253)</f>
        <v/>
      </c>
      <c r="O254" s="66">
        <f>INDEX(Projects[Systems Eng (wks)],253)</f>
        <v/>
      </c>
      <c r="P254" s="66">
        <f>INDEX(Projects[Software Eng (wks)],253)</f>
        <v/>
      </c>
      <c r="Q254" s="66">
        <f>INDEX(Projects[M&amp;E Installation (wks)],253)</f>
        <v/>
      </c>
      <c r="R254" s="66">
        <f>INDEX(Projects[Commissioning (wks)],253)</f>
        <v/>
      </c>
      <c r="S254" s="66">
        <f>INDEX(Projects[Total Timeline (wks)],253)</f>
        <v/>
      </c>
      <c r="T254" s="66">
        <f>INDEX(Projects[Currency],253)&amp;""</f>
        <v/>
      </c>
      <c r="U254" s="67">
        <f>INDEX(Projects[Value (M)],253)</f>
        <v/>
      </c>
      <c r="V254" s="66">
        <f>IF('Smart Search'!B13=1,IFERROR(1/'Smart Search'!H13,0),0)</f>
        <v/>
      </c>
      <c r="W254" s="66">
        <f>IF('Smart Search'!B13=1,IFERROR(1/'Smart Search'!H13,0),0)</f>
        <v/>
      </c>
      <c r="X254" s="66">
        <f>IF('Smart Search'!C13=1,IFERROR(1/'Smart Search'!H13,0),0)</f>
        <v/>
      </c>
      <c r="Y254" s="66">
        <f>IF('Smart Search'!C13=1,IFERROR(1/'Smart Search'!H13,0),0)</f>
        <v/>
      </c>
      <c r="Z254" s="66">
        <f>IF('Smart Search'!D13=1,IFERROR(1/'Smart Search'!H13,0),0)</f>
        <v/>
      </c>
      <c r="AA254" s="66">
        <f>IF('Smart Search'!D13=1,IFERROR(1/'Smart Search'!H13,0),0)</f>
        <v/>
      </c>
      <c r="AB254" s="66">
        <f>IF('Smart Search'!E13=1,IFERROR(1/'Smart Search'!H13,0),0)</f>
        <v/>
      </c>
      <c r="AC254" s="66">
        <f>IF('Smart Search'!E13=1,IFERROR(1/'Smart Search'!H13,0),0)</f>
        <v/>
      </c>
      <c r="AD254" s="66">
        <f>IF('Smart Search'!F13=1,IFERROR(1/'Smart Search'!H13,0),0)</f>
        <v/>
      </c>
      <c r="AE254" s="66">
        <f>IF('Smart Search'!F13=1,IFERROR(1/'Smart Search'!H13,0),0)</f>
        <v/>
      </c>
      <c r="AF254" s="66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66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66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66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66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66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66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66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66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66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66">
        <f>AF254*V254</f>
        <v/>
      </c>
      <c r="AQ254" s="66">
        <f>AG254*W254</f>
        <v/>
      </c>
      <c r="AR254" s="66">
        <f>AH254*X254</f>
        <v/>
      </c>
      <c r="AS254" s="66">
        <f>AI254*Y254</f>
        <v/>
      </c>
      <c r="AT254" s="66">
        <f>AJ254*Z254</f>
        <v/>
      </c>
      <c r="AU254" s="66">
        <f>AK254*AA254</f>
        <v/>
      </c>
      <c r="AV254" s="66">
        <f>AL254*AB254</f>
        <v/>
      </c>
      <c r="AW254" s="66">
        <f>AM254*AC254</f>
        <v/>
      </c>
      <c r="AX254" s="66">
        <f>AN254*AD254</f>
        <v/>
      </c>
      <c r="AY254" s="66">
        <f>AO254*AE254</f>
        <v/>
      </c>
      <c r="AZ254" s="66">
        <f>INDEX(Projects[Automation Equipment],253)&amp;""</f>
        <v/>
      </c>
      <c r="BA254" s="66">
        <f>IF(OR(A254="",'Smart Search'!H13=0),"",MAX(0,BE254*BF254*MAX(0,1-BG254)))</f>
        <v/>
      </c>
      <c r="BB254" s="66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66">
        <f>IF('Smart Search'!G13=1,IFERROR(1/'Smart Search'!H13,0),0)</f>
        <v/>
      </c>
      <c r="BD254" s="66">
        <f>BB254*BC254</f>
        <v/>
      </c>
      <c r="BE254" s="66">
        <f>AP254+AQ254+AR254+AS254+AT254+AU254+AV254+AW254+AX254+AY254+BD254</f>
        <v/>
      </c>
      <c r="BF254" s="5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5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5">
        <f>IF(AND(A254&lt;&gt;"",OR('Smart Search'!$L$5="",'Smart Search'!$L$5="All",TRIM(BZ254)=TRIM('Smart Search'!$L$5)),OR(TRIM('Smart Search'!$L$6)="",TRIM('Smart Search'!$L$6)="All",ISNUMBER(SEARCH(SUBSTITUTE(SUBSTITUTE(SUBSTITUTE(TRIM('Smart Search'!$L$6),"~","~~"),"*","~*"),"?","~?"),CA254))),OR('Smart Search'!$L$7="",AND(CB254&lt;&gt;0,CB254='Smart Search'!$L$7)),OR('Smart Search'!$L$8="",'Smart Search'!$L$8="All",TRIM(CC254)=TRIM('Smart Search'!$L$8))),IF(BA254="","",BA254+ROW()*0.0000000001),"")</f>
        <v/>
      </c>
      <c r="BI254" s="5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5">
        <f>IF(A254="","",N(INDEX(Projects[Mech Inst],253)))</f>
        <v/>
      </c>
      <c r="BK254" s="5">
        <f>IF(A254="","",N(INDEX(Projects[Elec Inst],253)))</f>
        <v/>
      </c>
      <c r="BL254" s="5">
        <f>IF(A254="","",N(INDEX(Projects[Project Management],253)))</f>
        <v/>
      </c>
      <c r="BM254" s="5">
        <f>IF(A254="","",N(INDEX(Projects[Systems Eng],253)))</f>
        <v/>
      </c>
      <c r="BN254" s="5">
        <f>IF(A254="","",N(INDEX(Projects[Mechanical Eng],253)))</f>
        <v/>
      </c>
      <c r="BO254" s="5">
        <f>IF(A254="","",N(INDEX(Projects[Structural Engineering],253)))</f>
        <v/>
      </c>
      <c r="BP254" s="5">
        <f>IF(A254="","",N(INDEX(Projects[Site Sup],253)))</f>
        <v/>
      </c>
      <c r="BQ254" s="5">
        <f>IF(A254="","",N(INDEX(Projects[Controls Commissioning],253)))</f>
        <v/>
      </c>
      <c r="BR254" s="5">
        <f>IF(A254="","",N(INDEX(Projects[Systems Commissioning],253)))</f>
        <v/>
      </c>
      <c r="BS254" s="5">
        <f>IF(A254="","",N(INDEX(Projects[Service Commissioning],253)))</f>
        <v/>
      </c>
      <c r="BT254" s="5">
        <f>IF(A254="","",N(INDEX(Projects[Controls Eng],253)))</f>
        <v/>
      </c>
      <c r="BU254" s="5">
        <f>IF(A254="","",N(INDEX(Projects[Controls Purchase],253)))</f>
        <v/>
      </c>
      <c r="BV254" s="5">
        <f>IF(A254="","",N(INDEX(Projects[Software Eng],253)))</f>
        <v/>
      </c>
      <c r="BW254" s="5">
        <f>IF(A254="","",N(INDEX(Projects[Misc],253)))</f>
        <v/>
      </c>
      <c r="BX254" s="5">
        <f>IF(A254="","",SUM(BJ254:BW254))</f>
        <v/>
      </c>
      <c r="BY254" s="5">
        <f>IF(A254="","",IFERROR(IF(ISNUMBER(U254),U254,VALUE(SUBSTITUTE(SUBSTITUTE(SUBSTITUTE(UPPER(TRIM(U254)),"M",""),",","")," ",""))),0))</f>
        <v/>
      </c>
      <c r="BZ254" s="5">
        <f>INDEX(Projects[Solution Type],253)&amp;""</f>
        <v/>
      </c>
      <c r="CA254" s="5">
        <f>INDEX(Projects[Client / Region],253)&amp;""</f>
        <v/>
      </c>
      <c r="CB254" s="5">
        <f>INDEX(Projects[Year],253)</f>
        <v/>
      </c>
      <c r="CC254" s="5">
        <f>INDEX(Projects[Won?],253)&amp;""</f>
        <v/>
      </c>
      <c r="CD254" s="5">
        <f>INDEX(Projects[Value (USD M)],253)</f>
        <v/>
      </c>
    </row>
    <row r="255" ht="15" customHeight="1" s="74">
      <c r="A255" s="66">
        <f>INDEX(Projects[Project ID *],254)&amp;""</f>
        <v/>
      </c>
      <c r="B255" s="66">
        <f>INDEX(Projects[Project Name *],254)&amp;""</f>
        <v/>
      </c>
      <c r="C255" s="66">
        <f>INDEX(Projects[MS Shuttles],254)</f>
        <v/>
      </c>
      <c r="D255" s="66">
        <f>INDEX(Projects[MS Tote Locations],254)</f>
        <v/>
      </c>
      <c r="E255" s="66">
        <f>INDEX(Projects[AS Robots],254)</f>
        <v/>
      </c>
      <c r="F255" s="66">
        <f>INDEX(Projects[AS Tote Locations],254)</f>
        <v/>
      </c>
      <c r="G255" s="66">
        <f>INDEX(Projects[PS Shuttles],254)</f>
        <v/>
      </c>
      <c r="H255" s="66">
        <f>INDEX(Projects[PS Pallet Locations],254)</f>
        <v/>
      </c>
      <c r="I255" s="66">
        <f>INDEX(Projects[SRM Cranes],254)</f>
        <v/>
      </c>
      <c r="J255" s="66">
        <f>INDEX(Projects[SRM Pallet Locations],254)</f>
        <v/>
      </c>
      <c r="K255" s="66">
        <f>INDEX(Projects[Case Conv (m)],254)</f>
        <v/>
      </c>
      <c r="L255" s="66">
        <f>INDEX(Projects[Pallet Conv (m)],254)</f>
        <v/>
      </c>
      <c r="M255" s="66">
        <f>INDEX(Projects[Mech Eng (wks)],254)</f>
        <v/>
      </c>
      <c r="N255" s="66">
        <f>INDEX(Projects[Controls Eng (wks)],254)</f>
        <v/>
      </c>
      <c r="O255" s="66">
        <f>INDEX(Projects[Systems Eng (wks)],254)</f>
        <v/>
      </c>
      <c r="P255" s="66">
        <f>INDEX(Projects[Software Eng (wks)],254)</f>
        <v/>
      </c>
      <c r="Q255" s="66">
        <f>INDEX(Projects[M&amp;E Installation (wks)],254)</f>
        <v/>
      </c>
      <c r="R255" s="66">
        <f>INDEX(Projects[Commissioning (wks)],254)</f>
        <v/>
      </c>
      <c r="S255" s="66">
        <f>INDEX(Projects[Total Timeline (wks)],254)</f>
        <v/>
      </c>
      <c r="T255" s="66">
        <f>INDEX(Projects[Currency],254)&amp;""</f>
        <v/>
      </c>
      <c r="U255" s="67">
        <f>INDEX(Projects[Value (M)],254)</f>
        <v/>
      </c>
      <c r="V255" s="66">
        <f>IF('Smart Search'!B13=1,IFERROR(1/'Smart Search'!H13,0),0)</f>
        <v/>
      </c>
      <c r="W255" s="66">
        <f>IF('Smart Search'!B13=1,IFERROR(1/'Smart Search'!H13,0),0)</f>
        <v/>
      </c>
      <c r="X255" s="66">
        <f>IF('Smart Search'!C13=1,IFERROR(1/'Smart Search'!H13,0),0)</f>
        <v/>
      </c>
      <c r="Y255" s="66">
        <f>IF('Smart Search'!C13=1,IFERROR(1/'Smart Search'!H13,0),0)</f>
        <v/>
      </c>
      <c r="Z255" s="66">
        <f>IF('Smart Search'!D13=1,IFERROR(1/'Smart Search'!H13,0),0)</f>
        <v/>
      </c>
      <c r="AA255" s="66">
        <f>IF('Smart Search'!D13=1,IFERROR(1/'Smart Search'!H13,0),0)</f>
        <v/>
      </c>
      <c r="AB255" s="66">
        <f>IF('Smart Search'!E13=1,IFERROR(1/'Smart Search'!H13,0),0)</f>
        <v/>
      </c>
      <c r="AC255" s="66">
        <f>IF('Smart Search'!E13=1,IFERROR(1/'Smart Search'!H13,0),0)</f>
        <v/>
      </c>
      <c r="AD255" s="66">
        <f>IF('Smart Search'!F13=1,IFERROR(1/'Smart Search'!H13,0),0)</f>
        <v/>
      </c>
      <c r="AE255" s="66">
        <f>IF('Smart Search'!F13=1,IFERROR(1/'Smart Search'!H13,0),0)</f>
        <v/>
      </c>
      <c r="AF255" s="66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66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66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66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66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66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66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66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66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66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66">
        <f>AF255*V255</f>
        <v/>
      </c>
      <c r="AQ255" s="66">
        <f>AG255*W255</f>
        <v/>
      </c>
      <c r="AR255" s="66">
        <f>AH255*X255</f>
        <v/>
      </c>
      <c r="AS255" s="66">
        <f>AI255*Y255</f>
        <v/>
      </c>
      <c r="AT255" s="66">
        <f>AJ255*Z255</f>
        <v/>
      </c>
      <c r="AU255" s="66">
        <f>AK255*AA255</f>
        <v/>
      </c>
      <c r="AV255" s="66">
        <f>AL255*AB255</f>
        <v/>
      </c>
      <c r="AW255" s="66">
        <f>AM255*AC255</f>
        <v/>
      </c>
      <c r="AX255" s="66">
        <f>AN255*AD255</f>
        <v/>
      </c>
      <c r="AY255" s="66">
        <f>AO255*AE255</f>
        <v/>
      </c>
      <c r="AZ255" s="66">
        <f>INDEX(Projects[Automation Equipment],254)&amp;""</f>
        <v/>
      </c>
      <c r="BA255" s="66">
        <f>IF(OR(A255="",'Smart Search'!H13=0),"",MAX(0,BE255*BF255*MAX(0,1-BG255)))</f>
        <v/>
      </c>
      <c r="BB255" s="66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66">
        <f>IF('Smart Search'!G13=1,IFERROR(1/'Smart Search'!H13,0),0)</f>
        <v/>
      </c>
      <c r="BD255" s="66">
        <f>BB255*BC255</f>
        <v/>
      </c>
      <c r="BE255" s="66">
        <f>AP255+AQ255+AR255+AS255+AT255+AU255+AV255+AW255+AX255+AY255+BD255</f>
        <v/>
      </c>
      <c r="BF255" s="5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5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5">
        <f>IF(AND(A255&lt;&gt;"",OR('Smart Search'!$L$5="",'Smart Search'!$L$5="All",TRIM(BZ255)=TRIM('Smart Search'!$L$5)),OR(TRIM('Smart Search'!$L$6)="",TRIM('Smart Search'!$L$6)="All",ISNUMBER(SEARCH(SUBSTITUTE(SUBSTITUTE(SUBSTITUTE(TRIM('Smart Search'!$L$6),"~","~~"),"*","~*"),"?","~?"),CA255))),OR('Smart Search'!$L$7="",AND(CB255&lt;&gt;0,CB255='Smart Search'!$L$7)),OR('Smart Search'!$L$8="",'Smart Search'!$L$8="All",TRIM(CC255)=TRIM('Smart Search'!$L$8))),IF(BA255="","",BA255+ROW()*0.0000000001),"")</f>
        <v/>
      </c>
      <c r="BI255" s="5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5">
        <f>IF(A255="","",N(INDEX(Projects[Mech Inst],254)))</f>
        <v/>
      </c>
      <c r="BK255" s="5">
        <f>IF(A255="","",N(INDEX(Projects[Elec Inst],254)))</f>
        <v/>
      </c>
      <c r="BL255" s="5">
        <f>IF(A255="","",N(INDEX(Projects[Project Management],254)))</f>
        <v/>
      </c>
      <c r="BM255" s="5">
        <f>IF(A255="","",N(INDEX(Projects[Systems Eng],254)))</f>
        <v/>
      </c>
      <c r="BN255" s="5">
        <f>IF(A255="","",N(INDEX(Projects[Mechanical Eng],254)))</f>
        <v/>
      </c>
      <c r="BO255" s="5">
        <f>IF(A255="","",N(INDEX(Projects[Structural Engineering],254)))</f>
        <v/>
      </c>
      <c r="BP255" s="5">
        <f>IF(A255="","",N(INDEX(Projects[Site Sup],254)))</f>
        <v/>
      </c>
      <c r="BQ255" s="5">
        <f>IF(A255="","",N(INDEX(Projects[Controls Commissioning],254)))</f>
        <v/>
      </c>
      <c r="BR255" s="5">
        <f>IF(A255="","",N(INDEX(Projects[Systems Commissioning],254)))</f>
        <v/>
      </c>
      <c r="BS255" s="5">
        <f>IF(A255="","",N(INDEX(Projects[Service Commissioning],254)))</f>
        <v/>
      </c>
      <c r="BT255" s="5">
        <f>IF(A255="","",N(INDEX(Projects[Controls Eng],254)))</f>
        <v/>
      </c>
      <c r="BU255" s="5">
        <f>IF(A255="","",N(INDEX(Projects[Controls Purchase],254)))</f>
        <v/>
      </c>
      <c r="BV255" s="5">
        <f>IF(A255="","",N(INDEX(Projects[Software Eng],254)))</f>
        <v/>
      </c>
      <c r="BW255" s="5">
        <f>IF(A255="","",N(INDEX(Projects[Misc],254)))</f>
        <v/>
      </c>
      <c r="BX255" s="5">
        <f>IF(A255="","",SUM(BJ255:BW255))</f>
        <v/>
      </c>
      <c r="BY255" s="5">
        <f>IF(A255="","",IFERROR(IF(ISNUMBER(U255),U255,VALUE(SUBSTITUTE(SUBSTITUTE(SUBSTITUTE(UPPER(TRIM(U255)),"M",""),",","")," ",""))),0))</f>
        <v/>
      </c>
      <c r="BZ255" s="5">
        <f>INDEX(Projects[Solution Type],254)&amp;""</f>
        <v/>
      </c>
      <c r="CA255" s="5">
        <f>INDEX(Projects[Client / Region],254)&amp;""</f>
        <v/>
      </c>
      <c r="CB255" s="5">
        <f>INDEX(Projects[Year],254)</f>
        <v/>
      </c>
      <c r="CC255" s="5">
        <f>INDEX(Projects[Won?],254)&amp;""</f>
        <v/>
      </c>
      <c r="CD255" s="5">
        <f>INDEX(Projects[Value (USD M)],254)</f>
        <v/>
      </c>
    </row>
    <row r="256" ht="15" customHeight="1" s="74">
      <c r="A256" s="66">
        <f>INDEX(Projects[Project ID *],255)&amp;""</f>
        <v/>
      </c>
      <c r="B256" s="66">
        <f>INDEX(Projects[Project Name *],255)&amp;""</f>
        <v/>
      </c>
      <c r="C256" s="66">
        <f>INDEX(Projects[MS Shuttles],255)</f>
        <v/>
      </c>
      <c r="D256" s="66">
        <f>INDEX(Projects[MS Tote Locations],255)</f>
        <v/>
      </c>
      <c r="E256" s="66">
        <f>INDEX(Projects[AS Robots],255)</f>
        <v/>
      </c>
      <c r="F256" s="66">
        <f>INDEX(Projects[AS Tote Locations],255)</f>
        <v/>
      </c>
      <c r="G256" s="66">
        <f>INDEX(Projects[PS Shuttles],255)</f>
        <v/>
      </c>
      <c r="H256" s="66">
        <f>INDEX(Projects[PS Pallet Locations],255)</f>
        <v/>
      </c>
      <c r="I256" s="66">
        <f>INDEX(Projects[SRM Cranes],255)</f>
        <v/>
      </c>
      <c r="J256" s="66">
        <f>INDEX(Projects[SRM Pallet Locations],255)</f>
        <v/>
      </c>
      <c r="K256" s="66">
        <f>INDEX(Projects[Case Conv (m)],255)</f>
        <v/>
      </c>
      <c r="L256" s="66">
        <f>INDEX(Projects[Pallet Conv (m)],255)</f>
        <v/>
      </c>
      <c r="M256" s="66">
        <f>INDEX(Projects[Mech Eng (wks)],255)</f>
        <v/>
      </c>
      <c r="N256" s="66">
        <f>INDEX(Projects[Controls Eng (wks)],255)</f>
        <v/>
      </c>
      <c r="O256" s="66">
        <f>INDEX(Projects[Systems Eng (wks)],255)</f>
        <v/>
      </c>
      <c r="P256" s="66">
        <f>INDEX(Projects[Software Eng (wks)],255)</f>
        <v/>
      </c>
      <c r="Q256" s="66">
        <f>INDEX(Projects[M&amp;E Installation (wks)],255)</f>
        <v/>
      </c>
      <c r="R256" s="66">
        <f>INDEX(Projects[Commissioning (wks)],255)</f>
        <v/>
      </c>
      <c r="S256" s="66">
        <f>INDEX(Projects[Total Timeline (wks)],255)</f>
        <v/>
      </c>
      <c r="T256" s="66">
        <f>INDEX(Projects[Currency],255)&amp;""</f>
        <v/>
      </c>
      <c r="U256" s="67">
        <f>INDEX(Projects[Value (M)],255)</f>
        <v/>
      </c>
      <c r="V256" s="66">
        <f>IF('Smart Search'!B13=1,IFERROR(1/'Smart Search'!H13,0),0)</f>
        <v/>
      </c>
      <c r="W256" s="66">
        <f>IF('Smart Search'!B13=1,IFERROR(1/'Smart Search'!H13,0),0)</f>
        <v/>
      </c>
      <c r="X256" s="66">
        <f>IF('Smart Search'!C13=1,IFERROR(1/'Smart Search'!H13,0),0)</f>
        <v/>
      </c>
      <c r="Y256" s="66">
        <f>IF('Smart Search'!C13=1,IFERROR(1/'Smart Search'!H13,0),0)</f>
        <v/>
      </c>
      <c r="Z256" s="66">
        <f>IF('Smart Search'!D13=1,IFERROR(1/'Smart Search'!H13,0),0)</f>
        <v/>
      </c>
      <c r="AA256" s="66">
        <f>IF('Smart Search'!D13=1,IFERROR(1/'Smart Search'!H13,0),0)</f>
        <v/>
      </c>
      <c r="AB256" s="66">
        <f>IF('Smart Search'!E13=1,IFERROR(1/'Smart Search'!H13,0),0)</f>
        <v/>
      </c>
      <c r="AC256" s="66">
        <f>IF('Smart Search'!E13=1,IFERROR(1/'Smart Search'!H13,0),0)</f>
        <v/>
      </c>
      <c r="AD256" s="66">
        <f>IF('Smart Search'!F13=1,IFERROR(1/'Smart Search'!H13,0),0)</f>
        <v/>
      </c>
      <c r="AE256" s="66">
        <f>IF('Smart Search'!F13=1,IFERROR(1/'Smart Search'!H13,0),0)</f>
        <v/>
      </c>
      <c r="AF256" s="66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66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66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66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66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66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66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66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66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66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66">
        <f>AF256*V256</f>
        <v/>
      </c>
      <c r="AQ256" s="66">
        <f>AG256*W256</f>
        <v/>
      </c>
      <c r="AR256" s="66">
        <f>AH256*X256</f>
        <v/>
      </c>
      <c r="AS256" s="66">
        <f>AI256*Y256</f>
        <v/>
      </c>
      <c r="AT256" s="66">
        <f>AJ256*Z256</f>
        <v/>
      </c>
      <c r="AU256" s="66">
        <f>AK256*AA256</f>
        <v/>
      </c>
      <c r="AV256" s="66">
        <f>AL256*AB256</f>
        <v/>
      </c>
      <c r="AW256" s="66">
        <f>AM256*AC256</f>
        <v/>
      </c>
      <c r="AX256" s="66">
        <f>AN256*AD256</f>
        <v/>
      </c>
      <c r="AY256" s="66">
        <f>AO256*AE256</f>
        <v/>
      </c>
      <c r="AZ256" s="66">
        <f>INDEX(Projects[Automation Equipment],255)&amp;""</f>
        <v/>
      </c>
      <c r="BA256" s="66">
        <f>IF(OR(A256="",'Smart Search'!H13=0),"",MAX(0,BE256*BF256*MAX(0,1-BG256)))</f>
        <v/>
      </c>
      <c r="BB256" s="66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66">
        <f>IF('Smart Search'!G13=1,IFERROR(1/'Smart Search'!H13,0),0)</f>
        <v/>
      </c>
      <c r="BD256" s="66">
        <f>BB256*BC256</f>
        <v/>
      </c>
      <c r="BE256" s="66">
        <f>AP256+AQ256+AR256+AS256+AT256+AU256+AV256+AW256+AX256+AY256+BD256</f>
        <v/>
      </c>
      <c r="BF256" s="5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5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5">
        <f>IF(AND(A256&lt;&gt;"",OR('Smart Search'!$L$5="",'Smart Search'!$L$5="All",TRIM(BZ256)=TRIM('Smart Search'!$L$5)),OR(TRIM('Smart Search'!$L$6)="",TRIM('Smart Search'!$L$6)="All",ISNUMBER(SEARCH(SUBSTITUTE(SUBSTITUTE(SUBSTITUTE(TRIM('Smart Search'!$L$6),"~","~~"),"*","~*"),"?","~?"),CA256))),OR('Smart Search'!$L$7="",AND(CB256&lt;&gt;0,CB256='Smart Search'!$L$7)),OR('Smart Search'!$L$8="",'Smart Search'!$L$8="All",TRIM(CC256)=TRIM('Smart Search'!$L$8))),IF(BA256="","",BA256+ROW()*0.0000000001),"")</f>
        <v/>
      </c>
      <c r="BI256" s="5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5">
        <f>IF(A256="","",N(INDEX(Projects[Mech Inst],255)))</f>
        <v/>
      </c>
      <c r="BK256" s="5">
        <f>IF(A256="","",N(INDEX(Projects[Elec Inst],255)))</f>
        <v/>
      </c>
      <c r="BL256" s="5">
        <f>IF(A256="","",N(INDEX(Projects[Project Management],255)))</f>
        <v/>
      </c>
      <c r="BM256" s="5">
        <f>IF(A256="","",N(INDEX(Projects[Systems Eng],255)))</f>
        <v/>
      </c>
      <c r="BN256" s="5">
        <f>IF(A256="","",N(INDEX(Projects[Mechanical Eng],255)))</f>
        <v/>
      </c>
      <c r="BO256" s="5">
        <f>IF(A256="","",N(INDEX(Projects[Structural Engineering],255)))</f>
        <v/>
      </c>
      <c r="BP256" s="5">
        <f>IF(A256="","",N(INDEX(Projects[Site Sup],255)))</f>
        <v/>
      </c>
      <c r="BQ256" s="5">
        <f>IF(A256="","",N(INDEX(Projects[Controls Commissioning],255)))</f>
        <v/>
      </c>
      <c r="BR256" s="5">
        <f>IF(A256="","",N(INDEX(Projects[Systems Commissioning],255)))</f>
        <v/>
      </c>
      <c r="BS256" s="5">
        <f>IF(A256="","",N(INDEX(Projects[Service Commissioning],255)))</f>
        <v/>
      </c>
      <c r="BT256" s="5">
        <f>IF(A256="","",N(INDEX(Projects[Controls Eng],255)))</f>
        <v/>
      </c>
      <c r="BU256" s="5">
        <f>IF(A256="","",N(INDEX(Projects[Controls Purchase],255)))</f>
        <v/>
      </c>
      <c r="BV256" s="5">
        <f>IF(A256="","",N(INDEX(Projects[Software Eng],255)))</f>
        <v/>
      </c>
      <c r="BW256" s="5">
        <f>IF(A256="","",N(INDEX(Projects[Misc],255)))</f>
        <v/>
      </c>
      <c r="BX256" s="5">
        <f>IF(A256="","",SUM(BJ256:BW256))</f>
        <v/>
      </c>
      <c r="BY256" s="5">
        <f>IF(A256="","",IFERROR(IF(ISNUMBER(U256),U256,VALUE(SUBSTITUTE(SUBSTITUTE(SUBSTITUTE(UPPER(TRIM(U256)),"M",""),",","")," ",""))),0))</f>
        <v/>
      </c>
      <c r="BZ256" s="5">
        <f>INDEX(Projects[Solution Type],255)&amp;""</f>
        <v/>
      </c>
      <c r="CA256" s="5">
        <f>INDEX(Projects[Client / Region],255)&amp;""</f>
        <v/>
      </c>
      <c r="CB256" s="5">
        <f>INDEX(Projects[Year],255)</f>
        <v/>
      </c>
      <c r="CC256" s="5">
        <f>INDEX(Projects[Won?],255)&amp;""</f>
        <v/>
      </c>
      <c r="CD256" s="5">
        <f>INDEX(Projects[Value (USD M)],255)</f>
        <v/>
      </c>
    </row>
    <row r="257" ht="15" customHeight="1" s="74">
      <c r="A257" s="66">
        <f>INDEX(Projects[Project ID *],256)&amp;""</f>
        <v/>
      </c>
      <c r="B257" s="66">
        <f>INDEX(Projects[Project Name *],256)&amp;""</f>
        <v/>
      </c>
      <c r="C257" s="66">
        <f>INDEX(Projects[MS Shuttles],256)</f>
        <v/>
      </c>
      <c r="D257" s="66">
        <f>INDEX(Projects[MS Tote Locations],256)</f>
        <v/>
      </c>
      <c r="E257" s="66">
        <f>INDEX(Projects[AS Robots],256)</f>
        <v/>
      </c>
      <c r="F257" s="66">
        <f>INDEX(Projects[AS Tote Locations],256)</f>
        <v/>
      </c>
      <c r="G257" s="66">
        <f>INDEX(Projects[PS Shuttles],256)</f>
        <v/>
      </c>
      <c r="H257" s="66">
        <f>INDEX(Projects[PS Pallet Locations],256)</f>
        <v/>
      </c>
      <c r="I257" s="66">
        <f>INDEX(Projects[SRM Cranes],256)</f>
        <v/>
      </c>
      <c r="J257" s="66">
        <f>INDEX(Projects[SRM Pallet Locations],256)</f>
        <v/>
      </c>
      <c r="K257" s="66">
        <f>INDEX(Projects[Case Conv (m)],256)</f>
        <v/>
      </c>
      <c r="L257" s="66">
        <f>INDEX(Projects[Pallet Conv (m)],256)</f>
        <v/>
      </c>
      <c r="M257" s="66">
        <f>INDEX(Projects[Mech Eng (wks)],256)</f>
        <v/>
      </c>
      <c r="N257" s="66">
        <f>INDEX(Projects[Controls Eng (wks)],256)</f>
        <v/>
      </c>
      <c r="O257" s="66">
        <f>INDEX(Projects[Systems Eng (wks)],256)</f>
        <v/>
      </c>
      <c r="P257" s="66">
        <f>INDEX(Projects[Software Eng (wks)],256)</f>
        <v/>
      </c>
      <c r="Q257" s="66">
        <f>INDEX(Projects[M&amp;E Installation (wks)],256)</f>
        <v/>
      </c>
      <c r="R257" s="66">
        <f>INDEX(Projects[Commissioning (wks)],256)</f>
        <v/>
      </c>
      <c r="S257" s="66">
        <f>INDEX(Projects[Total Timeline (wks)],256)</f>
        <v/>
      </c>
      <c r="T257" s="66">
        <f>INDEX(Projects[Currency],256)&amp;""</f>
        <v/>
      </c>
      <c r="U257" s="67">
        <f>INDEX(Projects[Value (M)],256)</f>
        <v/>
      </c>
      <c r="V257" s="66">
        <f>IF('Smart Search'!B13=1,IFERROR(1/'Smart Search'!H13,0),0)</f>
        <v/>
      </c>
      <c r="W257" s="66">
        <f>IF('Smart Search'!B13=1,IFERROR(1/'Smart Search'!H13,0),0)</f>
        <v/>
      </c>
      <c r="X257" s="66">
        <f>IF('Smart Search'!C13=1,IFERROR(1/'Smart Search'!H13,0),0)</f>
        <v/>
      </c>
      <c r="Y257" s="66">
        <f>IF('Smart Search'!C13=1,IFERROR(1/'Smart Search'!H13,0),0)</f>
        <v/>
      </c>
      <c r="Z257" s="66">
        <f>IF('Smart Search'!D13=1,IFERROR(1/'Smart Search'!H13,0),0)</f>
        <v/>
      </c>
      <c r="AA257" s="66">
        <f>IF('Smart Search'!D13=1,IFERROR(1/'Smart Search'!H13,0),0)</f>
        <v/>
      </c>
      <c r="AB257" s="66">
        <f>IF('Smart Search'!E13=1,IFERROR(1/'Smart Search'!H13,0),0)</f>
        <v/>
      </c>
      <c r="AC257" s="66">
        <f>IF('Smart Search'!E13=1,IFERROR(1/'Smart Search'!H13,0),0)</f>
        <v/>
      </c>
      <c r="AD257" s="66">
        <f>IF('Smart Search'!F13=1,IFERROR(1/'Smart Search'!H13,0),0)</f>
        <v/>
      </c>
      <c r="AE257" s="66">
        <f>IF('Smart Search'!F13=1,IFERROR(1/'Smart Search'!H13,0),0)</f>
        <v/>
      </c>
      <c r="AF257" s="66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66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66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66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66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66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66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66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66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66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66">
        <f>AF257*V257</f>
        <v/>
      </c>
      <c r="AQ257" s="66">
        <f>AG257*W257</f>
        <v/>
      </c>
      <c r="AR257" s="66">
        <f>AH257*X257</f>
        <v/>
      </c>
      <c r="AS257" s="66">
        <f>AI257*Y257</f>
        <v/>
      </c>
      <c r="AT257" s="66">
        <f>AJ257*Z257</f>
        <v/>
      </c>
      <c r="AU257" s="66">
        <f>AK257*AA257</f>
        <v/>
      </c>
      <c r="AV257" s="66">
        <f>AL257*AB257</f>
        <v/>
      </c>
      <c r="AW257" s="66">
        <f>AM257*AC257</f>
        <v/>
      </c>
      <c r="AX257" s="66">
        <f>AN257*AD257</f>
        <v/>
      </c>
      <c r="AY257" s="66">
        <f>AO257*AE257</f>
        <v/>
      </c>
      <c r="AZ257" s="66">
        <f>INDEX(Projects[Automation Equipment],256)&amp;""</f>
        <v/>
      </c>
      <c r="BA257" s="66">
        <f>IF(OR(A257="",'Smart Search'!H13=0),"",MAX(0,BE257*BF257*MAX(0,1-BG257)))</f>
        <v/>
      </c>
      <c r="BB257" s="66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66">
        <f>IF('Smart Search'!G13=1,IFERROR(1/'Smart Search'!H13,0),0)</f>
        <v/>
      </c>
      <c r="BD257" s="66">
        <f>BB257*BC257</f>
        <v/>
      </c>
      <c r="BE257" s="66">
        <f>AP257+AQ257+AR257+AS257+AT257+AU257+AV257+AW257+AX257+AY257+BD257</f>
        <v/>
      </c>
      <c r="BF257" s="5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5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5">
        <f>IF(AND(A257&lt;&gt;"",OR('Smart Search'!$L$5="",'Smart Search'!$L$5="All",TRIM(BZ257)=TRIM('Smart Search'!$L$5)),OR(TRIM('Smart Search'!$L$6)="",TRIM('Smart Search'!$L$6)="All",ISNUMBER(SEARCH(SUBSTITUTE(SUBSTITUTE(SUBSTITUTE(TRIM('Smart Search'!$L$6),"~","~~"),"*","~*"),"?","~?"),CA257))),OR('Smart Search'!$L$7="",AND(CB257&lt;&gt;0,CB257='Smart Search'!$L$7)),OR('Smart Search'!$L$8="",'Smart Search'!$L$8="All",TRIM(CC257)=TRIM('Smart Search'!$L$8))),IF(BA257="","",BA257+ROW()*0.0000000001),"")</f>
        <v/>
      </c>
      <c r="BI257" s="5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5">
        <f>IF(A257="","",N(INDEX(Projects[Mech Inst],256)))</f>
        <v/>
      </c>
      <c r="BK257" s="5">
        <f>IF(A257="","",N(INDEX(Projects[Elec Inst],256)))</f>
        <v/>
      </c>
      <c r="BL257" s="5">
        <f>IF(A257="","",N(INDEX(Projects[Project Management],256)))</f>
        <v/>
      </c>
      <c r="BM257" s="5">
        <f>IF(A257="","",N(INDEX(Projects[Systems Eng],256)))</f>
        <v/>
      </c>
      <c r="BN257" s="5">
        <f>IF(A257="","",N(INDEX(Projects[Mechanical Eng],256)))</f>
        <v/>
      </c>
      <c r="BO257" s="5">
        <f>IF(A257="","",N(INDEX(Projects[Structural Engineering],256)))</f>
        <v/>
      </c>
      <c r="BP257" s="5">
        <f>IF(A257="","",N(INDEX(Projects[Site Sup],256)))</f>
        <v/>
      </c>
      <c r="BQ257" s="5">
        <f>IF(A257="","",N(INDEX(Projects[Controls Commissioning],256)))</f>
        <v/>
      </c>
      <c r="BR257" s="5">
        <f>IF(A257="","",N(INDEX(Projects[Systems Commissioning],256)))</f>
        <v/>
      </c>
      <c r="BS257" s="5">
        <f>IF(A257="","",N(INDEX(Projects[Service Commissioning],256)))</f>
        <v/>
      </c>
      <c r="BT257" s="5">
        <f>IF(A257="","",N(INDEX(Projects[Controls Eng],256)))</f>
        <v/>
      </c>
      <c r="BU257" s="5">
        <f>IF(A257="","",N(INDEX(Projects[Controls Purchase],256)))</f>
        <v/>
      </c>
      <c r="BV257" s="5">
        <f>IF(A257="","",N(INDEX(Projects[Software Eng],256)))</f>
        <v/>
      </c>
      <c r="BW257" s="5">
        <f>IF(A257="","",N(INDEX(Projects[Misc],256)))</f>
        <v/>
      </c>
      <c r="BX257" s="5">
        <f>IF(A257="","",SUM(BJ257:BW257))</f>
        <v/>
      </c>
      <c r="BY257" s="5">
        <f>IF(A257="","",IFERROR(IF(ISNUMBER(U257),U257,VALUE(SUBSTITUTE(SUBSTITUTE(SUBSTITUTE(UPPER(TRIM(U257)),"M",""),",","")," ",""))),0))</f>
        <v/>
      </c>
      <c r="BZ257" s="5">
        <f>INDEX(Projects[Solution Type],256)&amp;""</f>
        <v/>
      </c>
      <c r="CA257" s="5">
        <f>INDEX(Projects[Client / Region],256)&amp;""</f>
        <v/>
      </c>
      <c r="CB257" s="5">
        <f>INDEX(Projects[Year],256)</f>
        <v/>
      </c>
      <c r="CC257" s="5">
        <f>INDEX(Projects[Won?],256)&amp;""</f>
        <v/>
      </c>
      <c r="CD257" s="5">
        <f>INDEX(Projects[Value (USD M)],256)</f>
        <v/>
      </c>
    </row>
    <row r="258" ht="15" customHeight="1" s="74">
      <c r="A258" s="66">
        <f>INDEX(Projects[Project ID *],257)&amp;""</f>
        <v/>
      </c>
      <c r="B258" s="66">
        <f>INDEX(Projects[Project Name *],257)&amp;""</f>
        <v/>
      </c>
      <c r="C258" s="66">
        <f>INDEX(Projects[MS Shuttles],257)</f>
        <v/>
      </c>
      <c r="D258" s="66">
        <f>INDEX(Projects[MS Tote Locations],257)</f>
        <v/>
      </c>
      <c r="E258" s="66">
        <f>INDEX(Projects[AS Robots],257)</f>
        <v/>
      </c>
      <c r="F258" s="66">
        <f>INDEX(Projects[AS Tote Locations],257)</f>
        <v/>
      </c>
      <c r="G258" s="66">
        <f>INDEX(Projects[PS Shuttles],257)</f>
        <v/>
      </c>
      <c r="H258" s="66">
        <f>INDEX(Projects[PS Pallet Locations],257)</f>
        <v/>
      </c>
      <c r="I258" s="66">
        <f>INDEX(Projects[SRM Cranes],257)</f>
        <v/>
      </c>
      <c r="J258" s="66">
        <f>INDEX(Projects[SRM Pallet Locations],257)</f>
        <v/>
      </c>
      <c r="K258" s="66">
        <f>INDEX(Projects[Case Conv (m)],257)</f>
        <v/>
      </c>
      <c r="L258" s="66">
        <f>INDEX(Projects[Pallet Conv (m)],257)</f>
        <v/>
      </c>
      <c r="M258" s="66">
        <f>INDEX(Projects[Mech Eng (wks)],257)</f>
        <v/>
      </c>
      <c r="N258" s="66">
        <f>INDEX(Projects[Controls Eng (wks)],257)</f>
        <v/>
      </c>
      <c r="O258" s="66">
        <f>INDEX(Projects[Systems Eng (wks)],257)</f>
        <v/>
      </c>
      <c r="P258" s="66">
        <f>INDEX(Projects[Software Eng (wks)],257)</f>
        <v/>
      </c>
      <c r="Q258" s="66">
        <f>INDEX(Projects[M&amp;E Installation (wks)],257)</f>
        <v/>
      </c>
      <c r="R258" s="66">
        <f>INDEX(Projects[Commissioning (wks)],257)</f>
        <v/>
      </c>
      <c r="S258" s="66">
        <f>INDEX(Projects[Total Timeline (wks)],257)</f>
        <v/>
      </c>
      <c r="T258" s="66">
        <f>INDEX(Projects[Currency],257)&amp;""</f>
        <v/>
      </c>
      <c r="U258" s="67">
        <f>INDEX(Projects[Value (M)],257)</f>
        <v/>
      </c>
      <c r="V258" s="66">
        <f>IF('Smart Search'!B13=1,IFERROR(1/'Smart Search'!H13,0),0)</f>
        <v/>
      </c>
      <c r="W258" s="66">
        <f>IF('Smart Search'!B13=1,IFERROR(1/'Smart Search'!H13,0),0)</f>
        <v/>
      </c>
      <c r="X258" s="66">
        <f>IF('Smart Search'!C13=1,IFERROR(1/'Smart Search'!H13,0),0)</f>
        <v/>
      </c>
      <c r="Y258" s="66">
        <f>IF('Smart Search'!C13=1,IFERROR(1/'Smart Search'!H13,0),0)</f>
        <v/>
      </c>
      <c r="Z258" s="66">
        <f>IF('Smart Search'!D13=1,IFERROR(1/'Smart Search'!H13,0),0)</f>
        <v/>
      </c>
      <c r="AA258" s="66">
        <f>IF('Smart Search'!D13=1,IFERROR(1/'Smart Search'!H13,0),0)</f>
        <v/>
      </c>
      <c r="AB258" s="66">
        <f>IF('Smart Search'!E13=1,IFERROR(1/'Smart Search'!H13,0),0)</f>
        <v/>
      </c>
      <c r="AC258" s="66">
        <f>IF('Smart Search'!E13=1,IFERROR(1/'Smart Search'!H13,0),0)</f>
        <v/>
      </c>
      <c r="AD258" s="66">
        <f>IF('Smart Search'!F13=1,IFERROR(1/'Smart Search'!H13,0),0)</f>
        <v/>
      </c>
      <c r="AE258" s="66">
        <f>IF('Smart Search'!F13=1,IFERROR(1/'Smart Search'!H13,0),0)</f>
        <v/>
      </c>
      <c r="AF258" s="66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66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66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66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66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66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66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66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66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66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66">
        <f>AF258*V258</f>
        <v/>
      </c>
      <c r="AQ258" s="66">
        <f>AG258*W258</f>
        <v/>
      </c>
      <c r="AR258" s="66">
        <f>AH258*X258</f>
        <v/>
      </c>
      <c r="AS258" s="66">
        <f>AI258*Y258</f>
        <v/>
      </c>
      <c r="AT258" s="66">
        <f>AJ258*Z258</f>
        <v/>
      </c>
      <c r="AU258" s="66">
        <f>AK258*AA258</f>
        <v/>
      </c>
      <c r="AV258" s="66">
        <f>AL258*AB258</f>
        <v/>
      </c>
      <c r="AW258" s="66">
        <f>AM258*AC258</f>
        <v/>
      </c>
      <c r="AX258" s="66">
        <f>AN258*AD258</f>
        <v/>
      </c>
      <c r="AY258" s="66">
        <f>AO258*AE258</f>
        <v/>
      </c>
      <c r="AZ258" s="66">
        <f>INDEX(Projects[Automation Equipment],257)&amp;""</f>
        <v/>
      </c>
      <c r="BA258" s="66">
        <f>IF(OR(A258="",'Smart Search'!H13=0),"",MAX(0,BE258*BF258*MAX(0,1-BG258)))</f>
        <v/>
      </c>
      <c r="BB258" s="66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66">
        <f>IF('Smart Search'!G13=1,IFERROR(1/'Smart Search'!H13,0),0)</f>
        <v/>
      </c>
      <c r="BD258" s="66">
        <f>BB258*BC258</f>
        <v/>
      </c>
      <c r="BE258" s="66">
        <f>AP258+AQ258+AR258+AS258+AT258+AU258+AV258+AW258+AX258+AY258+BD258</f>
        <v/>
      </c>
      <c r="BF258" s="5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5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5">
        <f>IF(AND(A258&lt;&gt;"",OR('Smart Search'!$L$5="",'Smart Search'!$L$5="All",TRIM(BZ258)=TRIM('Smart Search'!$L$5)),OR(TRIM('Smart Search'!$L$6)="",TRIM('Smart Search'!$L$6)="All",ISNUMBER(SEARCH(SUBSTITUTE(SUBSTITUTE(SUBSTITUTE(TRIM('Smart Search'!$L$6),"~","~~"),"*","~*"),"?","~?"),CA258))),OR('Smart Search'!$L$7="",AND(CB258&lt;&gt;0,CB258='Smart Search'!$L$7)),OR('Smart Search'!$L$8="",'Smart Search'!$L$8="All",TRIM(CC258)=TRIM('Smart Search'!$L$8))),IF(BA258="","",BA258+ROW()*0.0000000001),"")</f>
        <v/>
      </c>
      <c r="BI258" s="5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5">
        <f>IF(A258="","",N(INDEX(Projects[Mech Inst],257)))</f>
        <v/>
      </c>
      <c r="BK258" s="5">
        <f>IF(A258="","",N(INDEX(Projects[Elec Inst],257)))</f>
        <v/>
      </c>
      <c r="BL258" s="5">
        <f>IF(A258="","",N(INDEX(Projects[Project Management],257)))</f>
        <v/>
      </c>
      <c r="BM258" s="5">
        <f>IF(A258="","",N(INDEX(Projects[Systems Eng],257)))</f>
        <v/>
      </c>
      <c r="BN258" s="5">
        <f>IF(A258="","",N(INDEX(Projects[Mechanical Eng],257)))</f>
        <v/>
      </c>
      <c r="BO258" s="5">
        <f>IF(A258="","",N(INDEX(Projects[Structural Engineering],257)))</f>
        <v/>
      </c>
      <c r="BP258" s="5">
        <f>IF(A258="","",N(INDEX(Projects[Site Sup],257)))</f>
        <v/>
      </c>
      <c r="BQ258" s="5">
        <f>IF(A258="","",N(INDEX(Projects[Controls Commissioning],257)))</f>
        <v/>
      </c>
      <c r="BR258" s="5">
        <f>IF(A258="","",N(INDEX(Projects[Systems Commissioning],257)))</f>
        <v/>
      </c>
      <c r="BS258" s="5">
        <f>IF(A258="","",N(INDEX(Projects[Service Commissioning],257)))</f>
        <v/>
      </c>
      <c r="BT258" s="5">
        <f>IF(A258="","",N(INDEX(Projects[Controls Eng],257)))</f>
        <v/>
      </c>
      <c r="BU258" s="5">
        <f>IF(A258="","",N(INDEX(Projects[Controls Purchase],257)))</f>
        <v/>
      </c>
      <c r="BV258" s="5">
        <f>IF(A258="","",N(INDEX(Projects[Software Eng],257)))</f>
        <v/>
      </c>
      <c r="BW258" s="5">
        <f>IF(A258="","",N(INDEX(Projects[Misc],257)))</f>
        <v/>
      </c>
      <c r="BX258" s="5">
        <f>IF(A258="","",SUM(BJ258:BW258))</f>
        <v/>
      </c>
      <c r="BY258" s="5">
        <f>IF(A258="","",IFERROR(IF(ISNUMBER(U258),U258,VALUE(SUBSTITUTE(SUBSTITUTE(SUBSTITUTE(UPPER(TRIM(U258)),"M",""),",","")," ",""))),0))</f>
        <v/>
      </c>
      <c r="BZ258" s="5">
        <f>INDEX(Projects[Solution Type],257)&amp;""</f>
        <v/>
      </c>
      <c r="CA258" s="5">
        <f>INDEX(Projects[Client / Region],257)&amp;""</f>
        <v/>
      </c>
      <c r="CB258" s="5">
        <f>INDEX(Projects[Year],257)</f>
        <v/>
      </c>
      <c r="CC258" s="5">
        <f>INDEX(Projects[Won?],257)&amp;""</f>
        <v/>
      </c>
      <c r="CD258" s="5">
        <f>INDEX(Projects[Value (USD M)],257)</f>
        <v/>
      </c>
    </row>
    <row r="259" ht="15" customHeight="1" s="74">
      <c r="A259" s="66">
        <f>INDEX(Projects[Project ID *],258)&amp;""</f>
        <v/>
      </c>
      <c r="B259" s="66">
        <f>INDEX(Projects[Project Name *],258)&amp;""</f>
        <v/>
      </c>
      <c r="C259" s="66">
        <f>INDEX(Projects[MS Shuttles],258)</f>
        <v/>
      </c>
      <c r="D259" s="66">
        <f>INDEX(Projects[MS Tote Locations],258)</f>
        <v/>
      </c>
      <c r="E259" s="66">
        <f>INDEX(Projects[AS Robots],258)</f>
        <v/>
      </c>
      <c r="F259" s="66">
        <f>INDEX(Projects[AS Tote Locations],258)</f>
        <v/>
      </c>
      <c r="G259" s="66">
        <f>INDEX(Projects[PS Shuttles],258)</f>
        <v/>
      </c>
      <c r="H259" s="66">
        <f>INDEX(Projects[PS Pallet Locations],258)</f>
        <v/>
      </c>
      <c r="I259" s="66">
        <f>INDEX(Projects[SRM Cranes],258)</f>
        <v/>
      </c>
      <c r="J259" s="66">
        <f>INDEX(Projects[SRM Pallet Locations],258)</f>
        <v/>
      </c>
      <c r="K259" s="66">
        <f>INDEX(Projects[Case Conv (m)],258)</f>
        <v/>
      </c>
      <c r="L259" s="66">
        <f>INDEX(Projects[Pallet Conv (m)],258)</f>
        <v/>
      </c>
      <c r="M259" s="66">
        <f>INDEX(Projects[Mech Eng (wks)],258)</f>
        <v/>
      </c>
      <c r="N259" s="66">
        <f>INDEX(Projects[Controls Eng (wks)],258)</f>
        <v/>
      </c>
      <c r="O259" s="66">
        <f>INDEX(Projects[Systems Eng (wks)],258)</f>
        <v/>
      </c>
      <c r="P259" s="66">
        <f>INDEX(Projects[Software Eng (wks)],258)</f>
        <v/>
      </c>
      <c r="Q259" s="66">
        <f>INDEX(Projects[M&amp;E Installation (wks)],258)</f>
        <v/>
      </c>
      <c r="R259" s="66">
        <f>INDEX(Projects[Commissioning (wks)],258)</f>
        <v/>
      </c>
      <c r="S259" s="66">
        <f>INDEX(Projects[Total Timeline (wks)],258)</f>
        <v/>
      </c>
      <c r="T259" s="66">
        <f>INDEX(Projects[Currency],258)&amp;""</f>
        <v/>
      </c>
      <c r="U259" s="67">
        <f>INDEX(Projects[Value (M)],258)</f>
        <v/>
      </c>
      <c r="V259" s="66">
        <f>IF('Smart Search'!B13=1,IFERROR(1/'Smart Search'!H13,0),0)</f>
        <v/>
      </c>
      <c r="W259" s="66">
        <f>IF('Smart Search'!B13=1,IFERROR(1/'Smart Search'!H13,0),0)</f>
        <v/>
      </c>
      <c r="X259" s="66">
        <f>IF('Smart Search'!C13=1,IFERROR(1/'Smart Search'!H13,0),0)</f>
        <v/>
      </c>
      <c r="Y259" s="66">
        <f>IF('Smart Search'!C13=1,IFERROR(1/'Smart Search'!H13,0),0)</f>
        <v/>
      </c>
      <c r="Z259" s="66">
        <f>IF('Smart Search'!D13=1,IFERROR(1/'Smart Search'!H13,0),0)</f>
        <v/>
      </c>
      <c r="AA259" s="66">
        <f>IF('Smart Search'!D13=1,IFERROR(1/'Smart Search'!H13,0),0)</f>
        <v/>
      </c>
      <c r="AB259" s="66">
        <f>IF('Smart Search'!E13=1,IFERROR(1/'Smart Search'!H13,0),0)</f>
        <v/>
      </c>
      <c r="AC259" s="66">
        <f>IF('Smart Search'!E13=1,IFERROR(1/'Smart Search'!H13,0),0)</f>
        <v/>
      </c>
      <c r="AD259" s="66">
        <f>IF('Smart Search'!F13=1,IFERROR(1/'Smart Search'!H13,0),0)</f>
        <v/>
      </c>
      <c r="AE259" s="66">
        <f>IF('Smart Search'!F13=1,IFERROR(1/'Smart Search'!H13,0),0)</f>
        <v/>
      </c>
      <c r="AF259" s="66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66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66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66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66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66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66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66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66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66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66">
        <f>AF259*V259</f>
        <v/>
      </c>
      <c r="AQ259" s="66">
        <f>AG259*W259</f>
        <v/>
      </c>
      <c r="AR259" s="66">
        <f>AH259*X259</f>
        <v/>
      </c>
      <c r="AS259" s="66">
        <f>AI259*Y259</f>
        <v/>
      </c>
      <c r="AT259" s="66">
        <f>AJ259*Z259</f>
        <v/>
      </c>
      <c r="AU259" s="66">
        <f>AK259*AA259</f>
        <v/>
      </c>
      <c r="AV259" s="66">
        <f>AL259*AB259</f>
        <v/>
      </c>
      <c r="AW259" s="66">
        <f>AM259*AC259</f>
        <v/>
      </c>
      <c r="AX259" s="66">
        <f>AN259*AD259</f>
        <v/>
      </c>
      <c r="AY259" s="66">
        <f>AO259*AE259</f>
        <v/>
      </c>
      <c r="AZ259" s="66">
        <f>INDEX(Projects[Automation Equipment],258)&amp;""</f>
        <v/>
      </c>
      <c r="BA259" s="66">
        <f>IF(OR(A259="",'Smart Search'!H13=0),"",MAX(0,BE259*BF259*MAX(0,1-BG259)))</f>
        <v/>
      </c>
      <c r="BB259" s="66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66">
        <f>IF('Smart Search'!G13=1,IFERROR(1/'Smart Search'!H13,0),0)</f>
        <v/>
      </c>
      <c r="BD259" s="66">
        <f>BB259*BC259</f>
        <v/>
      </c>
      <c r="BE259" s="66">
        <f>AP259+AQ259+AR259+AS259+AT259+AU259+AV259+AW259+AX259+AY259+BD259</f>
        <v/>
      </c>
      <c r="BF259" s="5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5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5">
        <f>IF(AND(A259&lt;&gt;"",OR('Smart Search'!$L$5="",'Smart Search'!$L$5="All",TRIM(BZ259)=TRIM('Smart Search'!$L$5)),OR(TRIM('Smart Search'!$L$6)="",TRIM('Smart Search'!$L$6)="All",ISNUMBER(SEARCH(SUBSTITUTE(SUBSTITUTE(SUBSTITUTE(TRIM('Smart Search'!$L$6),"~","~~"),"*","~*"),"?","~?"),CA259))),OR('Smart Search'!$L$7="",AND(CB259&lt;&gt;0,CB259='Smart Search'!$L$7)),OR('Smart Search'!$L$8="",'Smart Search'!$L$8="All",TRIM(CC259)=TRIM('Smart Search'!$L$8))),IF(BA259="","",BA259+ROW()*0.0000000001),"")</f>
        <v/>
      </c>
      <c r="BI259" s="5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5">
        <f>IF(A259="","",N(INDEX(Projects[Mech Inst],258)))</f>
        <v/>
      </c>
      <c r="BK259" s="5">
        <f>IF(A259="","",N(INDEX(Projects[Elec Inst],258)))</f>
        <v/>
      </c>
      <c r="BL259" s="5">
        <f>IF(A259="","",N(INDEX(Projects[Project Management],258)))</f>
        <v/>
      </c>
      <c r="BM259" s="5">
        <f>IF(A259="","",N(INDEX(Projects[Systems Eng],258)))</f>
        <v/>
      </c>
      <c r="BN259" s="5">
        <f>IF(A259="","",N(INDEX(Projects[Mechanical Eng],258)))</f>
        <v/>
      </c>
      <c r="BO259" s="5">
        <f>IF(A259="","",N(INDEX(Projects[Structural Engineering],258)))</f>
        <v/>
      </c>
      <c r="BP259" s="5">
        <f>IF(A259="","",N(INDEX(Projects[Site Sup],258)))</f>
        <v/>
      </c>
      <c r="BQ259" s="5">
        <f>IF(A259="","",N(INDEX(Projects[Controls Commissioning],258)))</f>
        <v/>
      </c>
      <c r="BR259" s="5">
        <f>IF(A259="","",N(INDEX(Projects[Systems Commissioning],258)))</f>
        <v/>
      </c>
      <c r="BS259" s="5">
        <f>IF(A259="","",N(INDEX(Projects[Service Commissioning],258)))</f>
        <v/>
      </c>
      <c r="BT259" s="5">
        <f>IF(A259="","",N(INDEX(Projects[Controls Eng],258)))</f>
        <v/>
      </c>
      <c r="BU259" s="5">
        <f>IF(A259="","",N(INDEX(Projects[Controls Purchase],258)))</f>
        <v/>
      </c>
      <c r="BV259" s="5">
        <f>IF(A259="","",N(INDEX(Projects[Software Eng],258)))</f>
        <v/>
      </c>
      <c r="BW259" s="5">
        <f>IF(A259="","",N(INDEX(Projects[Misc],258)))</f>
        <v/>
      </c>
      <c r="BX259" s="5">
        <f>IF(A259="","",SUM(BJ259:BW259))</f>
        <v/>
      </c>
      <c r="BY259" s="5">
        <f>IF(A259="","",IFERROR(IF(ISNUMBER(U259),U259,VALUE(SUBSTITUTE(SUBSTITUTE(SUBSTITUTE(UPPER(TRIM(U259)),"M",""),",","")," ",""))),0))</f>
        <v/>
      </c>
      <c r="BZ259" s="5">
        <f>INDEX(Projects[Solution Type],258)&amp;""</f>
        <v/>
      </c>
      <c r="CA259" s="5">
        <f>INDEX(Projects[Client / Region],258)&amp;""</f>
        <v/>
      </c>
      <c r="CB259" s="5">
        <f>INDEX(Projects[Year],258)</f>
        <v/>
      </c>
      <c r="CC259" s="5">
        <f>INDEX(Projects[Won?],258)&amp;""</f>
        <v/>
      </c>
      <c r="CD259" s="5">
        <f>INDEX(Projects[Value (USD M)],258)</f>
        <v/>
      </c>
    </row>
    <row r="260" ht="15" customHeight="1" s="74">
      <c r="A260" s="66">
        <f>INDEX(Projects[Project ID *],259)&amp;""</f>
        <v/>
      </c>
      <c r="B260" s="66">
        <f>INDEX(Projects[Project Name *],259)&amp;""</f>
        <v/>
      </c>
      <c r="C260" s="66">
        <f>INDEX(Projects[MS Shuttles],259)</f>
        <v/>
      </c>
      <c r="D260" s="66">
        <f>INDEX(Projects[MS Tote Locations],259)</f>
        <v/>
      </c>
      <c r="E260" s="66">
        <f>INDEX(Projects[AS Robots],259)</f>
        <v/>
      </c>
      <c r="F260" s="66">
        <f>INDEX(Projects[AS Tote Locations],259)</f>
        <v/>
      </c>
      <c r="G260" s="66">
        <f>INDEX(Projects[PS Shuttles],259)</f>
        <v/>
      </c>
      <c r="H260" s="66">
        <f>INDEX(Projects[PS Pallet Locations],259)</f>
        <v/>
      </c>
      <c r="I260" s="66">
        <f>INDEX(Projects[SRM Cranes],259)</f>
        <v/>
      </c>
      <c r="J260" s="66">
        <f>INDEX(Projects[SRM Pallet Locations],259)</f>
        <v/>
      </c>
      <c r="K260" s="66">
        <f>INDEX(Projects[Case Conv (m)],259)</f>
        <v/>
      </c>
      <c r="L260" s="66">
        <f>INDEX(Projects[Pallet Conv (m)],259)</f>
        <v/>
      </c>
      <c r="M260" s="66">
        <f>INDEX(Projects[Mech Eng (wks)],259)</f>
        <v/>
      </c>
      <c r="N260" s="66">
        <f>INDEX(Projects[Controls Eng (wks)],259)</f>
        <v/>
      </c>
      <c r="O260" s="66">
        <f>INDEX(Projects[Systems Eng (wks)],259)</f>
        <v/>
      </c>
      <c r="P260" s="66">
        <f>INDEX(Projects[Software Eng (wks)],259)</f>
        <v/>
      </c>
      <c r="Q260" s="66">
        <f>INDEX(Projects[M&amp;E Installation (wks)],259)</f>
        <v/>
      </c>
      <c r="R260" s="66">
        <f>INDEX(Projects[Commissioning (wks)],259)</f>
        <v/>
      </c>
      <c r="S260" s="66">
        <f>INDEX(Projects[Total Timeline (wks)],259)</f>
        <v/>
      </c>
      <c r="T260" s="66">
        <f>INDEX(Projects[Currency],259)&amp;""</f>
        <v/>
      </c>
      <c r="U260" s="67">
        <f>INDEX(Projects[Value (M)],259)</f>
        <v/>
      </c>
      <c r="V260" s="66">
        <f>IF('Smart Search'!B13=1,IFERROR(1/'Smart Search'!H13,0),0)</f>
        <v/>
      </c>
      <c r="W260" s="66">
        <f>IF('Smart Search'!B13=1,IFERROR(1/'Smart Search'!H13,0),0)</f>
        <v/>
      </c>
      <c r="X260" s="66">
        <f>IF('Smart Search'!C13=1,IFERROR(1/'Smart Search'!H13,0),0)</f>
        <v/>
      </c>
      <c r="Y260" s="66">
        <f>IF('Smart Search'!C13=1,IFERROR(1/'Smart Search'!H13,0),0)</f>
        <v/>
      </c>
      <c r="Z260" s="66">
        <f>IF('Smart Search'!D13=1,IFERROR(1/'Smart Search'!H13,0),0)</f>
        <v/>
      </c>
      <c r="AA260" s="66">
        <f>IF('Smart Search'!D13=1,IFERROR(1/'Smart Search'!H13,0),0)</f>
        <v/>
      </c>
      <c r="AB260" s="66">
        <f>IF('Smart Search'!E13=1,IFERROR(1/'Smart Search'!H13,0),0)</f>
        <v/>
      </c>
      <c r="AC260" s="66">
        <f>IF('Smart Search'!E13=1,IFERROR(1/'Smart Search'!H13,0),0)</f>
        <v/>
      </c>
      <c r="AD260" s="66">
        <f>IF('Smart Search'!F13=1,IFERROR(1/'Smart Search'!H13,0),0)</f>
        <v/>
      </c>
      <c r="AE260" s="66">
        <f>IF('Smart Search'!F13=1,IFERROR(1/'Smart Search'!H13,0),0)</f>
        <v/>
      </c>
      <c r="AF260" s="66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66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66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66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66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66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66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66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66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66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66">
        <f>AF260*V260</f>
        <v/>
      </c>
      <c r="AQ260" s="66">
        <f>AG260*W260</f>
        <v/>
      </c>
      <c r="AR260" s="66">
        <f>AH260*X260</f>
        <v/>
      </c>
      <c r="AS260" s="66">
        <f>AI260*Y260</f>
        <v/>
      </c>
      <c r="AT260" s="66">
        <f>AJ260*Z260</f>
        <v/>
      </c>
      <c r="AU260" s="66">
        <f>AK260*AA260</f>
        <v/>
      </c>
      <c r="AV260" s="66">
        <f>AL260*AB260</f>
        <v/>
      </c>
      <c r="AW260" s="66">
        <f>AM260*AC260</f>
        <v/>
      </c>
      <c r="AX260" s="66">
        <f>AN260*AD260</f>
        <v/>
      </c>
      <c r="AY260" s="66">
        <f>AO260*AE260</f>
        <v/>
      </c>
      <c r="AZ260" s="66">
        <f>INDEX(Projects[Automation Equipment],259)&amp;""</f>
        <v/>
      </c>
      <c r="BA260" s="66">
        <f>IF(OR(A260="",'Smart Search'!H13=0),"",MAX(0,BE260*BF260*MAX(0,1-BG260)))</f>
        <v/>
      </c>
      <c r="BB260" s="66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66">
        <f>IF('Smart Search'!G13=1,IFERROR(1/'Smart Search'!H13,0),0)</f>
        <v/>
      </c>
      <c r="BD260" s="66">
        <f>BB260*BC260</f>
        <v/>
      </c>
      <c r="BE260" s="66">
        <f>AP260+AQ260+AR260+AS260+AT260+AU260+AV260+AW260+AX260+AY260+BD260</f>
        <v/>
      </c>
      <c r="BF260" s="5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5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5">
        <f>IF(AND(A260&lt;&gt;"",OR('Smart Search'!$L$5="",'Smart Search'!$L$5="All",TRIM(BZ260)=TRIM('Smart Search'!$L$5)),OR(TRIM('Smart Search'!$L$6)="",TRIM('Smart Search'!$L$6)="All",ISNUMBER(SEARCH(SUBSTITUTE(SUBSTITUTE(SUBSTITUTE(TRIM('Smart Search'!$L$6),"~","~~"),"*","~*"),"?","~?"),CA260))),OR('Smart Search'!$L$7="",AND(CB260&lt;&gt;0,CB260='Smart Search'!$L$7)),OR('Smart Search'!$L$8="",'Smart Search'!$L$8="All",TRIM(CC260)=TRIM('Smart Search'!$L$8))),IF(BA260="","",BA260+ROW()*0.0000000001),"")</f>
        <v/>
      </c>
      <c r="BI260" s="5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5">
        <f>IF(A260="","",N(INDEX(Projects[Mech Inst],259)))</f>
        <v/>
      </c>
      <c r="BK260" s="5">
        <f>IF(A260="","",N(INDEX(Projects[Elec Inst],259)))</f>
        <v/>
      </c>
      <c r="BL260" s="5">
        <f>IF(A260="","",N(INDEX(Projects[Project Management],259)))</f>
        <v/>
      </c>
      <c r="BM260" s="5">
        <f>IF(A260="","",N(INDEX(Projects[Systems Eng],259)))</f>
        <v/>
      </c>
      <c r="BN260" s="5">
        <f>IF(A260="","",N(INDEX(Projects[Mechanical Eng],259)))</f>
        <v/>
      </c>
      <c r="BO260" s="5">
        <f>IF(A260="","",N(INDEX(Projects[Structural Engineering],259)))</f>
        <v/>
      </c>
      <c r="BP260" s="5">
        <f>IF(A260="","",N(INDEX(Projects[Site Sup],259)))</f>
        <v/>
      </c>
      <c r="BQ260" s="5">
        <f>IF(A260="","",N(INDEX(Projects[Controls Commissioning],259)))</f>
        <v/>
      </c>
      <c r="BR260" s="5">
        <f>IF(A260="","",N(INDEX(Projects[Systems Commissioning],259)))</f>
        <v/>
      </c>
      <c r="BS260" s="5">
        <f>IF(A260="","",N(INDEX(Projects[Service Commissioning],259)))</f>
        <v/>
      </c>
      <c r="BT260" s="5">
        <f>IF(A260="","",N(INDEX(Projects[Controls Eng],259)))</f>
        <v/>
      </c>
      <c r="BU260" s="5">
        <f>IF(A260="","",N(INDEX(Projects[Controls Purchase],259)))</f>
        <v/>
      </c>
      <c r="BV260" s="5">
        <f>IF(A260="","",N(INDEX(Projects[Software Eng],259)))</f>
        <v/>
      </c>
      <c r="BW260" s="5">
        <f>IF(A260="","",N(INDEX(Projects[Misc],259)))</f>
        <v/>
      </c>
      <c r="BX260" s="5">
        <f>IF(A260="","",SUM(BJ260:BW260))</f>
        <v/>
      </c>
      <c r="BY260" s="5">
        <f>IF(A260="","",IFERROR(IF(ISNUMBER(U260),U260,VALUE(SUBSTITUTE(SUBSTITUTE(SUBSTITUTE(UPPER(TRIM(U260)),"M",""),",","")," ",""))),0))</f>
        <v/>
      </c>
      <c r="BZ260" s="5">
        <f>INDEX(Projects[Solution Type],259)&amp;""</f>
        <v/>
      </c>
      <c r="CA260" s="5">
        <f>INDEX(Projects[Client / Region],259)&amp;""</f>
        <v/>
      </c>
      <c r="CB260" s="5">
        <f>INDEX(Projects[Year],259)</f>
        <v/>
      </c>
      <c r="CC260" s="5">
        <f>INDEX(Projects[Won?],259)&amp;""</f>
        <v/>
      </c>
      <c r="CD260" s="5">
        <f>INDEX(Projects[Value (USD M)],259)</f>
        <v/>
      </c>
    </row>
    <row r="261" ht="15" customHeight="1" s="74">
      <c r="A261" s="66">
        <f>INDEX(Projects[Project ID *],260)&amp;""</f>
        <v/>
      </c>
      <c r="B261" s="66">
        <f>INDEX(Projects[Project Name *],260)&amp;""</f>
        <v/>
      </c>
      <c r="C261" s="66">
        <f>INDEX(Projects[MS Shuttles],260)</f>
        <v/>
      </c>
      <c r="D261" s="66">
        <f>INDEX(Projects[MS Tote Locations],260)</f>
        <v/>
      </c>
      <c r="E261" s="66">
        <f>INDEX(Projects[AS Robots],260)</f>
        <v/>
      </c>
      <c r="F261" s="66">
        <f>INDEX(Projects[AS Tote Locations],260)</f>
        <v/>
      </c>
      <c r="G261" s="66">
        <f>INDEX(Projects[PS Shuttles],260)</f>
        <v/>
      </c>
      <c r="H261" s="66">
        <f>INDEX(Projects[PS Pallet Locations],260)</f>
        <v/>
      </c>
      <c r="I261" s="66">
        <f>INDEX(Projects[SRM Cranes],260)</f>
        <v/>
      </c>
      <c r="J261" s="66">
        <f>INDEX(Projects[SRM Pallet Locations],260)</f>
        <v/>
      </c>
      <c r="K261" s="66">
        <f>INDEX(Projects[Case Conv (m)],260)</f>
        <v/>
      </c>
      <c r="L261" s="66">
        <f>INDEX(Projects[Pallet Conv (m)],260)</f>
        <v/>
      </c>
      <c r="M261" s="66">
        <f>INDEX(Projects[Mech Eng (wks)],260)</f>
        <v/>
      </c>
      <c r="N261" s="66">
        <f>INDEX(Projects[Controls Eng (wks)],260)</f>
        <v/>
      </c>
      <c r="O261" s="66">
        <f>INDEX(Projects[Systems Eng (wks)],260)</f>
        <v/>
      </c>
      <c r="P261" s="66">
        <f>INDEX(Projects[Software Eng (wks)],260)</f>
        <v/>
      </c>
      <c r="Q261" s="66">
        <f>INDEX(Projects[M&amp;E Installation (wks)],260)</f>
        <v/>
      </c>
      <c r="R261" s="66">
        <f>INDEX(Projects[Commissioning (wks)],260)</f>
        <v/>
      </c>
      <c r="S261" s="66">
        <f>INDEX(Projects[Total Timeline (wks)],260)</f>
        <v/>
      </c>
      <c r="T261" s="66">
        <f>INDEX(Projects[Currency],260)&amp;""</f>
        <v/>
      </c>
      <c r="U261" s="67">
        <f>INDEX(Projects[Value (M)],260)</f>
        <v/>
      </c>
      <c r="V261" s="66">
        <f>IF('Smart Search'!B13=1,IFERROR(1/'Smart Search'!H13,0),0)</f>
        <v/>
      </c>
      <c r="W261" s="66">
        <f>IF('Smart Search'!B13=1,IFERROR(1/'Smart Search'!H13,0),0)</f>
        <v/>
      </c>
      <c r="X261" s="66">
        <f>IF('Smart Search'!C13=1,IFERROR(1/'Smart Search'!H13,0),0)</f>
        <v/>
      </c>
      <c r="Y261" s="66">
        <f>IF('Smart Search'!C13=1,IFERROR(1/'Smart Search'!H13,0),0)</f>
        <v/>
      </c>
      <c r="Z261" s="66">
        <f>IF('Smart Search'!D13=1,IFERROR(1/'Smart Search'!H13,0),0)</f>
        <v/>
      </c>
      <c r="AA261" s="66">
        <f>IF('Smart Search'!D13=1,IFERROR(1/'Smart Search'!H13,0),0)</f>
        <v/>
      </c>
      <c r="AB261" s="66">
        <f>IF('Smart Search'!E13=1,IFERROR(1/'Smart Search'!H13,0),0)</f>
        <v/>
      </c>
      <c r="AC261" s="66">
        <f>IF('Smart Search'!E13=1,IFERROR(1/'Smart Search'!H13,0),0)</f>
        <v/>
      </c>
      <c r="AD261" s="66">
        <f>IF('Smart Search'!F13=1,IFERROR(1/'Smart Search'!H13,0),0)</f>
        <v/>
      </c>
      <c r="AE261" s="66">
        <f>IF('Smart Search'!F13=1,IFERROR(1/'Smart Search'!H13,0),0)</f>
        <v/>
      </c>
      <c r="AF261" s="66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66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66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66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66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66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66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66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66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66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66">
        <f>AF261*V261</f>
        <v/>
      </c>
      <c r="AQ261" s="66">
        <f>AG261*W261</f>
        <v/>
      </c>
      <c r="AR261" s="66">
        <f>AH261*X261</f>
        <v/>
      </c>
      <c r="AS261" s="66">
        <f>AI261*Y261</f>
        <v/>
      </c>
      <c r="AT261" s="66">
        <f>AJ261*Z261</f>
        <v/>
      </c>
      <c r="AU261" s="66">
        <f>AK261*AA261</f>
        <v/>
      </c>
      <c r="AV261" s="66">
        <f>AL261*AB261</f>
        <v/>
      </c>
      <c r="AW261" s="66">
        <f>AM261*AC261</f>
        <v/>
      </c>
      <c r="AX261" s="66">
        <f>AN261*AD261</f>
        <v/>
      </c>
      <c r="AY261" s="66">
        <f>AO261*AE261</f>
        <v/>
      </c>
      <c r="AZ261" s="66">
        <f>INDEX(Projects[Automation Equipment],260)&amp;""</f>
        <v/>
      </c>
      <c r="BA261" s="66">
        <f>IF(OR(A261="",'Smart Search'!H13=0),"",MAX(0,BE261*BF261*MAX(0,1-BG261)))</f>
        <v/>
      </c>
      <c r="BB261" s="66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66">
        <f>IF('Smart Search'!G13=1,IFERROR(1/'Smart Search'!H13,0),0)</f>
        <v/>
      </c>
      <c r="BD261" s="66">
        <f>BB261*BC261</f>
        <v/>
      </c>
      <c r="BE261" s="66">
        <f>AP261+AQ261+AR261+AS261+AT261+AU261+AV261+AW261+AX261+AY261+BD261</f>
        <v/>
      </c>
      <c r="BF261" s="5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5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5">
        <f>IF(AND(A261&lt;&gt;"",OR('Smart Search'!$L$5="",'Smart Search'!$L$5="All",TRIM(BZ261)=TRIM('Smart Search'!$L$5)),OR(TRIM('Smart Search'!$L$6)="",TRIM('Smart Search'!$L$6)="All",ISNUMBER(SEARCH(SUBSTITUTE(SUBSTITUTE(SUBSTITUTE(TRIM('Smart Search'!$L$6),"~","~~"),"*","~*"),"?","~?"),CA261))),OR('Smart Search'!$L$7="",AND(CB261&lt;&gt;0,CB261='Smart Search'!$L$7)),OR('Smart Search'!$L$8="",'Smart Search'!$L$8="All",TRIM(CC261)=TRIM('Smart Search'!$L$8))),IF(BA261="","",BA261+ROW()*0.0000000001),"")</f>
        <v/>
      </c>
      <c r="BI261" s="5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5">
        <f>IF(A261="","",N(INDEX(Projects[Mech Inst],260)))</f>
        <v/>
      </c>
      <c r="BK261" s="5">
        <f>IF(A261="","",N(INDEX(Projects[Elec Inst],260)))</f>
        <v/>
      </c>
      <c r="BL261" s="5">
        <f>IF(A261="","",N(INDEX(Projects[Project Management],260)))</f>
        <v/>
      </c>
      <c r="BM261" s="5">
        <f>IF(A261="","",N(INDEX(Projects[Systems Eng],260)))</f>
        <v/>
      </c>
      <c r="BN261" s="5">
        <f>IF(A261="","",N(INDEX(Projects[Mechanical Eng],260)))</f>
        <v/>
      </c>
      <c r="BO261" s="5">
        <f>IF(A261="","",N(INDEX(Projects[Structural Engineering],260)))</f>
        <v/>
      </c>
      <c r="BP261" s="5">
        <f>IF(A261="","",N(INDEX(Projects[Site Sup],260)))</f>
        <v/>
      </c>
      <c r="BQ261" s="5">
        <f>IF(A261="","",N(INDEX(Projects[Controls Commissioning],260)))</f>
        <v/>
      </c>
      <c r="BR261" s="5">
        <f>IF(A261="","",N(INDEX(Projects[Systems Commissioning],260)))</f>
        <v/>
      </c>
      <c r="BS261" s="5">
        <f>IF(A261="","",N(INDEX(Projects[Service Commissioning],260)))</f>
        <v/>
      </c>
      <c r="BT261" s="5">
        <f>IF(A261="","",N(INDEX(Projects[Controls Eng],260)))</f>
        <v/>
      </c>
      <c r="BU261" s="5">
        <f>IF(A261="","",N(INDEX(Projects[Controls Purchase],260)))</f>
        <v/>
      </c>
      <c r="BV261" s="5">
        <f>IF(A261="","",N(INDEX(Projects[Software Eng],260)))</f>
        <v/>
      </c>
      <c r="BW261" s="5">
        <f>IF(A261="","",N(INDEX(Projects[Misc],260)))</f>
        <v/>
      </c>
      <c r="BX261" s="5">
        <f>IF(A261="","",SUM(BJ261:BW261))</f>
        <v/>
      </c>
      <c r="BY261" s="5">
        <f>IF(A261="","",IFERROR(IF(ISNUMBER(U261),U261,VALUE(SUBSTITUTE(SUBSTITUTE(SUBSTITUTE(UPPER(TRIM(U261)),"M",""),",","")," ",""))),0))</f>
        <v/>
      </c>
      <c r="BZ261" s="5">
        <f>INDEX(Projects[Solution Type],260)&amp;""</f>
        <v/>
      </c>
      <c r="CA261" s="5">
        <f>INDEX(Projects[Client / Region],260)&amp;""</f>
        <v/>
      </c>
      <c r="CB261" s="5">
        <f>INDEX(Projects[Year],260)</f>
        <v/>
      </c>
      <c r="CC261" s="5">
        <f>INDEX(Projects[Won?],260)&amp;""</f>
        <v/>
      </c>
      <c r="CD261" s="5">
        <f>INDEX(Projects[Value (USD M)],260)</f>
        <v/>
      </c>
    </row>
    <row r="262" ht="15" customHeight="1" s="74">
      <c r="A262" s="66">
        <f>INDEX(Projects[Project ID *],261)&amp;""</f>
        <v/>
      </c>
      <c r="B262" s="66">
        <f>INDEX(Projects[Project Name *],261)&amp;""</f>
        <v/>
      </c>
      <c r="C262" s="66">
        <f>INDEX(Projects[MS Shuttles],261)</f>
        <v/>
      </c>
      <c r="D262" s="66">
        <f>INDEX(Projects[MS Tote Locations],261)</f>
        <v/>
      </c>
      <c r="E262" s="66">
        <f>INDEX(Projects[AS Robots],261)</f>
        <v/>
      </c>
      <c r="F262" s="66">
        <f>INDEX(Projects[AS Tote Locations],261)</f>
        <v/>
      </c>
      <c r="G262" s="66">
        <f>INDEX(Projects[PS Shuttles],261)</f>
        <v/>
      </c>
      <c r="H262" s="66">
        <f>INDEX(Projects[PS Pallet Locations],261)</f>
        <v/>
      </c>
      <c r="I262" s="66">
        <f>INDEX(Projects[SRM Cranes],261)</f>
        <v/>
      </c>
      <c r="J262" s="66">
        <f>INDEX(Projects[SRM Pallet Locations],261)</f>
        <v/>
      </c>
      <c r="K262" s="66">
        <f>INDEX(Projects[Case Conv (m)],261)</f>
        <v/>
      </c>
      <c r="L262" s="66">
        <f>INDEX(Projects[Pallet Conv (m)],261)</f>
        <v/>
      </c>
      <c r="M262" s="66">
        <f>INDEX(Projects[Mech Eng (wks)],261)</f>
        <v/>
      </c>
      <c r="N262" s="66">
        <f>INDEX(Projects[Controls Eng (wks)],261)</f>
        <v/>
      </c>
      <c r="O262" s="66">
        <f>INDEX(Projects[Systems Eng (wks)],261)</f>
        <v/>
      </c>
      <c r="P262" s="66">
        <f>INDEX(Projects[Software Eng (wks)],261)</f>
        <v/>
      </c>
      <c r="Q262" s="66">
        <f>INDEX(Projects[M&amp;E Installation (wks)],261)</f>
        <v/>
      </c>
      <c r="R262" s="66">
        <f>INDEX(Projects[Commissioning (wks)],261)</f>
        <v/>
      </c>
      <c r="S262" s="66">
        <f>INDEX(Projects[Total Timeline (wks)],261)</f>
        <v/>
      </c>
      <c r="T262" s="66">
        <f>INDEX(Projects[Currency],261)&amp;""</f>
        <v/>
      </c>
      <c r="U262" s="67">
        <f>INDEX(Projects[Value (M)],261)</f>
        <v/>
      </c>
      <c r="V262" s="66">
        <f>IF('Smart Search'!B13=1,IFERROR(1/'Smart Search'!H13,0),0)</f>
        <v/>
      </c>
      <c r="W262" s="66">
        <f>IF('Smart Search'!B13=1,IFERROR(1/'Smart Search'!H13,0),0)</f>
        <v/>
      </c>
      <c r="X262" s="66">
        <f>IF('Smart Search'!C13=1,IFERROR(1/'Smart Search'!H13,0),0)</f>
        <v/>
      </c>
      <c r="Y262" s="66">
        <f>IF('Smart Search'!C13=1,IFERROR(1/'Smart Search'!H13,0),0)</f>
        <v/>
      </c>
      <c r="Z262" s="66">
        <f>IF('Smart Search'!D13=1,IFERROR(1/'Smart Search'!H13,0),0)</f>
        <v/>
      </c>
      <c r="AA262" s="66">
        <f>IF('Smart Search'!D13=1,IFERROR(1/'Smart Search'!H13,0),0)</f>
        <v/>
      </c>
      <c r="AB262" s="66">
        <f>IF('Smart Search'!E13=1,IFERROR(1/'Smart Search'!H13,0),0)</f>
        <v/>
      </c>
      <c r="AC262" s="66">
        <f>IF('Smart Search'!E13=1,IFERROR(1/'Smart Search'!H13,0),0)</f>
        <v/>
      </c>
      <c r="AD262" s="66">
        <f>IF('Smart Search'!F13=1,IFERROR(1/'Smart Search'!H13,0),0)</f>
        <v/>
      </c>
      <c r="AE262" s="66">
        <f>IF('Smart Search'!F13=1,IFERROR(1/'Smart Search'!H13,0),0)</f>
        <v/>
      </c>
      <c r="AF262" s="66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66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66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66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66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66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66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66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66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66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66">
        <f>AF262*V262</f>
        <v/>
      </c>
      <c r="AQ262" s="66">
        <f>AG262*W262</f>
        <v/>
      </c>
      <c r="AR262" s="66">
        <f>AH262*X262</f>
        <v/>
      </c>
      <c r="AS262" s="66">
        <f>AI262*Y262</f>
        <v/>
      </c>
      <c r="AT262" s="66">
        <f>AJ262*Z262</f>
        <v/>
      </c>
      <c r="AU262" s="66">
        <f>AK262*AA262</f>
        <v/>
      </c>
      <c r="AV262" s="66">
        <f>AL262*AB262</f>
        <v/>
      </c>
      <c r="AW262" s="66">
        <f>AM262*AC262</f>
        <v/>
      </c>
      <c r="AX262" s="66">
        <f>AN262*AD262</f>
        <v/>
      </c>
      <c r="AY262" s="66">
        <f>AO262*AE262</f>
        <v/>
      </c>
      <c r="AZ262" s="66">
        <f>INDEX(Projects[Automation Equipment],261)&amp;""</f>
        <v/>
      </c>
      <c r="BA262" s="66">
        <f>IF(OR(A262="",'Smart Search'!H13=0),"",MAX(0,BE262*BF262*MAX(0,1-BG262)))</f>
        <v/>
      </c>
      <c r="BB262" s="66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66">
        <f>IF('Smart Search'!G13=1,IFERROR(1/'Smart Search'!H13,0),0)</f>
        <v/>
      </c>
      <c r="BD262" s="66">
        <f>BB262*BC262</f>
        <v/>
      </c>
      <c r="BE262" s="66">
        <f>AP262+AQ262+AR262+AS262+AT262+AU262+AV262+AW262+AX262+AY262+BD262</f>
        <v/>
      </c>
      <c r="BF262" s="5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5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5">
        <f>IF(AND(A262&lt;&gt;"",OR('Smart Search'!$L$5="",'Smart Search'!$L$5="All",TRIM(BZ262)=TRIM('Smart Search'!$L$5)),OR(TRIM('Smart Search'!$L$6)="",TRIM('Smart Search'!$L$6)="All",ISNUMBER(SEARCH(SUBSTITUTE(SUBSTITUTE(SUBSTITUTE(TRIM('Smart Search'!$L$6),"~","~~"),"*","~*"),"?","~?"),CA262))),OR('Smart Search'!$L$7="",AND(CB262&lt;&gt;0,CB262='Smart Search'!$L$7)),OR('Smart Search'!$L$8="",'Smart Search'!$L$8="All",TRIM(CC262)=TRIM('Smart Search'!$L$8))),IF(BA262="","",BA262+ROW()*0.0000000001),"")</f>
        <v/>
      </c>
      <c r="BI262" s="5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5">
        <f>IF(A262="","",N(INDEX(Projects[Mech Inst],261)))</f>
        <v/>
      </c>
      <c r="BK262" s="5">
        <f>IF(A262="","",N(INDEX(Projects[Elec Inst],261)))</f>
        <v/>
      </c>
      <c r="BL262" s="5">
        <f>IF(A262="","",N(INDEX(Projects[Project Management],261)))</f>
        <v/>
      </c>
      <c r="BM262" s="5">
        <f>IF(A262="","",N(INDEX(Projects[Systems Eng],261)))</f>
        <v/>
      </c>
      <c r="BN262" s="5">
        <f>IF(A262="","",N(INDEX(Projects[Mechanical Eng],261)))</f>
        <v/>
      </c>
      <c r="BO262" s="5">
        <f>IF(A262="","",N(INDEX(Projects[Structural Engineering],261)))</f>
        <v/>
      </c>
      <c r="BP262" s="5">
        <f>IF(A262="","",N(INDEX(Projects[Site Sup],261)))</f>
        <v/>
      </c>
      <c r="BQ262" s="5">
        <f>IF(A262="","",N(INDEX(Projects[Controls Commissioning],261)))</f>
        <v/>
      </c>
      <c r="BR262" s="5">
        <f>IF(A262="","",N(INDEX(Projects[Systems Commissioning],261)))</f>
        <v/>
      </c>
      <c r="BS262" s="5">
        <f>IF(A262="","",N(INDEX(Projects[Service Commissioning],261)))</f>
        <v/>
      </c>
      <c r="BT262" s="5">
        <f>IF(A262="","",N(INDEX(Projects[Controls Eng],261)))</f>
        <v/>
      </c>
      <c r="BU262" s="5">
        <f>IF(A262="","",N(INDEX(Projects[Controls Purchase],261)))</f>
        <v/>
      </c>
      <c r="BV262" s="5">
        <f>IF(A262="","",N(INDEX(Projects[Software Eng],261)))</f>
        <v/>
      </c>
      <c r="BW262" s="5">
        <f>IF(A262="","",N(INDEX(Projects[Misc],261)))</f>
        <v/>
      </c>
      <c r="BX262" s="5">
        <f>IF(A262="","",SUM(BJ262:BW262))</f>
        <v/>
      </c>
      <c r="BY262" s="5">
        <f>IF(A262="","",IFERROR(IF(ISNUMBER(U262),U262,VALUE(SUBSTITUTE(SUBSTITUTE(SUBSTITUTE(UPPER(TRIM(U262)),"M",""),",","")," ",""))),0))</f>
        <v/>
      </c>
      <c r="BZ262" s="5">
        <f>INDEX(Projects[Solution Type],261)&amp;""</f>
        <v/>
      </c>
      <c r="CA262" s="5">
        <f>INDEX(Projects[Client / Region],261)&amp;""</f>
        <v/>
      </c>
      <c r="CB262" s="5">
        <f>INDEX(Projects[Year],261)</f>
        <v/>
      </c>
      <c r="CC262" s="5">
        <f>INDEX(Projects[Won?],261)&amp;""</f>
        <v/>
      </c>
      <c r="CD262" s="5">
        <f>INDEX(Projects[Value (USD M)],261)</f>
        <v/>
      </c>
    </row>
    <row r="263" ht="15" customHeight="1" s="74">
      <c r="A263" s="66">
        <f>INDEX(Projects[Project ID *],262)&amp;""</f>
        <v/>
      </c>
      <c r="B263" s="66">
        <f>INDEX(Projects[Project Name *],262)&amp;""</f>
        <v/>
      </c>
      <c r="C263" s="66">
        <f>INDEX(Projects[MS Shuttles],262)</f>
        <v/>
      </c>
      <c r="D263" s="66">
        <f>INDEX(Projects[MS Tote Locations],262)</f>
        <v/>
      </c>
      <c r="E263" s="66">
        <f>INDEX(Projects[AS Robots],262)</f>
        <v/>
      </c>
      <c r="F263" s="66">
        <f>INDEX(Projects[AS Tote Locations],262)</f>
        <v/>
      </c>
      <c r="G263" s="66">
        <f>INDEX(Projects[PS Shuttles],262)</f>
        <v/>
      </c>
      <c r="H263" s="66">
        <f>INDEX(Projects[PS Pallet Locations],262)</f>
        <v/>
      </c>
      <c r="I263" s="66">
        <f>INDEX(Projects[SRM Cranes],262)</f>
        <v/>
      </c>
      <c r="J263" s="66">
        <f>INDEX(Projects[SRM Pallet Locations],262)</f>
        <v/>
      </c>
      <c r="K263" s="66">
        <f>INDEX(Projects[Case Conv (m)],262)</f>
        <v/>
      </c>
      <c r="L263" s="66">
        <f>INDEX(Projects[Pallet Conv (m)],262)</f>
        <v/>
      </c>
      <c r="M263" s="66">
        <f>INDEX(Projects[Mech Eng (wks)],262)</f>
        <v/>
      </c>
      <c r="N263" s="66">
        <f>INDEX(Projects[Controls Eng (wks)],262)</f>
        <v/>
      </c>
      <c r="O263" s="66">
        <f>INDEX(Projects[Systems Eng (wks)],262)</f>
        <v/>
      </c>
      <c r="P263" s="66">
        <f>INDEX(Projects[Software Eng (wks)],262)</f>
        <v/>
      </c>
      <c r="Q263" s="66">
        <f>INDEX(Projects[M&amp;E Installation (wks)],262)</f>
        <v/>
      </c>
      <c r="R263" s="66">
        <f>INDEX(Projects[Commissioning (wks)],262)</f>
        <v/>
      </c>
      <c r="S263" s="66">
        <f>INDEX(Projects[Total Timeline (wks)],262)</f>
        <v/>
      </c>
      <c r="T263" s="66">
        <f>INDEX(Projects[Currency],262)&amp;""</f>
        <v/>
      </c>
      <c r="U263" s="67">
        <f>INDEX(Projects[Value (M)],262)</f>
        <v/>
      </c>
      <c r="V263" s="66">
        <f>IF('Smart Search'!B13=1,IFERROR(1/'Smart Search'!H13,0),0)</f>
        <v/>
      </c>
      <c r="W263" s="66">
        <f>IF('Smart Search'!B13=1,IFERROR(1/'Smart Search'!H13,0),0)</f>
        <v/>
      </c>
      <c r="X263" s="66">
        <f>IF('Smart Search'!C13=1,IFERROR(1/'Smart Search'!H13,0),0)</f>
        <v/>
      </c>
      <c r="Y263" s="66">
        <f>IF('Smart Search'!C13=1,IFERROR(1/'Smart Search'!H13,0),0)</f>
        <v/>
      </c>
      <c r="Z263" s="66">
        <f>IF('Smart Search'!D13=1,IFERROR(1/'Smart Search'!H13,0),0)</f>
        <v/>
      </c>
      <c r="AA263" s="66">
        <f>IF('Smart Search'!D13=1,IFERROR(1/'Smart Search'!H13,0),0)</f>
        <v/>
      </c>
      <c r="AB263" s="66">
        <f>IF('Smart Search'!E13=1,IFERROR(1/'Smart Search'!H13,0),0)</f>
        <v/>
      </c>
      <c r="AC263" s="66">
        <f>IF('Smart Search'!E13=1,IFERROR(1/'Smart Search'!H13,0),0)</f>
        <v/>
      </c>
      <c r="AD263" s="66">
        <f>IF('Smart Search'!F13=1,IFERROR(1/'Smart Search'!H13,0),0)</f>
        <v/>
      </c>
      <c r="AE263" s="66">
        <f>IF('Smart Search'!F13=1,IFERROR(1/'Smart Search'!H13,0),0)</f>
        <v/>
      </c>
      <c r="AF263" s="66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66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66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66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66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66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66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66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66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66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66">
        <f>AF263*V263</f>
        <v/>
      </c>
      <c r="AQ263" s="66">
        <f>AG263*W263</f>
        <v/>
      </c>
      <c r="AR263" s="66">
        <f>AH263*X263</f>
        <v/>
      </c>
      <c r="AS263" s="66">
        <f>AI263*Y263</f>
        <v/>
      </c>
      <c r="AT263" s="66">
        <f>AJ263*Z263</f>
        <v/>
      </c>
      <c r="AU263" s="66">
        <f>AK263*AA263</f>
        <v/>
      </c>
      <c r="AV263" s="66">
        <f>AL263*AB263</f>
        <v/>
      </c>
      <c r="AW263" s="66">
        <f>AM263*AC263</f>
        <v/>
      </c>
      <c r="AX263" s="66">
        <f>AN263*AD263</f>
        <v/>
      </c>
      <c r="AY263" s="66">
        <f>AO263*AE263</f>
        <v/>
      </c>
      <c r="AZ263" s="66">
        <f>INDEX(Projects[Automation Equipment],262)&amp;""</f>
        <v/>
      </c>
      <c r="BA263" s="66">
        <f>IF(OR(A263="",'Smart Search'!H13=0),"",MAX(0,BE263*BF263*MAX(0,1-BG263)))</f>
        <v/>
      </c>
      <c r="BB263" s="66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66">
        <f>IF('Smart Search'!G13=1,IFERROR(1/'Smart Search'!H13,0),0)</f>
        <v/>
      </c>
      <c r="BD263" s="66">
        <f>BB263*BC263</f>
        <v/>
      </c>
      <c r="BE263" s="66">
        <f>AP263+AQ263+AR263+AS263+AT263+AU263+AV263+AW263+AX263+AY263+BD263</f>
        <v/>
      </c>
      <c r="BF263" s="5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5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5">
        <f>IF(AND(A263&lt;&gt;"",OR('Smart Search'!$L$5="",'Smart Search'!$L$5="All",TRIM(BZ263)=TRIM('Smart Search'!$L$5)),OR(TRIM('Smart Search'!$L$6)="",TRIM('Smart Search'!$L$6)="All",ISNUMBER(SEARCH(SUBSTITUTE(SUBSTITUTE(SUBSTITUTE(TRIM('Smart Search'!$L$6),"~","~~"),"*","~*"),"?","~?"),CA263))),OR('Smart Search'!$L$7="",AND(CB263&lt;&gt;0,CB263='Smart Search'!$L$7)),OR('Smart Search'!$L$8="",'Smart Search'!$L$8="All",TRIM(CC263)=TRIM('Smart Search'!$L$8))),IF(BA263="","",BA263+ROW()*0.0000000001),"")</f>
        <v/>
      </c>
      <c r="BI263" s="5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5">
        <f>IF(A263="","",N(INDEX(Projects[Mech Inst],262)))</f>
        <v/>
      </c>
      <c r="BK263" s="5">
        <f>IF(A263="","",N(INDEX(Projects[Elec Inst],262)))</f>
        <v/>
      </c>
      <c r="BL263" s="5">
        <f>IF(A263="","",N(INDEX(Projects[Project Management],262)))</f>
        <v/>
      </c>
      <c r="BM263" s="5">
        <f>IF(A263="","",N(INDEX(Projects[Systems Eng],262)))</f>
        <v/>
      </c>
      <c r="BN263" s="5">
        <f>IF(A263="","",N(INDEX(Projects[Mechanical Eng],262)))</f>
        <v/>
      </c>
      <c r="BO263" s="5">
        <f>IF(A263="","",N(INDEX(Projects[Structural Engineering],262)))</f>
        <v/>
      </c>
      <c r="BP263" s="5">
        <f>IF(A263="","",N(INDEX(Projects[Site Sup],262)))</f>
        <v/>
      </c>
      <c r="BQ263" s="5">
        <f>IF(A263="","",N(INDEX(Projects[Controls Commissioning],262)))</f>
        <v/>
      </c>
      <c r="BR263" s="5">
        <f>IF(A263="","",N(INDEX(Projects[Systems Commissioning],262)))</f>
        <v/>
      </c>
      <c r="BS263" s="5">
        <f>IF(A263="","",N(INDEX(Projects[Service Commissioning],262)))</f>
        <v/>
      </c>
      <c r="BT263" s="5">
        <f>IF(A263="","",N(INDEX(Projects[Controls Eng],262)))</f>
        <v/>
      </c>
      <c r="BU263" s="5">
        <f>IF(A263="","",N(INDEX(Projects[Controls Purchase],262)))</f>
        <v/>
      </c>
      <c r="BV263" s="5">
        <f>IF(A263="","",N(INDEX(Projects[Software Eng],262)))</f>
        <v/>
      </c>
      <c r="BW263" s="5">
        <f>IF(A263="","",N(INDEX(Projects[Misc],262)))</f>
        <v/>
      </c>
      <c r="BX263" s="5">
        <f>IF(A263="","",SUM(BJ263:BW263))</f>
        <v/>
      </c>
      <c r="BY263" s="5">
        <f>IF(A263="","",IFERROR(IF(ISNUMBER(U263),U263,VALUE(SUBSTITUTE(SUBSTITUTE(SUBSTITUTE(UPPER(TRIM(U263)),"M",""),",","")," ",""))),0))</f>
        <v/>
      </c>
      <c r="BZ263" s="5">
        <f>INDEX(Projects[Solution Type],262)&amp;""</f>
        <v/>
      </c>
      <c r="CA263" s="5">
        <f>INDEX(Projects[Client / Region],262)&amp;""</f>
        <v/>
      </c>
      <c r="CB263" s="5">
        <f>INDEX(Projects[Year],262)</f>
        <v/>
      </c>
      <c r="CC263" s="5">
        <f>INDEX(Projects[Won?],262)&amp;""</f>
        <v/>
      </c>
      <c r="CD263" s="5">
        <f>INDEX(Projects[Value (USD M)],262)</f>
        <v/>
      </c>
    </row>
    <row r="264" ht="15" customHeight="1" s="74">
      <c r="A264" s="66">
        <f>INDEX(Projects[Project ID *],263)&amp;""</f>
        <v/>
      </c>
      <c r="B264" s="66">
        <f>INDEX(Projects[Project Name *],263)&amp;""</f>
        <v/>
      </c>
      <c r="C264" s="66">
        <f>INDEX(Projects[MS Shuttles],263)</f>
        <v/>
      </c>
      <c r="D264" s="66">
        <f>INDEX(Projects[MS Tote Locations],263)</f>
        <v/>
      </c>
      <c r="E264" s="66">
        <f>INDEX(Projects[AS Robots],263)</f>
        <v/>
      </c>
      <c r="F264" s="66">
        <f>INDEX(Projects[AS Tote Locations],263)</f>
        <v/>
      </c>
      <c r="G264" s="66">
        <f>INDEX(Projects[PS Shuttles],263)</f>
        <v/>
      </c>
      <c r="H264" s="66">
        <f>INDEX(Projects[PS Pallet Locations],263)</f>
        <v/>
      </c>
      <c r="I264" s="66">
        <f>INDEX(Projects[SRM Cranes],263)</f>
        <v/>
      </c>
      <c r="J264" s="66">
        <f>INDEX(Projects[SRM Pallet Locations],263)</f>
        <v/>
      </c>
      <c r="K264" s="66">
        <f>INDEX(Projects[Case Conv (m)],263)</f>
        <v/>
      </c>
      <c r="L264" s="66">
        <f>INDEX(Projects[Pallet Conv (m)],263)</f>
        <v/>
      </c>
      <c r="M264" s="66">
        <f>INDEX(Projects[Mech Eng (wks)],263)</f>
        <v/>
      </c>
      <c r="N264" s="66">
        <f>INDEX(Projects[Controls Eng (wks)],263)</f>
        <v/>
      </c>
      <c r="O264" s="66">
        <f>INDEX(Projects[Systems Eng (wks)],263)</f>
        <v/>
      </c>
      <c r="P264" s="66">
        <f>INDEX(Projects[Software Eng (wks)],263)</f>
        <v/>
      </c>
      <c r="Q264" s="66">
        <f>INDEX(Projects[M&amp;E Installation (wks)],263)</f>
        <v/>
      </c>
      <c r="R264" s="66">
        <f>INDEX(Projects[Commissioning (wks)],263)</f>
        <v/>
      </c>
      <c r="S264" s="66">
        <f>INDEX(Projects[Total Timeline (wks)],263)</f>
        <v/>
      </c>
      <c r="T264" s="66">
        <f>INDEX(Projects[Currency],263)&amp;""</f>
        <v/>
      </c>
      <c r="U264" s="67">
        <f>INDEX(Projects[Value (M)],263)</f>
        <v/>
      </c>
      <c r="V264" s="66">
        <f>IF('Smart Search'!B13=1,IFERROR(1/'Smart Search'!H13,0),0)</f>
        <v/>
      </c>
      <c r="W264" s="66">
        <f>IF('Smart Search'!B13=1,IFERROR(1/'Smart Search'!H13,0),0)</f>
        <v/>
      </c>
      <c r="X264" s="66">
        <f>IF('Smart Search'!C13=1,IFERROR(1/'Smart Search'!H13,0),0)</f>
        <v/>
      </c>
      <c r="Y264" s="66">
        <f>IF('Smart Search'!C13=1,IFERROR(1/'Smart Search'!H13,0),0)</f>
        <v/>
      </c>
      <c r="Z264" s="66">
        <f>IF('Smart Search'!D13=1,IFERROR(1/'Smart Search'!H13,0),0)</f>
        <v/>
      </c>
      <c r="AA264" s="66">
        <f>IF('Smart Search'!D13=1,IFERROR(1/'Smart Search'!H13,0),0)</f>
        <v/>
      </c>
      <c r="AB264" s="66">
        <f>IF('Smart Search'!E13=1,IFERROR(1/'Smart Search'!H13,0),0)</f>
        <v/>
      </c>
      <c r="AC264" s="66">
        <f>IF('Smart Search'!E13=1,IFERROR(1/'Smart Search'!H13,0),0)</f>
        <v/>
      </c>
      <c r="AD264" s="66">
        <f>IF('Smart Search'!F13=1,IFERROR(1/'Smart Search'!H13,0),0)</f>
        <v/>
      </c>
      <c r="AE264" s="66">
        <f>IF('Smart Search'!F13=1,IFERROR(1/'Smart Search'!H13,0),0)</f>
        <v/>
      </c>
      <c r="AF264" s="66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66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66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66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66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66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66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66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66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66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66">
        <f>AF264*V264</f>
        <v/>
      </c>
      <c r="AQ264" s="66">
        <f>AG264*W264</f>
        <v/>
      </c>
      <c r="AR264" s="66">
        <f>AH264*X264</f>
        <v/>
      </c>
      <c r="AS264" s="66">
        <f>AI264*Y264</f>
        <v/>
      </c>
      <c r="AT264" s="66">
        <f>AJ264*Z264</f>
        <v/>
      </c>
      <c r="AU264" s="66">
        <f>AK264*AA264</f>
        <v/>
      </c>
      <c r="AV264" s="66">
        <f>AL264*AB264</f>
        <v/>
      </c>
      <c r="AW264" s="66">
        <f>AM264*AC264</f>
        <v/>
      </c>
      <c r="AX264" s="66">
        <f>AN264*AD264</f>
        <v/>
      </c>
      <c r="AY264" s="66">
        <f>AO264*AE264</f>
        <v/>
      </c>
      <c r="AZ264" s="66">
        <f>INDEX(Projects[Automation Equipment],263)&amp;""</f>
        <v/>
      </c>
      <c r="BA264" s="66">
        <f>IF(OR(A264="",'Smart Search'!H13=0),"",MAX(0,BE264*BF264*MAX(0,1-BG264)))</f>
        <v/>
      </c>
      <c r="BB264" s="66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66">
        <f>IF('Smart Search'!G13=1,IFERROR(1/'Smart Search'!H13,0),0)</f>
        <v/>
      </c>
      <c r="BD264" s="66">
        <f>BB264*BC264</f>
        <v/>
      </c>
      <c r="BE264" s="66">
        <f>AP264+AQ264+AR264+AS264+AT264+AU264+AV264+AW264+AX264+AY264+BD264</f>
        <v/>
      </c>
      <c r="BF264" s="5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5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5">
        <f>IF(AND(A264&lt;&gt;"",OR('Smart Search'!$L$5="",'Smart Search'!$L$5="All",TRIM(BZ264)=TRIM('Smart Search'!$L$5)),OR(TRIM('Smart Search'!$L$6)="",TRIM('Smart Search'!$L$6)="All",ISNUMBER(SEARCH(SUBSTITUTE(SUBSTITUTE(SUBSTITUTE(TRIM('Smart Search'!$L$6),"~","~~"),"*","~*"),"?","~?"),CA264))),OR('Smart Search'!$L$7="",AND(CB264&lt;&gt;0,CB264='Smart Search'!$L$7)),OR('Smart Search'!$L$8="",'Smart Search'!$L$8="All",TRIM(CC264)=TRIM('Smart Search'!$L$8))),IF(BA264="","",BA264+ROW()*0.0000000001),"")</f>
        <v/>
      </c>
      <c r="BI264" s="5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5">
        <f>IF(A264="","",N(INDEX(Projects[Mech Inst],263)))</f>
        <v/>
      </c>
      <c r="BK264" s="5">
        <f>IF(A264="","",N(INDEX(Projects[Elec Inst],263)))</f>
        <v/>
      </c>
      <c r="BL264" s="5">
        <f>IF(A264="","",N(INDEX(Projects[Project Management],263)))</f>
        <v/>
      </c>
      <c r="BM264" s="5">
        <f>IF(A264="","",N(INDEX(Projects[Systems Eng],263)))</f>
        <v/>
      </c>
      <c r="BN264" s="5">
        <f>IF(A264="","",N(INDEX(Projects[Mechanical Eng],263)))</f>
        <v/>
      </c>
      <c r="BO264" s="5">
        <f>IF(A264="","",N(INDEX(Projects[Structural Engineering],263)))</f>
        <v/>
      </c>
      <c r="BP264" s="5">
        <f>IF(A264="","",N(INDEX(Projects[Site Sup],263)))</f>
        <v/>
      </c>
      <c r="BQ264" s="5">
        <f>IF(A264="","",N(INDEX(Projects[Controls Commissioning],263)))</f>
        <v/>
      </c>
      <c r="BR264" s="5">
        <f>IF(A264="","",N(INDEX(Projects[Systems Commissioning],263)))</f>
        <v/>
      </c>
      <c r="BS264" s="5">
        <f>IF(A264="","",N(INDEX(Projects[Service Commissioning],263)))</f>
        <v/>
      </c>
      <c r="BT264" s="5">
        <f>IF(A264="","",N(INDEX(Projects[Controls Eng],263)))</f>
        <v/>
      </c>
      <c r="BU264" s="5">
        <f>IF(A264="","",N(INDEX(Projects[Controls Purchase],263)))</f>
        <v/>
      </c>
      <c r="BV264" s="5">
        <f>IF(A264="","",N(INDEX(Projects[Software Eng],263)))</f>
        <v/>
      </c>
      <c r="BW264" s="5">
        <f>IF(A264="","",N(INDEX(Projects[Misc],263)))</f>
        <v/>
      </c>
      <c r="BX264" s="5">
        <f>IF(A264="","",SUM(BJ264:BW264))</f>
        <v/>
      </c>
      <c r="BY264" s="5">
        <f>IF(A264="","",IFERROR(IF(ISNUMBER(U264),U264,VALUE(SUBSTITUTE(SUBSTITUTE(SUBSTITUTE(UPPER(TRIM(U264)),"M",""),",","")," ",""))),0))</f>
        <v/>
      </c>
      <c r="BZ264" s="5">
        <f>INDEX(Projects[Solution Type],263)&amp;""</f>
        <v/>
      </c>
      <c r="CA264" s="5">
        <f>INDEX(Projects[Client / Region],263)&amp;""</f>
        <v/>
      </c>
      <c r="CB264" s="5">
        <f>INDEX(Projects[Year],263)</f>
        <v/>
      </c>
      <c r="CC264" s="5">
        <f>INDEX(Projects[Won?],263)&amp;""</f>
        <v/>
      </c>
      <c r="CD264" s="5">
        <f>INDEX(Projects[Value (USD M)],263)</f>
        <v/>
      </c>
    </row>
    <row r="265" ht="15" customHeight="1" s="74">
      <c r="A265" s="66">
        <f>INDEX(Projects[Project ID *],264)&amp;""</f>
        <v/>
      </c>
      <c r="B265" s="66">
        <f>INDEX(Projects[Project Name *],264)&amp;""</f>
        <v/>
      </c>
      <c r="C265" s="66">
        <f>INDEX(Projects[MS Shuttles],264)</f>
        <v/>
      </c>
      <c r="D265" s="66">
        <f>INDEX(Projects[MS Tote Locations],264)</f>
        <v/>
      </c>
      <c r="E265" s="66">
        <f>INDEX(Projects[AS Robots],264)</f>
        <v/>
      </c>
      <c r="F265" s="66">
        <f>INDEX(Projects[AS Tote Locations],264)</f>
        <v/>
      </c>
      <c r="G265" s="66">
        <f>INDEX(Projects[PS Shuttles],264)</f>
        <v/>
      </c>
      <c r="H265" s="66">
        <f>INDEX(Projects[PS Pallet Locations],264)</f>
        <v/>
      </c>
      <c r="I265" s="66">
        <f>INDEX(Projects[SRM Cranes],264)</f>
        <v/>
      </c>
      <c r="J265" s="66">
        <f>INDEX(Projects[SRM Pallet Locations],264)</f>
        <v/>
      </c>
      <c r="K265" s="66">
        <f>INDEX(Projects[Case Conv (m)],264)</f>
        <v/>
      </c>
      <c r="L265" s="66">
        <f>INDEX(Projects[Pallet Conv (m)],264)</f>
        <v/>
      </c>
      <c r="M265" s="66">
        <f>INDEX(Projects[Mech Eng (wks)],264)</f>
        <v/>
      </c>
      <c r="N265" s="66">
        <f>INDEX(Projects[Controls Eng (wks)],264)</f>
        <v/>
      </c>
      <c r="O265" s="66">
        <f>INDEX(Projects[Systems Eng (wks)],264)</f>
        <v/>
      </c>
      <c r="P265" s="66">
        <f>INDEX(Projects[Software Eng (wks)],264)</f>
        <v/>
      </c>
      <c r="Q265" s="66">
        <f>INDEX(Projects[M&amp;E Installation (wks)],264)</f>
        <v/>
      </c>
      <c r="R265" s="66">
        <f>INDEX(Projects[Commissioning (wks)],264)</f>
        <v/>
      </c>
      <c r="S265" s="66">
        <f>INDEX(Projects[Total Timeline (wks)],264)</f>
        <v/>
      </c>
      <c r="T265" s="66">
        <f>INDEX(Projects[Currency],264)&amp;""</f>
        <v/>
      </c>
      <c r="U265" s="67">
        <f>INDEX(Projects[Value (M)],264)</f>
        <v/>
      </c>
      <c r="V265" s="66">
        <f>IF('Smart Search'!B13=1,IFERROR(1/'Smart Search'!H13,0),0)</f>
        <v/>
      </c>
      <c r="W265" s="66">
        <f>IF('Smart Search'!B13=1,IFERROR(1/'Smart Search'!H13,0),0)</f>
        <v/>
      </c>
      <c r="X265" s="66">
        <f>IF('Smart Search'!C13=1,IFERROR(1/'Smart Search'!H13,0),0)</f>
        <v/>
      </c>
      <c r="Y265" s="66">
        <f>IF('Smart Search'!C13=1,IFERROR(1/'Smart Search'!H13,0),0)</f>
        <v/>
      </c>
      <c r="Z265" s="66">
        <f>IF('Smart Search'!D13=1,IFERROR(1/'Smart Search'!H13,0),0)</f>
        <v/>
      </c>
      <c r="AA265" s="66">
        <f>IF('Smart Search'!D13=1,IFERROR(1/'Smart Search'!H13,0),0)</f>
        <v/>
      </c>
      <c r="AB265" s="66">
        <f>IF('Smart Search'!E13=1,IFERROR(1/'Smart Search'!H13,0),0)</f>
        <v/>
      </c>
      <c r="AC265" s="66">
        <f>IF('Smart Search'!E13=1,IFERROR(1/'Smart Search'!H13,0),0)</f>
        <v/>
      </c>
      <c r="AD265" s="66">
        <f>IF('Smart Search'!F13=1,IFERROR(1/'Smart Search'!H13,0),0)</f>
        <v/>
      </c>
      <c r="AE265" s="66">
        <f>IF('Smart Search'!F13=1,IFERROR(1/'Smart Search'!H13,0),0)</f>
        <v/>
      </c>
      <c r="AF265" s="66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66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66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66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66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66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66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66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66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66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66">
        <f>AF265*V265</f>
        <v/>
      </c>
      <c r="AQ265" s="66">
        <f>AG265*W265</f>
        <v/>
      </c>
      <c r="AR265" s="66">
        <f>AH265*X265</f>
        <v/>
      </c>
      <c r="AS265" s="66">
        <f>AI265*Y265</f>
        <v/>
      </c>
      <c r="AT265" s="66">
        <f>AJ265*Z265</f>
        <v/>
      </c>
      <c r="AU265" s="66">
        <f>AK265*AA265</f>
        <v/>
      </c>
      <c r="AV265" s="66">
        <f>AL265*AB265</f>
        <v/>
      </c>
      <c r="AW265" s="66">
        <f>AM265*AC265</f>
        <v/>
      </c>
      <c r="AX265" s="66">
        <f>AN265*AD265</f>
        <v/>
      </c>
      <c r="AY265" s="66">
        <f>AO265*AE265</f>
        <v/>
      </c>
      <c r="AZ265" s="66">
        <f>INDEX(Projects[Automation Equipment],264)&amp;""</f>
        <v/>
      </c>
      <c r="BA265" s="66">
        <f>IF(OR(A265="",'Smart Search'!H13=0),"",MAX(0,BE265*BF265*MAX(0,1-BG265)))</f>
        <v/>
      </c>
      <c r="BB265" s="66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66">
        <f>IF('Smart Search'!G13=1,IFERROR(1/'Smart Search'!H13,0),0)</f>
        <v/>
      </c>
      <c r="BD265" s="66">
        <f>BB265*BC265</f>
        <v/>
      </c>
      <c r="BE265" s="66">
        <f>AP265+AQ265+AR265+AS265+AT265+AU265+AV265+AW265+AX265+AY265+BD265</f>
        <v/>
      </c>
      <c r="BF265" s="5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5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5">
        <f>IF(AND(A265&lt;&gt;"",OR('Smart Search'!$L$5="",'Smart Search'!$L$5="All",TRIM(BZ265)=TRIM('Smart Search'!$L$5)),OR(TRIM('Smart Search'!$L$6)="",TRIM('Smart Search'!$L$6)="All",ISNUMBER(SEARCH(SUBSTITUTE(SUBSTITUTE(SUBSTITUTE(TRIM('Smart Search'!$L$6),"~","~~"),"*","~*"),"?","~?"),CA265))),OR('Smart Search'!$L$7="",AND(CB265&lt;&gt;0,CB265='Smart Search'!$L$7)),OR('Smart Search'!$L$8="",'Smart Search'!$L$8="All",TRIM(CC265)=TRIM('Smart Search'!$L$8))),IF(BA265="","",BA265+ROW()*0.0000000001),"")</f>
        <v/>
      </c>
      <c r="BI265" s="5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5">
        <f>IF(A265="","",N(INDEX(Projects[Mech Inst],264)))</f>
        <v/>
      </c>
      <c r="BK265" s="5">
        <f>IF(A265="","",N(INDEX(Projects[Elec Inst],264)))</f>
        <v/>
      </c>
      <c r="BL265" s="5">
        <f>IF(A265="","",N(INDEX(Projects[Project Management],264)))</f>
        <v/>
      </c>
      <c r="BM265" s="5">
        <f>IF(A265="","",N(INDEX(Projects[Systems Eng],264)))</f>
        <v/>
      </c>
      <c r="BN265" s="5">
        <f>IF(A265="","",N(INDEX(Projects[Mechanical Eng],264)))</f>
        <v/>
      </c>
      <c r="BO265" s="5">
        <f>IF(A265="","",N(INDEX(Projects[Structural Engineering],264)))</f>
        <v/>
      </c>
      <c r="BP265" s="5">
        <f>IF(A265="","",N(INDEX(Projects[Site Sup],264)))</f>
        <v/>
      </c>
      <c r="BQ265" s="5">
        <f>IF(A265="","",N(INDEX(Projects[Controls Commissioning],264)))</f>
        <v/>
      </c>
      <c r="BR265" s="5">
        <f>IF(A265="","",N(INDEX(Projects[Systems Commissioning],264)))</f>
        <v/>
      </c>
      <c r="BS265" s="5">
        <f>IF(A265="","",N(INDEX(Projects[Service Commissioning],264)))</f>
        <v/>
      </c>
      <c r="BT265" s="5">
        <f>IF(A265="","",N(INDEX(Projects[Controls Eng],264)))</f>
        <v/>
      </c>
      <c r="BU265" s="5">
        <f>IF(A265="","",N(INDEX(Projects[Controls Purchase],264)))</f>
        <v/>
      </c>
      <c r="BV265" s="5">
        <f>IF(A265="","",N(INDEX(Projects[Software Eng],264)))</f>
        <v/>
      </c>
      <c r="BW265" s="5">
        <f>IF(A265="","",N(INDEX(Projects[Misc],264)))</f>
        <v/>
      </c>
      <c r="BX265" s="5">
        <f>IF(A265="","",SUM(BJ265:BW265))</f>
        <v/>
      </c>
      <c r="BY265" s="5">
        <f>IF(A265="","",IFERROR(IF(ISNUMBER(U265),U265,VALUE(SUBSTITUTE(SUBSTITUTE(SUBSTITUTE(UPPER(TRIM(U265)),"M",""),",","")," ",""))),0))</f>
        <v/>
      </c>
      <c r="BZ265" s="5">
        <f>INDEX(Projects[Solution Type],264)&amp;""</f>
        <v/>
      </c>
      <c r="CA265" s="5">
        <f>INDEX(Projects[Client / Region],264)&amp;""</f>
        <v/>
      </c>
      <c r="CB265" s="5">
        <f>INDEX(Projects[Year],264)</f>
        <v/>
      </c>
      <c r="CC265" s="5">
        <f>INDEX(Projects[Won?],264)&amp;""</f>
        <v/>
      </c>
      <c r="CD265" s="5">
        <f>INDEX(Projects[Value (USD M)],264)</f>
        <v/>
      </c>
    </row>
    <row r="266" ht="15" customHeight="1" s="74">
      <c r="A266" s="66">
        <f>INDEX(Projects[Project ID *],265)&amp;""</f>
        <v/>
      </c>
      <c r="B266" s="66">
        <f>INDEX(Projects[Project Name *],265)&amp;""</f>
        <v/>
      </c>
      <c r="C266" s="66">
        <f>INDEX(Projects[MS Shuttles],265)</f>
        <v/>
      </c>
      <c r="D266" s="66">
        <f>INDEX(Projects[MS Tote Locations],265)</f>
        <v/>
      </c>
      <c r="E266" s="66">
        <f>INDEX(Projects[AS Robots],265)</f>
        <v/>
      </c>
      <c r="F266" s="66">
        <f>INDEX(Projects[AS Tote Locations],265)</f>
        <v/>
      </c>
      <c r="G266" s="66">
        <f>INDEX(Projects[PS Shuttles],265)</f>
        <v/>
      </c>
      <c r="H266" s="66">
        <f>INDEX(Projects[PS Pallet Locations],265)</f>
        <v/>
      </c>
      <c r="I266" s="66">
        <f>INDEX(Projects[SRM Cranes],265)</f>
        <v/>
      </c>
      <c r="J266" s="66">
        <f>INDEX(Projects[SRM Pallet Locations],265)</f>
        <v/>
      </c>
      <c r="K266" s="66">
        <f>INDEX(Projects[Case Conv (m)],265)</f>
        <v/>
      </c>
      <c r="L266" s="66">
        <f>INDEX(Projects[Pallet Conv (m)],265)</f>
        <v/>
      </c>
      <c r="M266" s="66">
        <f>INDEX(Projects[Mech Eng (wks)],265)</f>
        <v/>
      </c>
      <c r="N266" s="66">
        <f>INDEX(Projects[Controls Eng (wks)],265)</f>
        <v/>
      </c>
      <c r="O266" s="66">
        <f>INDEX(Projects[Systems Eng (wks)],265)</f>
        <v/>
      </c>
      <c r="P266" s="66">
        <f>INDEX(Projects[Software Eng (wks)],265)</f>
        <v/>
      </c>
      <c r="Q266" s="66">
        <f>INDEX(Projects[M&amp;E Installation (wks)],265)</f>
        <v/>
      </c>
      <c r="R266" s="66">
        <f>INDEX(Projects[Commissioning (wks)],265)</f>
        <v/>
      </c>
      <c r="S266" s="66">
        <f>INDEX(Projects[Total Timeline (wks)],265)</f>
        <v/>
      </c>
      <c r="T266" s="66">
        <f>INDEX(Projects[Currency],265)&amp;""</f>
        <v/>
      </c>
      <c r="U266" s="67">
        <f>INDEX(Projects[Value (M)],265)</f>
        <v/>
      </c>
      <c r="V266" s="66">
        <f>IF('Smart Search'!B13=1,IFERROR(1/'Smart Search'!H13,0),0)</f>
        <v/>
      </c>
      <c r="W266" s="66">
        <f>IF('Smart Search'!B13=1,IFERROR(1/'Smart Search'!H13,0),0)</f>
        <v/>
      </c>
      <c r="X266" s="66">
        <f>IF('Smart Search'!C13=1,IFERROR(1/'Smart Search'!H13,0),0)</f>
        <v/>
      </c>
      <c r="Y266" s="66">
        <f>IF('Smart Search'!C13=1,IFERROR(1/'Smart Search'!H13,0),0)</f>
        <v/>
      </c>
      <c r="Z266" s="66">
        <f>IF('Smart Search'!D13=1,IFERROR(1/'Smart Search'!H13,0),0)</f>
        <v/>
      </c>
      <c r="AA266" s="66">
        <f>IF('Smart Search'!D13=1,IFERROR(1/'Smart Search'!H13,0),0)</f>
        <v/>
      </c>
      <c r="AB266" s="66">
        <f>IF('Smart Search'!E13=1,IFERROR(1/'Smart Search'!H13,0),0)</f>
        <v/>
      </c>
      <c r="AC266" s="66">
        <f>IF('Smart Search'!E13=1,IFERROR(1/'Smart Search'!H13,0),0)</f>
        <v/>
      </c>
      <c r="AD266" s="66">
        <f>IF('Smart Search'!F13=1,IFERROR(1/'Smart Search'!H13,0),0)</f>
        <v/>
      </c>
      <c r="AE266" s="66">
        <f>IF('Smart Search'!F13=1,IFERROR(1/'Smart Search'!H13,0),0)</f>
        <v/>
      </c>
      <c r="AF266" s="66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66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66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66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66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66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66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66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66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66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66">
        <f>AF266*V266</f>
        <v/>
      </c>
      <c r="AQ266" s="66">
        <f>AG266*W266</f>
        <v/>
      </c>
      <c r="AR266" s="66">
        <f>AH266*X266</f>
        <v/>
      </c>
      <c r="AS266" s="66">
        <f>AI266*Y266</f>
        <v/>
      </c>
      <c r="AT266" s="66">
        <f>AJ266*Z266</f>
        <v/>
      </c>
      <c r="AU266" s="66">
        <f>AK266*AA266</f>
        <v/>
      </c>
      <c r="AV266" s="66">
        <f>AL266*AB266</f>
        <v/>
      </c>
      <c r="AW266" s="66">
        <f>AM266*AC266</f>
        <v/>
      </c>
      <c r="AX266" s="66">
        <f>AN266*AD266</f>
        <v/>
      </c>
      <c r="AY266" s="66">
        <f>AO266*AE266</f>
        <v/>
      </c>
      <c r="AZ266" s="66">
        <f>INDEX(Projects[Automation Equipment],265)&amp;""</f>
        <v/>
      </c>
      <c r="BA266" s="66">
        <f>IF(OR(A266="",'Smart Search'!H13=0),"",MAX(0,BE266*BF266*MAX(0,1-BG266)))</f>
        <v/>
      </c>
      <c r="BB266" s="66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66">
        <f>IF('Smart Search'!G13=1,IFERROR(1/'Smart Search'!H13,0),0)</f>
        <v/>
      </c>
      <c r="BD266" s="66">
        <f>BB266*BC266</f>
        <v/>
      </c>
      <c r="BE266" s="66">
        <f>AP266+AQ266+AR266+AS266+AT266+AU266+AV266+AW266+AX266+AY266+BD266</f>
        <v/>
      </c>
      <c r="BF266" s="5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5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5">
        <f>IF(AND(A266&lt;&gt;"",OR('Smart Search'!$L$5="",'Smart Search'!$L$5="All",TRIM(BZ266)=TRIM('Smart Search'!$L$5)),OR(TRIM('Smart Search'!$L$6)="",TRIM('Smart Search'!$L$6)="All",ISNUMBER(SEARCH(SUBSTITUTE(SUBSTITUTE(SUBSTITUTE(TRIM('Smart Search'!$L$6),"~","~~"),"*","~*"),"?","~?"),CA266))),OR('Smart Search'!$L$7="",AND(CB266&lt;&gt;0,CB266='Smart Search'!$L$7)),OR('Smart Search'!$L$8="",'Smart Search'!$L$8="All",TRIM(CC266)=TRIM('Smart Search'!$L$8))),IF(BA266="","",BA266+ROW()*0.0000000001),"")</f>
        <v/>
      </c>
      <c r="BI266" s="5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5">
        <f>IF(A266="","",N(INDEX(Projects[Mech Inst],265)))</f>
        <v/>
      </c>
      <c r="BK266" s="5">
        <f>IF(A266="","",N(INDEX(Projects[Elec Inst],265)))</f>
        <v/>
      </c>
      <c r="BL266" s="5">
        <f>IF(A266="","",N(INDEX(Projects[Project Management],265)))</f>
        <v/>
      </c>
      <c r="BM266" s="5">
        <f>IF(A266="","",N(INDEX(Projects[Systems Eng],265)))</f>
        <v/>
      </c>
      <c r="BN266" s="5">
        <f>IF(A266="","",N(INDEX(Projects[Mechanical Eng],265)))</f>
        <v/>
      </c>
      <c r="BO266" s="5">
        <f>IF(A266="","",N(INDEX(Projects[Structural Engineering],265)))</f>
        <v/>
      </c>
      <c r="BP266" s="5">
        <f>IF(A266="","",N(INDEX(Projects[Site Sup],265)))</f>
        <v/>
      </c>
      <c r="BQ266" s="5">
        <f>IF(A266="","",N(INDEX(Projects[Controls Commissioning],265)))</f>
        <v/>
      </c>
      <c r="BR266" s="5">
        <f>IF(A266="","",N(INDEX(Projects[Systems Commissioning],265)))</f>
        <v/>
      </c>
      <c r="BS266" s="5">
        <f>IF(A266="","",N(INDEX(Projects[Service Commissioning],265)))</f>
        <v/>
      </c>
      <c r="BT266" s="5">
        <f>IF(A266="","",N(INDEX(Projects[Controls Eng],265)))</f>
        <v/>
      </c>
      <c r="BU266" s="5">
        <f>IF(A266="","",N(INDEX(Projects[Controls Purchase],265)))</f>
        <v/>
      </c>
      <c r="BV266" s="5">
        <f>IF(A266="","",N(INDEX(Projects[Software Eng],265)))</f>
        <v/>
      </c>
      <c r="BW266" s="5">
        <f>IF(A266="","",N(INDEX(Projects[Misc],265)))</f>
        <v/>
      </c>
      <c r="BX266" s="5">
        <f>IF(A266="","",SUM(BJ266:BW266))</f>
        <v/>
      </c>
      <c r="BY266" s="5">
        <f>IF(A266="","",IFERROR(IF(ISNUMBER(U266),U266,VALUE(SUBSTITUTE(SUBSTITUTE(SUBSTITUTE(UPPER(TRIM(U266)),"M",""),",","")," ",""))),0))</f>
        <v/>
      </c>
      <c r="BZ266" s="5">
        <f>INDEX(Projects[Solution Type],265)&amp;""</f>
        <v/>
      </c>
      <c r="CA266" s="5">
        <f>INDEX(Projects[Client / Region],265)&amp;""</f>
        <v/>
      </c>
      <c r="CB266" s="5">
        <f>INDEX(Projects[Year],265)</f>
        <v/>
      </c>
      <c r="CC266" s="5">
        <f>INDEX(Projects[Won?],265)&amp;""</f>
        <v/>
      </c>
      <c r="CD266" s="5">
        <f>INDEX(Projects[Value (USD M)],265)</f>
        <v/>
      </c>
    </row>
    <row r="267" ht="15" customHeight="1" s="74">
      <c r="A267" s="66">
        <f>INDEX(Projects[Project ID *],266)&amp;""</f>
        <v/>
      </c>
      <c r="B267" s="66">
        <f>INDEX(Projects[Project Name *],266)&amp;""</f>
        <v/>
      </c>
      <c r="C267" s="66">
        <f>INDEX(Projects[MS Shuttles],266)</f>
        <v/>
      </c>
      <c r="D267" s="66">
        <f>INDEX(Projects[MS Tote Locations],266)</f>
        <v/>
      </c>
      <c r="E267" s="66">
        <f>INDEX(Projects[AS Robots],266)</f>
        <v/>
      </c>
      <c r="F267" s="66">
        <f>INDEX(Projects[AS Tote Locations],266)</f>
        <v/>
      </c>
      <c r="G267" s="66">
        <f>INDEX(Projects[PS Shuttles],266)</f>
        <v/>
      </c>
      <c r="H267" s="66">
        <f>INDEX(Projects[PS Pallet Locations],266)</f>
        <v/>
      </c>
      <c r="I267" s="66">
        <f>INDEX(Projects[SRM Cranes],266)</f>
        <v/>
      </c>
      <c r="J267" s="66">
        <f>INDEX(Projects[SRM Pallet Locations],266)</f>
        <v/>
      </c>
      <c r="K267" s="66">
        <f>INDEX(Projects[Case Conv (m)],266)</f>
        <v/>
      </c>
      <c r="L267" s="66">
        <f>INDEX(Projects[Pallet Conv (m)],266)</f>
        <v/>
      </c>
      <c r="M267" s="66">
        <f>INDEX(Projects[Mech Eng (wks)],266)</f>
        <v/>
      </c>
      <c r="N267" s="66">
        <f>INDEX(Projects[Controls Eng (wks)],266)</f>
        <v/>
      </c>
      <c r="O267" s="66">
        <f>INDEX(Projects[Systems Eng (wks)],266)</f>
        <v/>
      </c>
      <c r="P267" s="66">
        <f>INDEX(Projects[Software Eng (wks)],266)</f>
        <v/>
      </c>
      <c r="Q267" s="66">
        <f>INDEX(Projects[M&amp;E Installation (wks)],266)</f>
        <v/>
      </c>
      <c r="R267" s="66">
        <f>INDEX(Projects[Commissioning (wks)],266)</f>
        <v/>
      </c>
      <c r="S267" s="66">
        <f>INDEX(Projects[Total Timeline (wks)],266)</f>
        <v/>
      </c>
      <c r="T267" s="66">
        <f>INDEX(Projects[Currency],266)&amp;""</f>
        <v/>
      </c>
      <c r="U267" s="67">
        <f>INDEX(Projects[Value (M)],266)</f>
        <v/>
      </c>
      <c r="V267" s="66">
        <f>IF('Smart Search'!B13=1,IFERROR(1/'Smart Search'!H13,0),0)</f>
        <v/>
      </c>
      <c r="W267" s="66">
        <f>IF('Smart Search'!B13=1,IFERROR(1/'Smart Search'!H13,0),0)</f>
        <v/>
      </c>
      <c r="X267" s="66">
        <f>IF('Smart Search'!C13=1,IFERROR(1/'Smart Search'!H13,0),0)</f>
        <v/>
      </c>
      <c r="Y267" s="66">
        <f>IF('Smart Search'!C13=1,IFERROR(1/'Smart Search'!H13,0),0)</f>
        <v/>
      </c>
      <c r="Z267" s="66">
        <f>IF('Smart Search'!D13=1,IFERROR(1/'Smart Search'!H13,0),0)</f>
        <v/>
      </c>
      <c r="AA267" s="66">
        <f>IF('Smart Search'!D13=1,IFERROR(1/'Smart Search'!H13,0),0)</f>
        <v/>
      </c>
      <c r="AB267" s="66">
        <f>IF('Smart Search'!E13=1,IFERROR(1/'Smart Search'!H13,0),0)</f>
        <v/>
      </c>
      <c r="AC267" s="66">
        <f>IF('Smart Search'!E13=1,IFERROR(1/'Smart Search'!H13,0),0)</f>
        <v/>
      </c>
      <c r="AD267" s="66">
        <f>IF('Smart Search'!F13=1,IFERROR(1/'Smart Search'!H13,0),0)</f>
        <v/>
      </c>
      <c r="AE267" s="66">
        <f>IF('Smart Search'!F13=1,IFERROR(1/'Smart Search'!H13,0),0)</f>
        <v/>
      </c>
      <c r="AF267" s="66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66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66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66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66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66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66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66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66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66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66">
        <f>AF267*V267</f>
        <v/>
      </c>
      <c r="AQ267" s="66">
        <f>AG267*W267</f>
        <v/>
      </c>
      <c r="AR267" s="66">
        <f>AH267*X267</f>
        <v/>
      </c>
      <c r="AS267" s="66">
        <f>AI267*Y267</f>
        <v/>
      </c>
      <c r="AT267" s="66">
        <f>AJ267*Z267</f>
        <v/>
      </c>
      <c r="AU267" s="66">
        <f>AK267*AA267</f>
        <v/>
      </c>
      <c r="AV267" s="66">
        <f>AL267*AB267</f>
        <v/>
      </c>
      <c r="AW267" s="66">
        <f>AM267*AC267</f>
        <v/>
      </c>
      <c r="AX267" s="66">
        <f>AN267*AD267</f>
        <v/>
      </c>
      <c r="AY267" s="66">
        <f>AO267*AE267</f>
        <v/>
      </c>
      <c r="AZ267" s="66">
        <f>INDEX(Projects[Automation Equipment],266)&amp;""</f>
        <v/>
      </c>
      <c r="BA267" s="66">
        <f>IF(OR(A267="",'Smart Search'!H13=0),"",MAX(0,BE267*BF267*MAX(0,1-BG267)))</f>
        <v/>
      </c>
      <c r="BB267" s="66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66">
        <f>IF('Smart Search'!G13=1,IFERROR(1/'Smart Search'!H13,0),0)</f>
        <v/>
      </c>
      <c r="BD267" s="66">
        <f>BB267*BC267</f>
        <v/>
      </c>
      <c r="BE267" s="66">
        <f>AP267+AQ267+AR267+AS267+AT267+AU267+AV267+AW267+AX267+AY267+BD267</f>
        <v/>
      </c>
      <c r="BF267" s="5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5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5">
        <f>IF(AND(A267&lt;&gt;"",OR('Smart Search'!$L$5="",'Smart Search'!$L$5="All",TRIM(BZ267)=TRIM('Smart Search'!$L$5)),OR(TRIM('Smart Search'!$L$6)="",TRIM('Smart Search'!$L$6)="All",ISNUMBER(SEARCH(SUBSTITUTE(SUBSTITUTE(SUBSTITUTE(TRIM('Smart Search'!$L$6),"~","~~"),"*","~*"),"?","~?"),CA267))),OR('Smart Search'!$L$7="",AND(CB267&lt;&gt;0,CB267='Smart Search'!$L$7)),OR('Smart Search'!$L$8="",'Smart Search'!$L$8="All",TRIM(CC267)=TRIM('Smart Search'!$L$8))),IF(BA267="","",BA267+ROW()*0.0000000001),"")</f>
        <v/>
      </c>
      <c r="BI267" s="5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5">
        <f>IF(A267="","",N(INDEX(Projects[Mech Inst],266)))</f>
        <v/>
      </c>
      <c r="BK267" s="5">
        <f>IF(A267="","",N(INDEX(Projects[Elec Inst],266)))</f>
        <v/>
      </c>
      <c r="BL267" s="5">
        <f>IF(A267="","",N(INDEX(Projects[Project Management],266)))</f>
        <v/>
      </c>
      <c r="BM267" s="5">
        <f>IF(A267="","",N(INDEX(Projects[Systems Eng],266)))</f>
        <v/>
      </c>
      <c r="BN267" s="5">
        <f>IF(A267="","",N(INDEX(Projects[Mechanical Eng],266)))</f>
        <v/>
      </c>
      <c r="BO267" s="5">
        <f>IF(A267="","",N(INDEX(Projects[Structural Engineering],266)))</f>
        <v/>
      </c>
      <c r="BP267" s="5">
        <f>IF(A267="","",N(INDEX(Projects[Site Sup],266)))</f>
        <v/>
      </c>
      <c r="BQ267" s="5">
        <f>IF(A267="","",N(INDEX(Projects[Controls Commissioning],266)))</f>
        <v/>
      </c>
      <c r="BR267" s="5">
        <f>IF(A267="","",N(INDEX(Projects[Systems Commissioning],266)))</f>
        <v/>
      </c>
      <c r="BS267" s="5">
        <f>IF(A267="","",N(INDEX(Projects[Service Commissioning],266)))</f>
        <v/>
      </c>
      <c r="BT267" s="5">
        <f>IF(A267="","",N(INDEX(Projects[Controls Eng],266)))</f>
        <v/>
      </c>
      <c r="BU267" s="5">
        <f>IF(A267="","",N(INDEX(Projects[Controls Purchase],266)))</f>
        <v/>
      </c>
      <c r="BV267" s="5">
        <f>IF(A267="","",N(INDEX(Projects[Software Eng],266)))</f>
        <v/>
      </c>
      <c r="BW267" s="5">
        <f>IF(A267="","",N(INDEX(Projects[Misc],266)))</f>
        <v/>
      </c>
      <c r="BX267" s="5">
        <f>IF(A267="","",SUM(BJ267:BW267))</f>
        <v/>
      </c>
      <c r="BY267" s="5">
        <f>IF(A267="","",IFERROR(IF(ISNUMBER(U267),U267,VALUE(SUBSTITUTE(SUBSTITUTE(SUBSTITUTE(UPPER(TRIM(U267)),"M",""),",","")," ",""))),0))</f>
        <v/>
      </c>
      <c r="BZ267" s="5">
        <f>INDEX(Projects[Solution Type],266)&amp;""</f>
        <v/>
      </c>
      <c r="CA267" s="5">
        <f>INDEX(Projects[Client / Region],266)&amp;""</f>
        <v/>
      </c>
      <c r="CB267" s="5">
        <f>INDEX(Projects[Year],266)</f>
        <v/>
      </c>
      <c r="CC267" s="5">
        <f>INDEX(Projects[Won?],266)&amp;""</f>
        <v/>
      </c>
      <c r="CD267" s="5">
        <f>INDEX(Projects[Value (USD M)],266)</f>
        <v/>
      </c>
    </row>
    <row r="268" ht="15" customHeight="1" s="74">
      <c r="A268" s="66">
        <f>INDEX(Projects[Project ID *],267)&amp;""</f>
        <v/>
      </c>
      <c r="B268" s="66">
        <f>INDEX(Projects[Project Name *],267)&amp;""</f>
        <v/>
      </c>
      <c r="C268" s="66">
        <f>INDEX(Projects[MS Shuttles],267)</f>
        <v/>
      </c>
      <c r="D268" s="66">
        <f>INDEX(Projects[MS Tote Locations],267)</f>
        <v/>
      </c>
      <c r="E268" s="66">
        <f>INDEX(Projects[AS Robots],267)</f>
        <v/>
      </c>
      <c r="F268" s="66">
        <f>INDEX(Projects[AS Tote Locations],267)</f>
        <v/>
      </c>
      <c r="G268" s="66">
        <f>INDEX(Projects[PS Shuttles],267)</f>
        <v/>
      </c>
      <c r="H268" s="66">
        <f>INDEX(Projects[PS Pallet Locations],267)</f>
        <v/>
      </c>
      <c r="I268" s="66">
        <f>INDEX(Projects[SRM Cranes],267)</f>
        <v/>
      </c>
      <c r="J268" s="66">
        <f>INDEX(Projects[SRM Pallet Locations],267)</f>
        <v/>
      </c>
      <c r="K268" s="66">
        <f>INDEX(Projects[Case Conv (m)],267)</f>
        <v/>
      </c>
      <c r="L268" s="66">
        <f>INDEX(Projects[Pallet Conv (m)],267)</f>
        <v/>
      </c>
      <c r="M268" s="66">
        <f>INDEX(Projects[Mech Eng (wks)],267)</f>
        <v/>
      </c>
      <c r="N268" s="66">
        <f>INDEX(Projects[Controls Eng (wks)],267)</f>
        <v/>
      </c>
      <c r="O268" s="66">
        <f>INDEX(Projects[Systems Eng (wks)],267)</f>
        <v/>
      </c>
      <c r="P268" s="66">
        <f>INDEX(Projects[Software Eng (wks)],267)</f>
        <v/>
      </c>
      <c r="Q268" s="66">
        <f>INDEX(Projects[M&amp;E Installation (wks)],267)</f>
        <v/>
      </c>
      <c r="R268" s="66">
        <f>INDEX(Projects[Commissioning (wks)],267)</f>
        <v/>
      </c>
      <c r="S268" s="66">
        <f>INDEX(Projects[Total Timeline (wks)],267)</f>
        <v/>
      </c>
      <c r="T268" s="66">
        <f>INDEX(Projects[Currency],267)&amp;""</f>
        <v/>
      </c>
      <c r="U268" s="67">
        <f>INDEX(Projects[Value (M)],267)</f>
        <v/>
      </c>
      <c r="V268" s="66">
        <f>IF('Smart Search'!B13=1,IFERROR(1/'Smart Search'!H13,0),0)</f>
        <v/>
      </c>
      <c r="W268" s="66">
        <f>IF('Smart Search'!B13=1,IFERROR(1/'Smart Search'!H13,0),0)</f>
        <v/>
      </c>
      <c r="X268" s="66">
        <f>IF('Smart Search'!C13=1,IFERROR(1/'Smart Search'!H13,0),0)</f>
        <v/>
      </c>
      <c r="Y268" s="66">
        <f>IF('Smart Search'!C13=1,IFERROR(1/'Smart Search'!H13,0),0)</f>
        <v/>
      </c>
      <c r="Z268" s="66">
        <f>IF('Smart Search'!D13=1,IFERROR(1/'Smart Search'!H13,0),0)</f>
        <v/>
      </c>
      <c r="AA268" s="66">
        <f>IF('Smart Search'!D13=1,IFERROR(1/'Smart Search'!H13,0),0)</f>
        <v/>
      </c>
      <c r="AB268" s="66">
        <f>IF('Smart Search'!E13=1,IFERROR(1/'Smart Search'!H13,0),0)</f>
        <v/>
      </c>
      <c r="AC268" s="66">
        <f>IF('Smart Search'!E13=1,IFERROR(1/'Smart Search'!H13,0),0)</f>
        <v/>
      </c>
      <c r="AD268" s="66">
        <f>IF('Smart Search'!F13=1,IFERROR(1/'Smart Search'!H13,0),0)</f>
        <v/>
      </c>
      <c r="AE268" s="66">
        <f>IF('Smart Search'!F13=1,IFERROR(1/'Smart Search'!H13,0),0)</f>
        <v/>
      </c>
      <c r="AF268" s="66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66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66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66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66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66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66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66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66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66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66">
        <f>AF268*V268</f>
        <v/>
      </c>
      <c r="AQ268" s="66">
        <f>AG268*W268</f>
        <v/>
      </c>
      <c r="AR268" s="66">
        <f>AH268*X268</f>
        <v/>
      </c>
      <c r="AS268" s="66">
        <f>AI268*Y268</f>
        <v/>
      </c>
      <c r="AT268" s="66">
        <f>AJ268*Z268</f>
        <v/>
      </c>
      <c r="AU268" s="66">
        <f>AK268*AA268</f>
        <v/>
      </c>
      <c r="AV268" s="66">
        <f>AL268*AB268</f>
        <v/>
      </c>
      <c r="AW268" s="66">
        <f>AM268*AC268</f>
        <v/>
      </c>
      <c r="AX268" s="66">
        <f>AN268*AD268</f>
        <v/>
      </c>
      <c r="AY268" s="66">
        <f>AO268*AE268</f>
        <v/>
      </c>
      <c r="AZ268" s="66">
        <f>INDEX(Projects[Automation Equipment],267)&amp;""</f>
        <v/>
      </c>
      <c r="BA268" s="66">
        <f>IF(OR(A268="",'Smart Search'!H13=0),"",MAX(0,BE268*BF268*MAX(0,1-BG268)))</f>
        <v/>
      </c>
      <c r="BB268" s="66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66">
        <f>IF('Smart Search'!G13=1,IFERROR(1/'Smart Search'!H13,0),0)</f>
        <v/>
      </c>
      <c r="BD268" s="66">
        <f>BB268*BC268</f>
        <v/>
      </c>
      <c r="BE268" s="66">
        <f>AP268+AQ268+AR268+AS268+AT268+AU268+AV268+AW268+AX268+AY268+BD268</f>
        <v/>
      </c>
      <c r="BF268" s="5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5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5">
        <f>IF(AND(A268&lt;&gt;"",OR('Smart Search'!$L$5="",'Smart Search'!$L$5="All",TRIM(BZ268)=TRIM('Smart Search'!$L$5)),OR(TRIM('Smart Search'!$L$6)="",TRIM('Smart Search'!$L$6)="All",ISNUMBER(SEARCH(SUBSTITUTE(SUBSTITUTE(SUBSTITUTE(TRIM('Smart Search'!$L$6),"~","~~"),"*","~*"),"?","~?"),CA268))),OR('Smart Search'!$L$7="",AND(CB268&lt;&gt;0,CB268='Smart Search'!$L$7)),OR('Smart Search'!$L$8="",'Smart Search'!$L$8="All",TRIM(CC268)=TRIM('Smart Search'!$L$8))),IF(BA268="","",BA268+ROW()*0.0000000001),"")</f>
        <v/>
      </c>
      <c r="BI268" s="5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5">
        <f>IF(A268="","",N(INDEX(Projects[Mech Inst],267)))</f>
        <v/>
      </c>
      <c r="BK268" s="5">
        <f>IF(A268="","",N(INDEX(Projects[Elec Inst],267)))</f>
        <v/>
      </c>
      <c r="BL268" s="5">
        <f>IF(A268="","",N(INDEX(Projects[Project Management],267)))</f>
        <v/>
      </c>
      <c r="BM268" s="5">
        <f>IF(A268="","",N(INDEX(Projects[Systems Eng],267)))</f>
        <v/>
      </c>
      <c r="BN268" s="5">
        <f>IF(A268="","",N(INDEX(Projects[Mechanical Eng],267)))</f>
        <v/>
      </c>
      <c r="BO268" s="5">
        <f>IF(A268="","",N(INDEX(Projects[Structural Engineering],267)))</f>
        <v/>
      </c>
      <c r="BP268" s="5">
        <f>IF(A268="","",N(INDEX(Projects[Site Sup],267)))</f>
        <v/>
      </c>
      <c r="BQ268" s="5">
        <f>IF(A268="","",N(INDEX(Projects[Controls Commissioning],267)))</f>
        <v/>
      </c>
      <c r="BR268" s="5">
        <f>IF(A268="","",N(INDEX(Projects[Systems Commissioning],267)))</f>
        <v/>
      </c>
      <c r="BS268" s="5">
        <f>IF(A268="","",N(INDEX(Projects[Service Commissioning],267)))</f>
        <v/>
      </c>
      <c r="BT268" s="5">
        <f>IF(A268="","",N(INDEX(Projects[Controls Eng],267)))</f>
        <v/>
      </c>
      <c r="BU268" s="5">
        <f>IF(A268="","",N(INDEX(Projects[Controls Purchase],267)))</f>
        <v/>
      </c>
      <c r="BV268" s="5">
        <f>IF(A268="","",N(INDEX(Projects[Software Eng],267)))</f>
        <v/>
      </c>
      <c r="BW268" s="5">
        <f>IF(A268="","",N(INDEX(Projects[Misc],267)))</f>
        <v/>
      </c>
      <c r="BX268" s="5">
        <f>IF(A268="","",SUM(BJ268:BW268))</f>
        <v/>
      </c>
      <c r="BY268" s="5">
        <f>IF(A268="","",IFERROR(IF(ISNUMBER(U268),U268,VALUE(SUBSTITUTE(SUBSTITUTE(SUBSTITUTE(UPPER(TRIM(U268)),"M",""),",","")," ",""))),0))</f>
        <v/>
      </c>
      <c r="BZ268" s="5">
        <f>INDEX(Projects[Solution Type],267)&amp;""</f>
        <v/>
      </c>
      <c r="CA268" s="5">
        <f>INDEX(Projects[Client / Region],267)&amp;""</f>
        <v/>
      </c>
      <c r="CB268" s="5">
        <f>INDEX(Projects[Year],267)</f>
        <v/>
      </c>
      <c r="CC268" s="5">
        <f>INDEX(Projects[Won?],267)&amp;""</f>
        <v/>
      </c>
      <c r="CD268" s="5">
        <f>INDEX(Projects[Value (USD M)],267)</f>
        <v/>
      </c>
    </row>
    <row r="269" ht="15" customHeight="1" s="74">
      <c r="A269" s="66">
        <f>INDEX(Projects[Project ID *],268)&amp;""</f>
        <v/>
      </c>
      <c r="B269" s="66">
        <f>INDEX(Projects[Project Name *],268)&amp;""</f>
        <v/>
      </c>
      <c r="C269" s="66">
        <f>INDEX(Projects[MS Shuttles],268)</f>
        <v/>
      </c>
      <c r="D269" s="66">
        <f>INDEX(Projects[MS Tote Locations],268)</f>
        <v/>
      </c>
      <c r="E269" s="66">
        <f>INDEX(Projects[AS Robots],268)</f>
        <v/>
      </c>
      <c r="F269" s="66">
        <f>INDEX(Projects[AS Tote Locations],268)</f>
        <v/>
      </c>
      <c r="G269" s="66">
        <f>INDEX(Projects[PS Shuttles],268)</f>
        <v/>
      </c>
      <c r="H269" s="66">
        <f>INDEX(Projects[PS Pallet Locations],268)</f>
        <v/>
      </c>
      <c r="I269" s="66">
        <f>INDEX(Projects[SRM Cranes],268)</f>
        <v/>
      </c>
      <c r="J269" s="66">
        <f>INDEX(Projects[SRM Pallet Locations],268)</f>
        <v/>
      </c>
      <c r="K269" s="66">
        <f>INDEX(Projects[Case Conv (m)],268)</f>
        <v/>
      </c>
      <c r="L269" s="66">
        <f>INDEX(Projects[Pallet Conv (m)],268)</f>
        <v/>
      </c>
      <c r="M269" s="66">
        <f>INDEX(Projects[Mech Eng (wks)],268)</f>
        <v/>
      </c>
      <c r="N269" s="66">
        <f>INDEX(Projects[Controls Eng (wks)],268)</f>
        <v/>
      </c>
      <c r="O269" s="66">
        <f>INDEX(Projects[Systems Eng (wks)],268)</f>
        <v/>
      </c>
      <c r="P269" s="66">
        <f>INDEX(Projects[Software Eng (wks)],268)</f>
        <v/>
      </c>
      <c r="Q269" s="66">
        <f>INDEX(Projects[M&amp;E Installation (wks)],268)</f>
        <v/>
      </c>
      <c r="R269" s="66">
        <f>INDEX(Projects[Commissioning (wks)],268)</f>
        <v/>
      </c>
      <c r="S269" s="66">
        <f>INDEX(Projects[Total Timeline (wks)],268)</f>
        <v/>
      </c>
      <c r="T269" s="66">
        <f>INDEX(Projects[Currency],268)&amp;""</f>
        <v/>
      </c>
      <c r="U269" s="67">
        <f>INDEX(Projects[Value (M)],268)</f>
        <v/>
      </c>
      <c r="V269" s="66">
        <f>IF('Smart Search'!B13=1,IFERROR(1/'Smart Search'!H13,0),0)</f>
        <v/>
      </c>
      <c r="W269" s="66">
        <f>IF('Smart Search'!B13=1,IFERROR(1/'Smart Search'!H13,0),0)</f>
        <v/>
      </c>
      <c r="X269" s="66">
        <f>IF('Smart Search'!C13=1,IFERROR(1/'Smart Search'!H13,0),0)</f>
        <v/>
      </c>
      <c r="Y269" s="66">
        <f>IF('Smart Search'!C13=1,IFERROR(1/'Smart Search'!H13,0),0)</f>
        <v/>
      </c>
      <c r="Z269" s="66">
        <f>IF('Smart Search'!D13=1,IFERROR(1/'Smart Search'!H13,0),0)</f>
        <v/>
      </c>
      <c r="AA269" s="66">
        <f>IF('Smart Search'!D13=1,IFERROR(1/'Smart Search'!H13,0),0)</f>
        <v/>
      </c>
      <c r="AB269" s="66">
        <f>IF('Smart Search'!E13=1,IFERROR(1/'Smart Search'!H13,0),0)</f>
        <v/>
      </c>
      <c r="AC269" s="66">
        <f>IF('Smart Search'!E13=1,IFERROR(1/'Smart Search'!H13,0),0)</f>
        <v/>
      </c>
      <c r="AD269" s="66">
        <f>IF('Smart Search'!F13=1,IFERROR(1/'Smart Search'!H13,0),0)</f>
        <v/>
      </c>
      <c r="AE269" s="66">
        <f>IF('Smart Search'!F13=1,IFERROR(1/'Smart Search'!H13,0),0)</f>
        <v/>
      </c>
      <c r="AF269" s="66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66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66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66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66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66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66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66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66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66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66">
        <f>AF269*V269</f>
        <v/>
      </c>
      <c r="AQ269" s="66">
        <f>AG269*W269</f>
        <v/>
      </c>
      <c r="AR269" s="66">
        <f>AH269*X269</f>
        <v/>
      </c>
      <c r="AS269" s="66">
        <f>AI269*Y269</f>
        <v/>
      </c>
      <c r="AT269" s="66">
        <f>AJ269*Z269</f>
        <v/>
      </c>
      <c r="AU269" s="66">
        <f>AK269*AA269</f>
        <v/>
      </c>
      <c r="AV269" s="66">
        <f>AL269*AB269</f>
        <v/>
      </c>
      <c r="AW269" s="66">
        <f>AM269*AC269</f>
        <v/>
      </c>
      <c r="AX269" s="66">
        <f>AN269*AD269</f>
        <v/>
      </c>
      <c r="AY269" s="66">
        <f>AO269*AE269</f>
        <v/>
      </c>
      <c r="AZ269" s="66">
        <f>INDEX(Projects[Automation Equipment],268)&amp;""</f>
        <v/>
      </c>
      <c r="BA269" s="66">
        <f>IF(OR(A269="",'Smart Search'!H13=0),"",MAX(0,BE269*BF269*MAX(0,1-BG269)))</f>
        <v/>
      </c>
      <c r="BB269" s="66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66">
        <f>IF('Smart Search'!G13=1,IFERROR(1/'Smart Search'!H13,0),0)</f>
        <v/>
      </c>
      <c r="BD269" s="66">
        <f>BB269*BC269</f>
        <v/>
      </c>
      <c r="BE269" s="66">
        <f>AP269+AQ269+AR269+AS269+AT269+AU269+AV269+AW269+AX269+AY269+BD269</f>
        <v/>
      </c>
      <c r="BF269" s="5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5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5">
        <f>IF(AND(A269&lt;&gt;"",OR('Smart Search'!$L$5="",'Smart Search'!$L$5="All",TRIM(BZ269)=TRIM('Smart Search'!$L$5)),OR(TRIM('Smart Search'!$L$6)="",TRIM('Smart Search'!$L$6)="All",ISNUMBER(SEARCH(SUBSTITUTE(SUBSTITUTE(SUBSTITUTE(TRIM('Smart Search'!$L$6),"~","~~"),"*","~*"),"?","~?"),CA269))),OR('Smart Search'!$L$7="",AND(CB269&lt;&gt;0,CB269='Smart Search'!$L$7)),OR('Smart Search'!$L$8="",'Smart Search'!$L$8="All",TRIM(CC269)=TRIM('Smart Search'!$L$8))),IF(BA269="","",BA269+ROW()*0.0000000001),"")</f>
        <v/>
      </c>
      <c r="BI269" s="5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5">
        <f>IF(A269="","",N(INDEX(Projects[Mech Inst],268)))</f>
        <v/>
      </c>
      <c r="BK269" s="5">
        <f>IF(A269="","",N(INDEX(Projects[Elec Inst],268)))</f>
        <v/>
      </c>
      <c r="BL269" s="5">
        <f>IF(A269="","",N(INDEX(Projects[Project Management],268)))</f>
        <v/>
      </c>
      <c r="BM269" s="5">
        <f>IF(A269="","",N(INDEX(Projects[Systems Eng],268)))</f>
        <v/>
      </c>
      <c r="BN269" s="5">
        <f>IF(A269="","",N(INDEX(Projects[Mechanical Eng],268)))</f>
        <v/>
      </c>
      <c r="BO269" s="5">
        <f>IF(A269="","",N(INDEX(Projects[Structural Engineering],268)))</f>
        <v/>
      </c>
      <c r="BP269" s="5">
        <f>IF(A269="","",N(INDEX(Projects[Site Sup],268)))</f>
        <v/>
      </c>
      <c r="BQ269" s="5">
        <f>IF(A269="","",N(INDEX(Projects[Controls Commissioning],268)))</f>
        <v/>
      </c>
      <c r="BR269" s="5">
        <f>IF(A269="","",N(INDEX(Projects[Systems Commissioning],268)))</f>
        <v/>
      </c>
      <c r="BS269" s="5">
        <f>IF(A269="","",N(INDEX(Projects[Service Commissioning],268)))</f>
        <v/>
      </c>
      <c r="BT269" s="5">
        <f>IF(A269="","",N(INDEX(Projects[Controls Eng],268)))</f>
        <v/>
      </c>
      <c r="BU269" s="5">
        <f>IF(A269="","",N(INDEX(Projects[Controls Purchase],268)))</f>
        <v/>
      </c>
      <c r="BV269" s="5">
        <f>IF(A269="","",N(INDEX(Projects[Software Eng],268)))</f>
        <v/>
      </c>
      <c r="BW269" s="5">
        <f>IF(A269="","",N(INDEX(Projects[Misc],268)))</f>
        <v/>
      </c>
      <c r="BX269" s="5">
        <f>IF(A269="","",SUM(BJ269:BW269))</f>
        <v/>
      </c>
      <c r="BY269" s="5">
        <f>IF(A269="","",IFERROR(IF(ISNUMBER(U269),U269,VALUE(SUBSTITUTE(SUBSTITUTE(SUBSTITUTE(UPPER(TRIM(U269)),"M",""),",","")," ",""))),0))</f>
        <v/>
      </c>
      <c r="BZ269" s="5">
        <f>INDEX(Projects[Solution Type],268)&amp;""</f>
        <v/>
      </c>
      <c r="CA269" s="5">
        <f>INDEX(Projects[Client / Region],268)&amp;""</f>
        <v/>
      </c>
      <c r="CB269" s="5">
        <f>INDEX(Projects[Year],268)</f>
        <v/>
      </c>
      <c r="CC269" s="5">
        <f>INDEX(Projects[Won?],268)&amp;""</f>
        <v/>
      </c>
      <c r="CD269" s="5">
        <f>INDEX(Projects[Value (USD M)],268)</f>
        <v/>
      </c>
    </row>
    <row r="270" ht="15" customHeight="1" s="74">
      <c r="A270" s="66">
        <f>INDEX(Projects[Project ID *],269)&amp;""</f>
        <v/>
      </c>
      <c r="B270" s="66">
        <f>INDEX(Projects[Project Name *],269)&amp;""</f>
        <v/>
      </c>
      <c r="C270" s="66">
        <f>INDEX(Projects[MS Shuttles],269)</f>
        <v/>
      </c>
      <c r="D270" s="66">
        <f>INDEX(Projects[MS Tote Locations],269)</f>
        <v/>
      </c>
      <c r="E270" s="66">
        <f>INDEX(Projects[AS Robots],269)</f>
        <v/>
      </c>
      <c r="F270" s="66">
        <f>INDEX(Projects[AS Tote Locations],269)</f>
        <v/>
      </c>
      <c r="G270" s="66">
        <f>INDEX(Projects[PS Shuttles],269)</f>
        <v/>
      </c>
      <c r="H270" s="66">
        <f>INDEX(Projects[PS Pallet Locations],269)</f>
        <v/>
      </c>
      <c r="I270" s="66">
        <f>INDEX(Projects[SRM Cranes],269)</f>
        <v/>
      </c>
      <c r="J270" s="66">
        <f>INDEX(Projects[SRM Pallet Locations],269)</f>
        <v/>
      </c>
      <c r="K270" s="66">
        <f>INDEX(Projects[Case Conv (m)],269)</f>
        <v/>
      </c>
      <c r="L270" s="66">
        <f>INDEX(Projects[Pallet Conv (m)],269)</f>
        <v/>
      </c>
      <c r="M270" s="66">
        <f>INDEX(Projects[Mech Eng (wks)],269)</f>
        <v/>
      </c>
      <c r="N270" s="66">
        <f>INDEX(Projects[Controls Eng (wks)],269)</f>
        <v/>
      </c>
      <c r="O270" s="66">
        <f>INDEX(Projects[Systems Eng (wks)],269)</f>
        <v/>
      </c>
      <c r="P270" s="66">
        <f>INDEX(Projects[Software Eng (wks)],269)</f>
        <v/>
      </c>
      <c r="Q270" s="66">
        <f>INDEX(Projects[M&amp;E Installation (wks)],269)</f>
        <v/>
      </c>
      <c r="R270" s="66">
        <f>INDEX(Projects[Commissioning (wks)],269)</f>
        <v/>
      </c>
      <c r="S270" s="66">
        <f>INDEX(Projects[Total Timeline (wks)],269)</f>
        <v/>
      </c>
      <c r="T270" s="66">
        <f>INDEX(Projects[Currency],269)&amp;""</f>
        <v/>
      </c>
      <c r="U270" s="67">
        <f>INDEX(Projects[Value (M)],269)</f>
        <v/>
      </c>
      <c r="V270" s="66">
        <f>IF('Smart Search'!B13=1,IFERROR(1/'Smart Search'!H13,0),0)</f>
        <v/>
      </c>
      <c r="W270" s="66">
        <f>IF('Smart Search'!B13=1,IFERROR(1/'Smart Search'!H13,0),0)</f>
        <v/>
      </c>
      <c r="X270" s="66">
        <f>IF('Smart Search'!C13=1,IFERROR(1/'Smart Search'!H13,0),0)</f>
        <v/>
      </c>
      <c r="Y270" s="66">
        <f>IF('Smart Search'!C13=1,IFERROR(1/'Smart Search'!H13,0),0)</f>
        <v/>
      </c>
      <c r="Z270" s="66">
        <f>IF('Smart Search'!D13=1,IFERROR(1/'Smart Search'!H13,0),0)</f>
        <v/>
      </c>
      <c r="AA270" s="66">
        <f>IF('Smart Search'!D13=1,IFERROR(1/'Smart Search'!H13,0),0)</f>
        <v/>
      </c>
      <c r="AB270" s="66">
        <f>IF('Smart Search'!E13=1,IFERROR(1/'Smart Search'!H13,0),0)</f>
        <v/>
      </c>
      <c r="AC270" s="66">
        <f>IF('Smart Search'!E13=1,IFERROR(1/'Smart Search'!H13,0),0)</f>
        <v/>
      </c>
      <c r="AD270" s="66">
        <f>IF('Smart Search'!F13=1,IFERROR(1/'Smart Search'!H13,0),0)</f>
        <v/>
      </c>
      <c r="AE270" s="66">
        <f>IF('Smart Search'!F13=1,IFERROR(1/'Smart Search'!H13,0),0)</f>
        <v/>
      </c>
      <c r="AF270" s="66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66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66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66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66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66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66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66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66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66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66">
        <f>AF270*V270</f>
        <v/>
      </c>
      <c r="AQ270" s="66">
        <f>AG270*W270</f>
        <v/>
      </c>
      <c r="AR270" s="66">
        <f>AH270*X270</f>
        <v/>
      </c>
      <c r="AS270" s="66">
        <f>AI270*Y270</f>
        <v/>
      </c>
      <c r="AT270" s="66">
        <f>AJ270*Z270</f>
        <v/>
      </c>
      <c r="AU270" s="66">
        <f>AK270*AA270</f>
        <v/>
      </c>
      <c r="AV270" s="66">
        <f>AL270*AB270</f>
        <v/>
      </c>
      <c r="AW270" s="66">
        <f>AM270*AC270</f>
        <v/>
      </c>
      <c r="AX270" s="66">
        <f>AN270*AD270</f>
        <v/>
      </c>
      <c r="AY270" s="66">
        <f>AO270*AE270</f>
        <v/>
      </c>
      <c r="AZ270" s="66">
        <f>INDEX(Projects[Automation Equipment],269)&amp;""</f>
        <v/>
      </c>
      <c r="BA270" s="66">
        <f>IF(OR(A270="",'Smart Search'!H13=0),"",MAX(0,BE270*BF270*MAX(0,1-BG270)))</f>
        <v/>
      </c>
      <c r="BB270" s="66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66">
        <f>IF('Smart Search'!G13=1,IFERROR(1/'Smart Search'!H13,0),0)</f>
        <v/>
      </c>
      <c r="BD270" s="66">
        <f>BB270*BC270</f>
        <v/>
      </c>
      <c r="BE270" s="66">
        <f>AP270+AQ270+AR270+AS270+AT270+AU270+AV270+AW270+AX270+AY270+BD270</f>
        <v/>
      </c>
      <c r="BF270" s="5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5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5">
        <f>IF(AND(A270&lt;&gt;"",OR('Smart Search'!$L$5="",'Smart Search'!$L$5="All",TRIM(BZ270)=TRIM('Smart Search'!$L$5)),OR(TRIM('Smart Search'!$L$6)="",TRIM('Smart Search'!$L$6)="All",ISNUMBER(SEARCH(SUBSTITUTE(SUBSTITUTE(SUBSTITUTE(TRIM('Smart Search'!$L$6),"~","~~"),"*","~*"),"?","~?"),CA270))),OR('Smart Search'!$L$7="",AND(CB270&lt;&gt;0,CB270='Smart Search'!$L$7)),OR('Smart Search'!$L$8="",'Smart Search'!$L$8="All",TRIM(CC270)=TRIM('Smart Search'!$L$8))),IF(BA270="","",BA270+ROW()*0.0000000001),"")</f>
        <v/>
      </c>
      <c r="BI270" s="5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5">
        <f>IF(A270="","",N(INDEX(Projects[Mech Inst],269)))</f>
        <v/>
      </c>
      <c r="BK270" s="5">
        <f>IF(A270="","",N(INDEX(Projects[Elec Inst],269)))</f>
        <v/>
      </c>
      <c r="BL270" s="5">
        <f>IF(A270="","",N(INDEX(Projects[Project Management],269)))</f>
        <v/>
      </c>
      <c r="BM270" s="5">
        <f>IF(A270="","",N(INDEX(Projects[Systems Eng],269)))</f>
        <v/>
      </c>
      <c r="BN270" s="5">
        <f>IF(A270="","",N(INDEX(Projects[Mechanical Eng],269)))</f>
        <v/>
      </c>
      <c r="BO270" s="5">
        <f>IF(A270="","",N(INDEX(Projects[Structural Engineering],269)))</f>
        <v/>
      </c>
      <c r="BP270" s="5">
        <f>IF(A270="","",N(INDEX(Projects[Site Sup],269)))</f>
        <v/>
      </c>
      <c r="BQ270" s="5">
        <f>IF(A270="","",N(INDEX(Projects[Controls Commissioning],269)))</f>
        <v/>
      </c>
      <c r="BR270" s="5">
        <f>IF(A270="","",N(INDEX(Projects[Systems Commissioning],269)))</f>
        <v/>
      </c>
      <c r="BS270" s="5">
        <f>IF(A270="","",N(INDEX(Projects[Service Commissioning],269)))</f>
        <v/>
      </c>
      <c r="BT270" s="5">
        <f>IF(A270="","",N(INDEX(Projects[Controls Eng],269)))</f>
        <v/>
      </c>
      <c r="BU270" s="5">
        <f>IF(A270="","",N(INDEX(Projects[Controls Purchase],269)))</f>
        <v/>
      </c>
      <c r="BV270" s="5">
        <f>IF(A270="","",N(INDEX(Projects[Software Eng],269)))</f>
        <v/>
      </c>
      <c r="BW270" s="5">
        <f>IF(A270="","",N(INDEX(Projects[Misc],269)))</f>
        <v/>
      </c>
      <c r="BX270" s="5">
        <f>IF(A270="","",SUM(BJ270:BW270))</f>
        <v/>
      </c>
      <c r="BY270" s="5">
        <f>IF(A270="","",IFERROR(IF(ISNUMBER(U270),U270,VALUE(SUBSTITUTE(SUBSTITUTE(SUBSTITUTE(UPPER(TRIM(U270)),"M",""),",","")," ",""))),0))</f>
        <v/>
      </c>
      <c r="BZ270" s="5">
        <f>INDEX(Projects[Solution Type],269)&amp;""</f>
        <v/>
      </c>
      <c r="CA270" s="5">
        <f>INDEX(Projects[Client / Region],269)&amp;""</f>
        <v/>
      </c>
      <c r="CB270" s="5">
        <f>INDEX(Projects[Year],269)</f>
        <v/>
      </c>
      <c r="CC270" s="5">
        <f>INDEX(Projects[Won?],269)&amp;""</f>
        <v/>
      </c>
      <c r="CD270" s="5">
        <f>INDEX(Projects[Value (USD M)],269)</f>
        <v/>
      </c>
    </row>
    <row r="271" ht="15" customHeight="1" s="74">
      <c r="A271" s="66">
        <f>INDEX(Projects[Project ID *],270)&amp;""</f>
        <v/>
      </c>
      <c r="B271" s="66">
        <f>INDEX(Projects[Project Name *],270)&amp;""</f>
        <v/>
      </c>
      <c r="C271" s="66">
        <f>INDEX(Projects[MS Shuttles],270)</f>
        <v/>
      </c>
      <c r="D271" s="66">
        <f>INDEX(Projects[MS Tote Locations],270)</f>
        <v/>
      </c>
      <c r="E271" s="66">
        <f>INDEX(Projects[AS Robots],270)</f>
        <v/>
      </c>
      <c r="F271" s="66">
        <f>INDEX(Projects[AS Tote Locations],270)</f>
        <v/>
      </c>
      <c r="G271" s="66">
        <f>INDEX(Projects[PS Shuttles],270)</f>
        <v/>
      </c>
      <c r="H271" s="66">
        <f>INDEX(Projects[PS Pallet Locations],270)</f>
        <v/>
      </c>
      <c r="I271" s="66">
        <f>INDEX(Projects[SRM Cranes],270)</f>
        <v/>
      </c>
      <c r="J271" s="66">
        <f>INDEX(Projects[SRM Pallet Locations],270)</f>
        <v/>
      </c>
      <c r="K271" s="66">
        <f>INDEX(Projects[Case Conv (m)],270)</f>
        <v/>
      </c>
      <c r="L271" s="66">
        <f>INDEX(Projects[Pallet Conv (m)],270)</f>
        <v/>
      </c>
      <c r="M271" s="66">
        <f>INDEX(Projects[Mech Eng (wks)],270)</f>
        <v/>
      </c>
      <c r="N271" s="66">
        <f>INDEX(Projects[Controls Eng (wks)],270)</f>
        <v/>
      </c>
      <c r="O271" s="66">
        <f>INDEX(Projects[Systems Eng (wks)],270)</f>
        <v/>
      </c>
      <c r="P271" s="66">
        <f>INDEX(Projects[Software Eng (wks)],270)</f>
        <v/>
      </c>
      <c r="Q271" s="66">
        <f>INDEX(Projects[M&amp;E Installation (wks)],270)</f>
        <v/>
      </c>
      <c r="R271" s="66">
        <f>INDEX(Projects[Commissioning (wks)],270)</f>
        <v/>
      </c>
      <c r="S271" s="66">
        <f>INDEX(Projects[Total Timeline (wks)],270)</f>
        <v/>
      </c>
      <c r="T271" s="66">
        <f>INDEX(Projects[Currency],270)&amp;""</f>
        <v/>
      </c>
      <c r="U271" s="67">
        <f>INDEX(Projects[Value (M)],270)</f>
        <v/>
      </c>
      <c r="V271" s="66">
        <f>IF('Smart Search'!B13=1,IFERROR(1/'Smart Search'!H13,0),0)</f>
        <v/>
      </c>
      <c r="W271" s="66">
        <f>IF('Smart Search'!B13=1,IFERROR(1/'Smart Search'!H13,0),0)</f>
        <v/>
      </c>
      <c r="X271" s="66">
        <f>IF('Smart Search'!C13=1,IFERROR(1/'Smart Search'!H13,0),0)</f>
        <v/>
      </c>
      <c r="Y271" s="66">
        <f>IF('Smart Search'!C13=1,IFERROR(1/'Smart Search'!H13,0),0)</f>
        <v/>
      </c>
      <c r="Z271" s="66">
        <f>IF('Smart Search'!D13=1,IFERROR(1/'Smart Search'!H13,0),0)</f>
        <v/>
      </c>
      <c r="AA271" s="66">
        <f>IF('Smart Search'!D13=1,IFERROR(1/'Smart Search'!H13,0),0)</f>
        <v/>
      </c>
      <c r="AB271" s="66">
        <f>IF('Smart Search'!E13=1,IFERROR(1/'Smart Search'!H13,0),0)</f>
        <v/>
      </c>
      <c r="AC271" s="66">
        <f>IF('Smart Search'!E13=1,IFERROR(1/'Smart Search'!H13,0),0)</f>
        <v/>
      </c>
      <c r="AD271" s="66">
        <f>IF('Smart Search'!F13=1,IFERROR(1/'Smart Search'!H13,0),0)</f>
        <v/>
      </c>
      <c r="AE271" s="66">
        <f>IF('Smart Search'!F13=1,IFERROR(1/'Smart Search'!H13,0),0)</f>
        <v/>
      </c>
      <c r="AF271" s="66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66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66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66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66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66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66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66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66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66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66">
        <f>AF271*V271</f>
        <v/>
      </c>
      <c r="AQ271" s="66">
        <f>AG271*W271</f>
        <v/>
      </c>
      <c r="AR271" s="66">
        <f>AH271*X271</f>
        <v/>
      </c>
      <c r="AS271" s="66">
        <f>AI271*Y271</f>
        <v/>
      </c>
      <c r="AT271" s="66">
        <f>AJ271*Z271</f>
        <v/>
      </c>
      <c r="AU271" s="66">
        <f>AK271*AA271</f>
        <v/>
      </c>
      <c r="AV271" s="66">
        <f>AL271*AB271</f>
        <v/>
      </c>
      <c r="AW271" s="66">
        <f>AM271*AC271</f>
        <v/>
      </c>
      <c r="AX271" s="66">
        <f>AN271*AD271</f>
        <v/>
      </c>
      <c r="AY271" s="66">
        <f>AO271*AE271</f>
        <v/>
      </c>
      <c r="AZ271" s="66">
        <f>INDEX(Projects[Automation Equipment],270)&amp;""</f>
        <v/>
      </c>
      <c r="BA271" s="66">
        <f>IF(OR(A271="",'Smart Search'!H13=0),"",MAX(0,BE271*BF271*MAX(0,1-BG271)))</f>
        <v/>
      </c>
      <c r="BB271" s="66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66">
        <f>IF('Smart Search'!G13=1,IFERROR(1/'Smart Search'!H13,0),0)</f>
        <v/>
      </c>
      <c r="BD271" s="66">
        <f>BB271*BC271</f>
        <v/>
      </c>
      <c r="BE271" s="66">
        <f>AP271+AQ271+AR271+AS271+AT271+AU271+AV271+AW271+AX271+AY271+BD271</f>
        <v/>
      </c>
      <c r="BF271" s="5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5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5">
        <f>IF(AND(A271&lt;&gt;"",OR('Smart Search'!$L$5="",'Smart Search'!$L$5="All",TRIM(BZ271)=TRIM('Smart Search'!$L$5)),OR(TRIM('Smart Search'!$L$6)="",TRIM('Smart Search'!$L$6)="All",ISNUMBER(SEARCH(SUBSTITUTE(SUBSTITUTE(SUBSTITUTE(TRIM('Smart Search'!$L$6),"~","~~"),"*","~*"),"?","~?"),CA271))),OR('Smart Search'!$L$7="",AND(CB271&lt;&gt;0,CB271='Smart Search'!$L$7)),OR('Smart Search'!$L$8="",'Smart Search'!$L$8="All",TRIM(CC271)=TRIM('Smart Search'!$L$8))),IF(BA271="","",BA271+ROW()*0.0000000001),"")</f>
        <v/>
      </c>
      <c r="BI271" s="5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5">
        <f>IF(A271="","",N(INDEX(Projects[Mech Inst],270)))</f>
        <v/>
      </c>
      <c r="BK271" s="5">
        <f>IF(A271="","",N(INDEX(Projects[Elec Inst],270)))</f>
        <v/>
      </c>
      <c r="BL271" s="5">
        <f>IF(A271="","",N(INDEX(Projects[Project Management],270)))</f>
        <v/>
      </c>
      <c r="BM271" s="5">
        <f>IF(A271="","",N(INDEX(Projects[Systems Eng],270)))</f>
        <v/>
      </c>
      <c r="BN271" s="5">
        <f>IF(A271="","",N(INDEX(Projects[Mechanical Eng],270)))</f>
        <v/>
      </c>
      <c r="BO271" s="5">
        <f>IF(A271="","",N(INDEX(Projects[Structural Engineering],270)))</f>
        <v/>
      </c>
      <c r="BP271" s="5">
        <f>IF(A271="","",N(INDEX(Projects[Site Sup],270)))</f>
        <v/>
      </c>
      <c r="BQ271" s="5">
        <f>IF(A271="","",N(INDEX(Projects[Controls Commissioning],270)))</f>
        <v/>
      </c>
      <c r="BR271" s="5">
        <f>IF(A271="","",N(INDEX(Projects[Systems Commissioning],270)))</f>
        <v/>
      </c>
      <c r="BS271" s="5">
        <f>IF(A271="","",N(INDEX(Projects[Service Commissioning],270)))</f>
        <v/>
      </c>
      <c r="BT271" s="5">
        <f>IF(A271="","",N(INDEX(Projects[Controls Eng],270)))</f>
        <v/>
      </c>
      <c r="BU271" s="5">
        <f>IF(A271="","",N(INDEX(Projects[Controls Purchase],270)))</f>
        <v/>
      </c>
      <c r="BV271" s="5">
        <f>IF(A271="","",N(INDEX(Projects[Software Eng],270)))</f>
        <v/>
      </c>
      <c r="BW271" s="5">
        <f>IF(A271="","",N(INDEX(Projects[Misc],270)))</f>
        <v/>
      </c>
      <c r="BX271" s="5">
        <f>IF(A271="","",SUM(BJ271:BW271))</f>
        <v/>
      </c>
      <c r="BY271" s="5">
        <f>IF(A271="","",IFERROR(IF(ISNUMBER(U271),U271,VALUE(SUBSTITUTE(SUBSTITUTE(SUBSTITUTE(UPPER(TRIM(U271)),"M",""),",","")," ",""))),0))</f>
        <v/>
      </c>
      <c r="BZ271" s="5">
        <f>INDEX(Projects[Solution Type],270)&amp;""</f>
        <v/>
      </c>
      <c r="CA271" s="5">
        <f>INDEX(Projects[Client / Region],270)&amp;""</f>
        <v/>
      </c>
      <c r="CB271" s="5">
        <f>INDEX(Projects[Year],270)</f>
        <v/>
      </c>
      <c r="CC271" s="5">
        <f>INDEX(Projects[Won?],270)&amp;""</f>
        <v/>
      </c>
      <c r="CD271" s="5">
        <f>INDEX(Projects[Value (USD M)],270)</f>
        <v/>
      </c>
    </row>
    <row r="272" ht="15" customHeight="1" s="74">
      <c r="A272" s="66">
        <f>INDEX(Projects[Project ID *],271)&amp;""</f>
        <v/>
      </c>
      <c r="B272" s="66">
        <f>INDEX(Projects[Project Name *],271)&amp;""</f>
        <v/>
      </c>
      <c r="C272" s="66">
        <f>INDEX(Projects[MS Shuttles],271)</f>
        <v/>
      </c>
      <c r="D272" s="66">
        <f>INDEX(Projects[MS Tote Locations],271)</f>
        <v/>
      </c>
      <c r="E272" s="66">
        <f>INDEX(Projects[AS Robots],271)</f>
        <v/>
      </c>
      <c r="F272" s="66">
        <f>INDEX(Projects[AS Tote Locations],271)</f>
        <v/>
      </c>
      <c r="G272" s="66">
        <f>INDEX(Projects[PS Shuttles],271)</f>
        <v/>
      </c>
      <c r="H272" s="66">
        <f>INDEX(Projects[PS Pallet Locations],271)</f>
        <v/>
      </c>
      <c r="I272" s="66">
        <f>INDEX(Projects[SRM Cranes],271)</f>
        <v/>
      </c>
      <c r="J272" s="66">
        <f>INDEX(Projects[SRM Pallet Locations],271)</f>
        <v/>
      </c>
      <c r="K272" s="66">
        <f>INDEX(Projects[Case Conv (m)],271)</f>
        <v/>
      </c>
      <c r="L272" s="66">
        <f>INDEX(Projects[Pallet Conv (m)],271)</f>
        <v/>
      </c>
      <c r="M272" s="66">
        <f>INDEX(Projects[Mech Eng (wks)],271)</f>
        <v/>
      </c>
      <c r="N272" s="66">
        <f>INDEX(Projects[Controls Eng (wks)],271)</f>
        <v/>
      </c>
      <c r="O272" s="66">
        <f>INDEX(Projects[Systems Eng (wks)],271)</f>
        <v/>
      </c>
      <c r="P272" s="66">
        <f>INDEX(Projects[Software Eng (wks)],271)</f>
        <v/>
      </c>
      <c r="Q272" s="66">
        <f>INDEX(Projects[M&amp;E Installation (wks)],271)</f>
        <v/>
      </c>
      <c r="R272" s="66">
        <f>INDEX(Projects[Commissioning (wks)],271)</f>
        <v/>
      </c>
      <c r="S272" s="66">
        <f>INDEX(Projects[Total Timeline (wks)],271)</f>
        <v/>
      </c>
      <c r="T272" s="66">
        <f>INDEX(Projects[Currency],271)&amp;""</f>
        <v/>
      </c>
      <c r="U272" s="67">
        <f>INDEX(Projects[Value (M)],271)</f>
        <v/>
      </c>
      <c r="V272" s="66">
        <f>IF('Smart Search'!B13=1,IFERROR(1/'Smart Search'!H13,0),0)</f>
        <v/>
      </c>
      <c r="W272" s="66">
        <f>IF('Smart Search'!B13=1,IFERROR(1/'Smart Search'!H13,0),0)</f>
        <v/>
      </c>
      <c r="X272" s="66">
        <f>IF('Smart Search'!C13=1,IFERROR(1/'Smart Search'!H13,0),0)</f>
        <v/>
      </c>
      <c r="Y272" s="66">
        <f>IF('Smart Search'!C13=1,IFERROR(1/'Smart Search'!H13,0),0)</f>
        <v/>
      </c>
      <c r="Z272" s="66">
        <f>IF('Smart Search'!D13=1,IFERROR(1/'Smart Search'!H13,0),0)</f>
        <v/>
      </c>
      <c r="AA272" s="66">
        <f>IF('Smart Search'!D13=1,IFERROR(1/'Smart Search'!H13,0),0)</f>
        <v/>
      </c>
      <c r="AB272" s="66">
        <f>IF('Smart Search'!E13=1,IFERROR(1/'Smart Search'!H13,0),0)</f>
        <v/>
      </c>
      <c r="AC272" s="66">
        <f>IF('Smart Search'!E13=1,IFERROR(1/'Smart Search'!H13,0),0)</f>
        <v/>
      </c>
      <c r="AD272" s="66">
        <f>IF('Smart Search'!F13=1,IFERROR(1/'Smart Search'!H13,0),0)</f>
        <v/>
      </c>
      <c r="AE272" s="66">
        <f>IF('Smart Search'!F13=1,IFERROR(1/'Smart Search'!H13,0),0)</f>
        <v/>
      </c>
      <c r="AF272" s="66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66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66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66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66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66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66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66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66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66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66">
        <f>AF272*V272</f>
        <v/>
      </c>
      <c r="AQ272" s="66">
        <f>AG272*W272</f>
        <v/>
      </c>
      <c r="AR272" s="66">
        <f>AH272*X272</f>
        <v/>
      </c>
      <c r="AS272" s="66">
        <f>AI272*Y272</f>
        <v/>
      </c>
      <c r="AT272" s="66">
        <f>AJ272*Z272</f>
        <v/>
      </c>
      <c r="AU272" s="66">
        <f>AK272*AA272</f>
        <v/>
      </c>
      <c r="AV272" s="66">
        <f>AL272*AB272</f>
        <v/>
      </c>
      <c r="AW272" s="66">
        <f>AM272*AC272</f>
        <v/>
      </c>
      <c r="AX272" s="66">
        <f>AN272*AD272</f>
        <v/>
      </c>
      <c r="AY272" s="66">
        <f>AO272*AE272</f>
        <v/>
      </c>
      <c r="AZ272" s="66">
        <f>INDEX(Projects[Automation Equipment],271)&amp;""</f>
        <v/>
      </c>
      <c r="BA272" s="66">
        <f>IF(OR(A272="",'Smart Search'!H13=0),"",MAX(0,BE272*BF272*MAX(0,1-BG272)))</f>
        <v/>
      </c>
      <c r="BB272" s="66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66">
        <f>IF('Smart Search'!G13=1,IFERROR(1/'Smart Search'!H13,0),0)</f>
        <v/>
      </c>
      <c r="BD272" s="66">
        <f>BB272*BC272</f>
        <v/>
      </c>
      <c r="BE272" s="66">
        <f>AP272+AQ272+AR272+AS272+AT272+AU272+AV272+AW272+AX272+AY272+BD272</f>
        <v/>
      </c>
      <c r="BF272" s="5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5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5">
        <f>IF(AND(A272&lt;&gt;"",OR('Smart Search'!$L$5="",'Smart Search'!$L$5="All",TRIM(BZ272)=TRIM('Smart Search'!$L$5)),OR(TRIM('Smart Search'!$L$6)="",TRIM('Smart Search'!$L$6)="All",ISNUMBER(SEARCH(SUBSTITUTE(SUBSTITUTE(SUBSTITUTE(TRIM('Smart Search'!$L$6),"~","~~"),"*","~*"),"?","~?"),CA272))),OR('Smart Search'!$L$7="",AND(CB272&lt;&gt;0,CB272='Smart Search'!$L$7)),OR('Smart Search'!$L$8="",'Smart Search'!$L$8="All",TRIM(CC272)=TRIM('Smart Search'!$L$8))),IF(BA272="","",BA272+ROW()*0.0000000001),"")</f>
        <v/>
      </c>
      <c r="BI272" s="5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5">
        <f>IF(A272="","",N(INDEX(Projects[Mech Inst],271)))</f>
        <v/>
      </c>
      <c r="BK272" s="5">
        <f>IF(A272="","",N(INDEX(Projects[Elec Inst],271)))</f>
        <v/>
      </c>
      <c r="BL272" s="5">
        <f>IF(A272="","",N(INDEX(Projects[Project Management],271)))</f>
        <v/>
      </c>
      <c r="BM272" s="5">
        <f>IF(A272="","",N(INDEX(Projects[Systems Eng],271)))</f>
        <v/>
      </c>
      <c r="BN272" s="5">
        <f>IF(A272="","",N(INDEX(Projects[Mechanical Eng],271)))</f>
        <v/>
      </c>
      <c r="BO272" s="5">
        <f>IF(A272="","",N(INDEX(Projects[Structural Engineering],271)))</f>
        <v/>
      </c>
      <c r="BP272" s="5">
        <f>IF(A272="","",N(INDEX(Projects[Site Sup],271)))</f>
        <v/>
      </c>
      <c r="BQ272" s="5">
        <f>IF(A272="","",N(INDEX(Projects[Controls Commissioning],271)))</f>
        <v/>
      </c>
      <c r="BR272" s="5">
        <f>IF(A272="","",N(INDEX(Projects[Systems Commissioning],271)))</f>
        <v/>
      </c>
      <c r="BS272" s="5">
        <f>IF(A272="","",N(INDEX(Projects[Service Commissioning],271)))</f>
        <v/>
      </c>
      <c r="BT272" s="5">
        <f>IF(A272="","",N(INDEX(Projects[Controls Eng],271)))</f>
        <v/>
      </c>
      <c r="BU272" s="5">
        <f>IF(A272="","",N(INDEX(Projects[Controls Purchase],271)))</f>
        <v/>
      </c>
      <c r="BV272" s="5">
        <f>IF(A272="","",N(INDEX(Projects[Software Eng],271)))</f>
        <v/>
      </c>
      <c r="BW272" s="5">
        <f>IF(A272="","",N(INDEX(Projects[Misc],271)))</f>
        <v/>
      </c>
      <c r="BX272" s="5">
        <f>IF(A272="","",SUM(BJ272:BW272))</f>
        <v/>
      </c>
      <c r="BY272" s="5">
        <f>IF(A272="","",IFERROR(IF(ISNUMBER(U272),U272,VALUE(SUBSTITUTE(SUBSTITUTE(SUBSTITUTE(UPPER(TRIM(U272)),"M",""),",","")," ",""))),0))</f>
        <v/>
      </c>
      <c r="BZ272" s="5">
        <f>INDEX(Projects[Solution Type],271)&amp;""</f>
        <v/>
      </c>
      <c r="CA272" s="5">
        <f>INDEX(Projects[Client / Region],271)&amp;""</f>
        <v/>
      </c>
      <c r="CB272" s="5">
        <f>INDEX(Projects[Year],271)</f>
        <v/>
      </c>
      <c r="CC272" s="5">
        <f>INDEX(Projects[Won?],271)&amp;""</f>
        <v/>
      </c>
      <c r="CD272" s="5">
        <f>INDEX(Projects[Value (USD M)],271)</f>
        <v/>
      </c>
    </row>
    <row r="273" ht="15" customHeight="1" s="74">
      <c r="A273" s="66">
        <f>INDEX(Projects[Project ID *],272)&amp;""</f>
        <v/>
      </c>
      <c r="B273" s="66">
        <f>INDEX(Projects[Project Name *],272)&amp;""</f>
        <v/>
      </c>
      <c r="C273" s="66">
        <f>INDEX(Projects[MS Shuttles],272)</f>
        <v/>
      </c>
      <c r="D273" s="66">
        <f>INDEX(Projects[MS Tote Locations],272)</f>
        <v/>
      </c>
      <c r="E273" s="66">
        <f>INDEX(Projects[AS Robots],272)</f>
        <v/>
      </c>
      <c r="F273" s="66">
        <f>INDEX(Projects[AS Tote Locations],272)</f>
        <v/>
      </c>
      <c r="G273" s="66">
        <f>INDEX(Projects[PS Shuttles],272)</f>
        <v/>
      </c>
      <c r="H273" s="66">
        <f>INDEX(Projects[PS Pallet Locations],272)</f>
        <v/>
      </c>
      <c r="I273" s="66">
        <f>INDEX(Projects[SRM Cranes],272)</f>
        <v/>
      </c>
      <c r="J273" s="66">
        <f>INDEX(Projects[SRM Pallet Locations],272)</f>
        <v/>
      </c>
      <c r="K273" s="66">
        <f>INDEX(Projects[Case Conv (m)],272)</f>
        <v/>
      </c>
      <c r="L273" s="66">
        <f>INDEX(Projects[Pallet Conv (m)],272)</f>
        <v/>
      </c>
      <c r="M273" s="66">
        <f>INDEX(Projects[Mech Eng (wks)],272)</f>
        <v/>
      </c>
      <c r="N273" s="66">
        <f>INDEX(Projects[Controls Eng (wks)],272)</f>
        <v/>
      </c>
      <c r="O273" s="66">
        <f>INDEX(Projects[Systems Eng (wks)],272)</f>
        <v/>
      </c>
      <c r="P273" s="66">
        <f>INDEX(Projects[Software Eng (wks)],272)</f>
        <v/>
      </c>
      <c r="Q273" s="66">
        <f>INDEX(Projects[M&amp;E Installation (wks)],272)</f>
        <v/>
      </c>
      <c r="R273" s="66">
        <f>INDEX(Projects[Commissioning (wks)],272)</f>
        <v/>
      </c>
      <c r="S273" s="66">
        <f>INDEX(Projects[Total Timeline (wks)],272)</f>
        <v/>
      </c>
      <c r="T273" s="66">
        <f>INDEX(Projects[Currency],272)&amp;""</f>
        <v/>
      </c>
      <c r="U273" s="67">
        <f>INDEX(Projects[Value (M)],272)</f>
        <v/>
      </c>
      <c r="V273" s="66">
        <f>IF('Smart Search'!B13=1,IFERROR(1/'Smart Search'!H13,0),0)</f>
        <v/>
      </c>
      <c r="W273" s="66">
        <f>IF('Smart Search'!B13=1,IFERROR(1/'Smart Search'!H13,0),0)</f>
        <v/>
      </c>
      <c r="X273" s="66">
        <f>IF('Smart Search'!C13=1,IFERROR(1/'Smart Search'!H13,0),0)</f>
        <v/>
      </c>
      <c r="Y273" s="66">
        <f>IF('Smart Search'!C13=1,IFERROR(1/'Smart Search'!H13,0),0)</f>
        <v/>
      </c>
      <c r="Z273" s="66">
        <f>IF('Smart Search'!D13=1,IFERROR(1/'Smart Search'!H13,0),0)</f>
        <v/>
      </c>
      <c r="AA273" s="66">
        <f>IF('Smart Search'!D13=1,IFERROR(1/'Smart Search'!H13,0),0)</f>
        <v/>
      </c>
      <c r="AB273" s="66">
        <f>IF('Smart Search'!E13=1,IFERROR(1/'Smart Search'!H13,0),0)</f>
        <v/>
      </c>
      <c r="AC273" s="66">
        <f>IF('Smart Search'!E13=1,IFERROR(1/'Smart Search'!H13,0),0)</f>
        <v/>
      </c>
      <c r="AD273" s="66">
        <f>IF('Smart Search'!F13=1,IFERROR(1/'Smart Search'!H13,0),0)</f>
        <v/>
      </c>
      <c r="AE273" s="66">
        <f>IF('Smart Search'!F13=1,IFERROR(1/'Smart Search'!H13,0),0)</f>
        <v/>
      </c>
      <c r="AF273" s="66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66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66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66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66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66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66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66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66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66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66">
        <f>AF273*V273</f>
        <v/>
      </c>
      <c r="AQ273" s="66">
        <f>AG273*W273</f>
        <v/>
      </c>
      <c r="AR273" s="66">
        <f>AH273*X273</f>
        <v/>
      </c>
      <c r="AS273" s="66">
        <f>AI273*Y273</f>
        <v/>
      </c>
      <c r="AT273" s="66">
        <f>AJ273*Z273</f>
        <v/>
      </c>
      <c r="AU273" s="66">
        <f>AK273*AA273</f>
        <v/>
      </c>
      <c r="AV273" s="66">
        <f>AL273*AB273</f>
        <v/>
      </c>
      <c r="AW273" s="66">
        <f>AM273*AC273</f>
        <v/>
      </c>
      <c r="AX273" s="66">
        <f>AN273*AD273</f>
        <v/>
      </c>
      <c r="AY273" s="66">
        <f>AO273*AE273</f>
        <v/>
      </c>
      <c r="AZ273" s="66">
        <f>INDEX(Projects[Automation Equipment],272)&amp;""</f>
        <v/>
      </c>
      <c r="BA273" s="66">
        <f>IF(OR(A273="",'Smart Search'!H13=0),"",MAX(0,BE273*BF273*MAX(0,1-BG273)))</f>
        <v/>
      </c>
      <c r="BB273" s="66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66">
        <f>IF('Smart Search'!G13=1,IFERROR(1/'Smart Search'!H13,0),0)</f>
        <v/>
      </c>
      <c r="BD273" s="66">
        <f>BB273*BC273</f>
        <v/>
      </c>
      <c r="BE273" s="66">
        <f>AP273+AQ273+AR273+AS273+AT273+AU273+AV273+AW273+AX273+AY273+BD273</f>
        <v/>
      </c>
      <c r="BF273" s="5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5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5">
        <f>IF(AND(A273&lt;&gt;"",OR('Smart Search'!$L$5="",'Smart Search'!$L$5="All",TRIM(BZ273)=TRIM('Smart Search'!$L$5)),OR(TRIM('Smart Search'!$L$6)="",TRIM('Smart Search'!$L$6)="All",ISNUMBER(SEARCH(SUBSTITUTE(SUBSTITUTE(SUBSTITUTE(TRIM('Smart Search'!$L$6),"~","~~"),"*","~*"),"?","~?"),CA273))),OR('Smart Search'!$L$7="",AND(CB273&lt;&gt;0,CB273='Smart Search'!$L$7)),OR('Smart Search'!$L$8="",'Smart Search'!$L$8="All",TRIM(CC273)=TRIM('Smart Search'!$L$8))),IF(BA273="","",BA273+ROW()*0.0000000001),"")</f>
        <v/>
      </c>
      <c r="BI273" s="5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5">
        <f>IF(A273="","",N(INDEX(Projects[Mech Inst],272)))</f>
        <v/>
      </c>
      <c r="BK273" s="5">
        <f>IF(A273="","",N(INDEX(Projects[Elec Inst],272)))</f>
        <v/>
      </c>
      <c r="BL273" s="5">
        <f>IF(A273="","",N(INDEX(Projects[Project Management],272)))</f>
        <v/>
      </c>
      <c r="BM273" s="5">
        <f>IF(A273="","",N(INDEX(Projects[Systems Eng],272)))</f>
        <v/>
      </c>
      <c r="BN273" s="5">
        <f>IF(A273="","",N(INDEX(Projects[Mechanical Eng],272)))</f>
        <v/>
      </c>
      <c r="BO273" s="5">
        <f>IF(A273="","",N(INDEX(Projects[Structural Engineering],272)))</f>
        <v/>
      </c>
      <c r="BP273" s="5">
        <f>IF(A273="","",N(INDEX(Projects[Site Sup],272)))</f>
        <v/>
      </c>
      <c r="BQ273" s="5">
        <f>IF(A273="","",N(INDEX(Projects[Controls Commissioning],272)))</f>
        <v/>
      </c>
      <c r="BR273" s="5">
        <f>IF(A273="","",N(INDEX(Projects[Systems Commissioning],272)))</f>
        <v/>
      </c>
      <c r="BS273" s="5">
        <f>IF(A273="","",N(INDEX(Projects[Service Commissioning],272)))</f>
        <v/>
      </c>
      <c r="BT273" s="5">
        <f>IF(A273="","",N(INDEX(Projects[Controls Eng],272)))</f>
        <v/>
      </c>
      <c r="BU273" s="5">
        <f>IF(A273="","",N(INDEX(Projects[Controls Purchase],272)))</f>
        <v/>
      </c>
      <c r="BV273" s="5">
        <f>IF(A273="","",N(INDEX(Projects[Software Eng],272)))</f>
        <v/>
      </c>
      <c r="BW273" s="5">
        <f>IF(A273="","",N(INDEX(Projects[Misc],272)))</f>
        <v/>
      </c>
      <c r="BX273" s="5">
        <f>IF(A273="","",SUM(BJ273:BW273))</f>
        <v/>
      </c>
      <c r="BY273" s="5">
        <f>IF(A273="","",IFERROR(IF(ISNUMBER(U273),U273,VALUE(SUBSTITUTE(SUBSTITUTE(SUBSTITUTE(UPPER(TRIM(U273)),"M",""),",","")," ",""))),0))</f>
        <v/>
      </c>
      <c r="BZ273" s="5">
        <f>INDEX(Projects[Solution Type],272)&amp;""</f>
        <v/>
      </c>
      <c r="CA273" s="5">
        <f>INDEX(Projects[Client / Region],272)&amp;""</f>
        <v/>
      </c>
      <c r="CB273" s="5">
        <f>INDEX(Projects[Year],272)</f>
        <v/>
      </c>
      <c r="CC273" s="5">
        <f>INDEX(Projects[Won?],272)&amp;""</f>
        <v/>
      </c>
      <c r="CD273" s="5">
        <f>INDEX(Projects[Value (USD M)],272)</f>
        <v/>
      </c>
    </row>
    <row r="274" ht="15" customHeight="1" s="74">
      <c r="A274" s="66">
        <f>INDEX(Projects[Project ID *],273)&amp;""</f>
        <v/>
      </c>
      <c r="B274" s="66">
        <f>INDEX(Projects[Project Name *],273)&amp;""</f>
        <v/>
      </c>
      <c r="C274" s="66">
        <f>INDEX(Projects[MS Shuttles],273)</f>
        <v/>
      </c>
      <c r="D274" s="66">
        <f>INDEX(Projects[MS Tote Locations],273)</f>
        <v/>
      </c>
      <c r="E274" s="66">
        <f>INDEX(Projects[AS Robots],273)</f>
        <v/>
      </c>
      <c r="F274" s="66">
        <f>INDEX(Projects[AS Tote Locations],273)</f>
        <v/>
      </c>
      <c r="G274" s="66">
        <f>INDEX(Projects[PS Shuttles],273)</f>
        <v/>
      </c>
      <c r="H274" s="66">
        <f>INDEX(Projects[PS Pallet Locations],273)</f>
        <v/>
      </c>
      <c r="I274" s="66">
        <f>INDEX(Projects[SRM Cranes],273)</f>
        <v/>
      </c>
      <c r="J274" s="66">
        <f>INDEX(Projects[SRM Pallet Locations],273)</f>
        <v/>
      </c>
      <c r="K274" s="66">
        <f>INDEX(Projects[Case Conv (m)],273)</f>
        <v/>
      </c>
      <c r="L274" s="66">
        <f>INDEX(Projects[Pallet Conv (m)],273)</f>
        <v/>
      </c>
      <c r="M274" s="66">
        <f>INDEX(Projects[Mech Eng (wks)],273)</f>
        <v/>
      </c>
      <c r="N274" s="66">
        <f>INDEX(Projects[Controls Eng (wks)],273)</f>
        <v/>
      </c>
      <c r="O274" s="66">
        <f>INDEX(Projects[Systems Eng (wks)],273)</f>
        <v/>
      </c>
      <c r="P274" s="66">
        <f>INDEX(Projects[Software Eng (wks)],273)</f>
        <v/>
      </c>
      <c r="Q274" s="66">
        <f>INDEX(Projects[M&amp;E Installation (wks)],273)</f>
        <v/>
      </c>
      <c r="R274" s="66">
        <f>INDEX(Projects[Commissioning (wks)],273)</f>
        <v/>
      </c>
      <c r="S274" s="66">
        <f>INDEX(Projects[Total Timeline (wks)],273)</f>
        <v/>
      </c>
      <c r="T274" s="66">
        <f>INDEX(Projects[Currency],273)&amp;""</f>
        <v/>
      </c>
      <c r="U274" s="67">
        <f>INDEX(Projects[Value (M)],273)</f>
        <v/>
      </c>
      <c r="V274" s="66">
        <f>IF('Smart Search'!B13=1,IFERROR(1/'Smart Search'!H13,0),0)</f>
        <v/>
      </c>
      <c r="W274" s="66">
        <f>IF('Smart Search'!B13=1,IFERROR(1/'Smart Search'!H13,0),0)</f>
        <v/>
      </c>
      <c r="X274" s="66">
        <f>IF('Smart Search'!C13=1,IFERROR(1/'Smart Search'!H13,0),0)</f>
        <v/>
      </c>
      <c r="Y274" s="66">
        <f>IF('Smart Search'!C13=1,IFERROR(1/'Smart Search'!H13,0),0)</f>
        <v/>
      </c>
      <c r="Z274" s="66">
        <f>IF('Smart Search'!D13=1,IFERROR(1/'Smart Search'!H13,0),0)</f>
        <v/>
      </c>
      <c r="AA274" s="66">
        <f>IF('Smart Search'!D13=1,IFERROR(1/'Smart Search'!H13,0),0)</f>
        <v/>
      </c>
      <c r="AB274" s="66">
        <f>IF('Smart Search'!E13=1,IFERROR(1/'Smart Search'!H13,0),0)</f>
        <v/>
      </c>
      <c r="AC274" s="66">
        <f>IF('Smart Search'!E13=1,IFERROR(1/'Smart Search'!H13,0),0)</f>
        <v/>
      </c>
      <c r="AD274" s="66">
        <f>IF('Smart Search'!F13=1,IFERROR(1/'Smart Search'!H13,0),0)</f>
        <v/>
      </c>
      <c r="AE274" s="66">
        <f>IF('Smart Search'!F13=1,IFERROR(1/'Smart Search'!H13,0),0)</f>
        <v/>
      </c>
      <c r="AF274" s="66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66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66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66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66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66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66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66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66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66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66">
        <f>AF274*V274</f>
        <v/>
      </c>
      <c r="AQ274" s="66">
        <f>AG274*W274</f>
        <v/>
      </c>
      <c r="AR274" s="66">
        <f>AH274*X274</f>
        <v/>
      </c>
      <c r="AS274" s="66">
        <f>AI274*Y274</f>
        <v/>
      </c>
      <c r="AT274" s="66">
        <f>AJ274*Z274</f>
        <v/>
      </c>
      <c r="AU274" s="66">
        <f>AK274*AA274</f>
        <v/>
      </c>
      <c r="AV274" s="66">
        <f>AL274*AB274</f>
        <v/>
      </c>
      <c r="AW274" s="66">
        <f>AM274*AC274</f>
        <v/>
      </c>
      <c r="AX274" s="66">
        <f>AN274*AD274</f>
        <v/>
      </c>
      <c r="AY274" s="66">
        <f>AO274*AE274</f>
        <v/>
      </c>
      <c r="AZ274" s="66">
        <f>INDEX(Projects[Automation Equipment],273)&amp;""</f>
        <v/>
      </c>
      <c r="BA274" s="66">
        <f>IF(OR(A274="",'Smart Search'!H13=0),"",MAX(0,BE274*BF274*MAX(0,1-BG274)))</f>
        <v/>
      </c>
      <c r="BB274" s="66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66">
        <f>IF('Smart Search'!G13=1,IFERROR(1/'Smart Search'!H13,0),0)</f>
        <v/>
      </c>
      <c r="BD274" s="66">
        <f>BB274*BC274</f>
        <v/>
      </c>
      <c r="BE274" s="66">
        <f>AP274+AQ274+AR274+AS274+AT274+AU274+AV274+AW274+AX274+AY274+BD274</f>
        <v/>
      </c>
      <c r="BF274" s="5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5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5">
        <f>IF(AND(A274&lt;&gt;"",OR('Smart Search'!$L$5="",'Smart Search'!$L$5="All",TRIM(BZ274)=TRIM('Smart Search'!$L$5)),OR(TRIM('Smart Search'!$L$6)="",TRIM('Smart Search'!$L$6)="All",ISNUMBER(SEARCH(SUBSTITUTE(SUBSTITUTE(SUBSTITUTE(TRIM('Smart Search'!$L$6),"~","~~"),"*","~*"),"?","~?"),CA274))),OR('Smart Search'!$L$7="",AND(CB274&lt;&gt;0,CB274='Smart Search'!$L$7)),OR('Smart Search'!$L$8="",'Smart Search'!$L$8="All",TRIM(CC274)=TRIM('Smart Search'!$L$8))),IF(BA274="","",BA274+ROW()*0.0000000001),"")</f>
        <v/>
      </c>
      <c r="BI274" s="5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5">
        <f>IF(A274="","",N(INDEX(Projects[Mech Inst],273)))</f>
        <v/>
      </c>
      <c r="BK274" s="5">
        <f>IF(A274="","",N(INDEX(Projects[Elec Inst],273)))</f>
        <v/>
      </c>
      <c r="BL274" s="5">
        <f>IF(A274="","",N(INDEX(Projects[Project Management],273)))</f>
        <v/>
      </c>
      <c r="BM274" s="5">
        <f>IF(A274="","",N(INDEX(Projects[Systems Eng],273)))</f>
        <v/>
      </c>
      <c r="BN274" s="5">
        <f>IF(A274="","",N(INDEX(Projects[Mechanical Eng],273)))</f>
        <v/>
      </c>
      <c r="BO274" s="5">
        <f>IF(A274="","",N(INDEX(Projects[Structural Engineering],273)))</f>
        <v/>
      </c>
      <c r="BP274" s="5">
        <f>IF(A274="","",N(INDEX(Projects[Site Sup],273)))</f>
        <v/>
      </c>
      <c r="BQ274" s="5">
        <f>IF(A274="","",N(INDEX(Projects[Controls Commissioning],273)))</f>
        <v/>
      </c>
      <c r="BR274" s="5">
        <f>IF(A274="","",N(INDEX(Projects[Systems Commissioning],273)))</f>
        <v/>
      </c>
      <c r="BS274" s="5">
        <f>IF(A274="","",N(INDEX(Projects[Service Commissioning],273)))</f>
        <v/>
      </c>
      <c r="BT274" s="5">
        <f>IF(A274="","",N(INDEX(Projects[Controls Eng],273)))</f>
        <v/>
      </c>
      <c r="BU274" s="5">
        <f>IF(A274="","",N(INDEX(Projects[Controls Purchase],273)))</f>
        <v/>
      </c>
      <c r="BV274" s="5">
        <f>IF(A274="","",N(INDEX(Projects[Software Eng],273)))</f>
        <v/>
      </c>
      <c r="BW274" s="5">
        <f>IF(A274="","",N(INDEX(Projects[Misc],273)))</f>
        <v/>
      </c>
      <c r="BX274" s="5">
        <f>IF(A274="","",SUM(BJ274:BW274))</f>
        <v/>
      </c>
      <c r="BY274" s="5">
        <f>IF(A274="","",IFERROR(IF(ISNUMBER(U274),U274,VALUE(SUBSTITUTE(SUBSTITUTE(SUBSTITUTE(UPPER(TRIM(U274)),"M",""),",","")," ",""))),0))</f>
        <v/>
      </c>
      <c r="BZ274" s="5">
        <f>INDEX(Projects[Solution Type],273)&amp;""</f>
        <v/>
      </c>
      <c r="CA274" s="5">
        <f>INDEX(Projects[Client / Region],273)&amp;""</f>
        <v/>
      </c>
      <c r="CB274" s="5">
        <f>INDEX(Projects[Year],273)</f>
        <v/>
      </c>
      <c r="CC274" s="5">
        <f>INDEX(Projects[Won?],273)&amp;""</f>
        <v/>
      </c>
      <c r="CD274" s="5">
        <f>INDEX(Projects[Value (USD M)],273)</f>
        <v/>
      </c>
    </row>
    <row r="275" ht="15" customHeight="1" s="74">
      <c r="A275" s="66">
        <f>INDEX(Projects[Project ID *],274)&amp;""</f>
        <v/>
      </c>
      <c r="B275" s="66">
        <f>INDEX(Projects[Project Name *],274)&amp;""</f>
        <v/>
      </c>
      <c r="C275" s="66">
        <f>INDEX(Projects[MS Shuttles],274)</f>
        <v/>
      </c>
      <c r="D275" s="66">
        <f>INDEX(Projects[MS Tote Locations],274)</f>
        <v/>
      </c>
      <c r="E275" s="66">
        <f>INDEX(Projects[AS Robots],274)</f>
        <v/>
      </c>
      <c r="F275" s="66">
        <f>INDEX(Projects[AS Tote Locations],274)</f>
        <v/>
      </c>
      <c r="G275" s="66">
        <f>INDEX(Projects[PS Shuttles],274)</f>
        <v/>
      </c>
      <c r="H275" s="66">
        <f>INDEX(Projects[PS Pallet Locations],274)</f>
        <v/>
      </c>
      <c r="I275" s="66">
        <f>INDEX(Projects[SRM Cranes],274)</f>
        <v/>
      </c>
      <c r="J275" s="66">
        <f>INDEX(Projects[SRM Pallet Locations],274)</f>
        <v/>
      </c>
      <c r="K275" s="66">
        <f>INDEX(Projects[Case Conv (m)],274)</f>
        <v/>
      </c>
      <c r="L275" s="66">
        <f>INDEX(Projects[Pallet Conv (m)],274)</f>
        <v/>
      </c>
      <c r="M275" s="66">
        <f>INDEX(Projects[Mech Eng (wks)],274)</f>
        <v/>
      </c>
      <c r="N275" s="66">
        <f>INDEX(Projects[Controls Eng (wks)],274)</f>
        <v/>
      </c>
      <c r="O275" s="66">
        <f>INDEX(Projects[Systems Eng (wks)],274)</f>
        <v/>
      </c>
      <c r="P275" s="66">
        <f>INDEX(Projects[Software Eng (wks)],274)</f>
        <v/>
      </c>
      <c r="Q275" s="66">
        <f>INDEX(Projects[M&amp;E Installation (wks)],274)</f>
        <v/>
      </c>
      <c r="R275" s="66">
        <f>INDEX(Projects[Commissioning (wks)],274)</f>
        <v/>
      </c>
      <c r="S275" s="66">
        <f>INDEX(Projects[Total Timeline (wks)],274)</f>
        <v/>
      </c>
      <c r="T275" s="66">
        <f>INDEX(Projects[Currency],274)&amp;""</f>
        <v/>
      </c>
      <c r="U275" s="67">
        <f>INDEX(Projects[Value (M)],274)</f>
        <v/>
      </c>
      <c r="V275" s="66">
        <f>IF('Smart Search'!B13=1,IFERROR(1/'Smart Search'!H13,0),0)</f>
        <v/>
      </c>
      <c r="W275" s="66">
        <f>IF('Smart Search'!B13=1,IFERROR(1/'Smart Search'!H13,0),0)</f>
        <v/>
      </c>
      <c r="X275" s="66">
        <f>IF('Smart Search'!C13=1,IFERROR(1/'Smart Search'!H13,0),0)</f>
        <v/>
      </c>
      <c r="Y275" s="66">
        <f>IF('Smart Search'!C13=1,IFERROR(1/'Smart Search'!H13,0),0)</f>
        <v/>
      </c>
      <c r="Z275" s="66">
        <f>IF('Smart Search'!D13=1,IFERROR(1/'Smart Search'!H13,0),0)</f>
        <v/>
      </c>
      <c r="AA275" s="66">
        <f>IF('Smart Search'!D13=1,IFERROR(1/'Smart Search'!H13,0),0)</f>
        <v/>
      </c>
      <c r="AB275" s="66">
        <f>IF('Smart Search'!E13=1,IFERROR(1/'Smart Search'!H13,0),0)</f>
        <v/>
      </c>
      <c r="AC275" s="66">
        <f>IF('Smart Search'!E13=1,IFERROR(1/'Smart Search'!H13,0),0)</f>
        <v/>
      </c>
      <c r="AD275" s="66">
        <f>IF('Smart Search'!F13=1,IFERROR(1/'Smart Search'!H13,0),0)</f>
        <v/>
      </c>
      <c r="AE275" s="66">
        <f>IF('Smart Search'!F13=1,IFERROR(1/'Smart Search'!H13,0),0)</f>
        <v/>
      </c>
      <c r="AF275" s="66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66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66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66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66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66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66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66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66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66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66">
        <f>AF275*V275</f>
        <v/>
      </c>
      <c r="AQ275" s="66">
        <f>AG275*W275</f>
        <v/>
      </c>
      <c r="AR275" s="66">
        <f>AH275*X275</f>
        <v/>
      </c>
      <c r="AS275" s="66">
        <f>AI275*Y275</f>
        <v/>
      </c>
      <c r="AT275" s="66">
        <f>AJ275*Z275</f>
        <v/>
      </c>
      <c r="AU275" s="66">
        <f>AK275*AA275</f>
        <v/>
      </c>
      <c r="AV275" s="66">
        <f>AL275*AB275</f>
        <v/>
      </c>
      <c r="AW275" s="66">
        <f>AM275*AC275</f>
        <v/>
      </c>
      <c r="AX275" s="66">
        <f>AN275*AD275</f>
        <v/>
      </c>
      <c r="AY275" s="66">
        <f>AO275*AE275</f>
        <v/>
      </c>
      <c r="AZ275" s="66">
        <f>INDEX(Projects[Automation Equipment],274)&amp;""</f>
        <v/>
      </c>
      <c r="BA275" s="66">
        <f>IF(OR(A275="",'Smart Search'!H13=0),"",MAX(0,BE275*BF275*MAX(0,1-BG275)))</f>
        <v/>
      </c>
      <c r="BB275" s="66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66">
        <f>IF('Smart Search'!G13=1,IFERROR(1/'Smart Search'!H13,0),0)</f>
        <v/>
      </c>
      <c r="BD275" s="66">
        <f>BB275*BC275</f>
        <v/>
      </c>
      <c r="BE275" s="66">
        <f>AP275+AQ275+AR275+AS275+AT275+AU275+AV275+AW275+AX275+AY275+BD275</f>
        <v/>
      </c>
      <c r="BF275" s="5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5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5">
        <f>IF(AND(A275&lt;&gt;"",OR('Smart Search'!$L$5="",'Smart Search'!$L$5="All",TRIM(BZ275)=TRIM('Smart Search'!$L$5)),OR(TRIM('Smart Search'!$L$6)="",TRIM('Smart Search'!$L$6)="All",ISNUMBER(SEARCH(SUBSTITUTE(SUBSTITUTE(SUBSTITUTE(TRIM('Smart Search'!$L$6),"~","~~"),"*","~*"),"?","~?"),CA275))),OR('Smart Search'!$L$7="",AND(CB275&lt;&gt;0,CB275='Smart Search'!$L$7)),OR('Smart Search'!$L$8="",'Smart Search'!$L$8="All",TRIM(CC275)=TRIM('Smart Search'!$L$8))),IF(BA275="","",BA275+ROW()*0.0000000001),"")</f>
        <v/>
      </c>
      <c r="BI275" s="5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5">
        <f>IF(A275="","",N(INDEX(Projects[Mech Inst],274)))</f>
        <v/>
      </c>
      <c r="BK275" s="5">
        <f>IF(A275="","",N(INDEX(Projects[Elec Inst],274)))</f>
        <v/>
      </c>
      <c r="BL275" s="5">
        <f>IF(A275="","",N(INDEX(Projects[Project Management],274)))</f>
        <v/>
      </c>
      <c r="BM275" s="5">
        <f>IF(A275="","",N(INDEX(Projects[Systems Eng],274)))</f>
        <v/>
      </c>
      <c r="BN275" s="5">
        <f>IF(A275="","",N(INDEX(Projects[Mechanical Eng],274)))</f>
        <v/>
      </c>
      <c r="BO275" s="5">
        <f>IF(A275="","",N(INDEX(Projects[Structural Engineering],274)))</f>
        <v/>
      </c>
      <c r="BP275" s="5">
        <f>IF(A275="","",N(INDEX(Projects[Site Sup],274)))</f>
        <v/>
      </c>
      <c r="BQ275" s="5">
        <f>IF(A275="","",N(INDEX(Projects[Controls Commissioning],274)))</f>
        <v/>
      </c>
      <c r="BR275" s="5">
        <f>IF(A275="","",N(INDEX(Projects[Systems Commissioning],274)))</f>
        <v/>
      </c>
      <c r="BS275" s="5">
        <f>IF(A275="","",N(INDEX(Projects[Service Commissioning],274)))</f>
        <v/>
      </c>
      <c r="BT275" s="5">
        <f>IF(A275="","",N(INDEX(Projects[Controls Eng],274)))</f>
        <v/>
      </c>
      <c r="BU275" s="5">
        <f>IF(A275="","",N(INDEX(Projects[Controls Purchase],274)))</f>
        <v/>
      </c>
      <c r="BV275" s="5">
        <f>IF(A275="","",N(INDEX(Projects[Software Eng],274)))</f>
        <v/>
      </c>
      <c r="BW275" s="5">
        <f>IF(A275="","",N(INDEX(Projects[Misc],274)))</f>
        <v/>
      </c>
      <c r="BX275" s="5">
        <f>IF(A275="","",SUM(BJ275:BW275))</f>
        <v/>
      </c>
      <c r="BY275" s="5">
        <f>IF(A275="","",IFERROR(IF(ISNUMBER(U275),U275,VALUE(SUBSTITUTE(SUBSTITUTE(SUBSTITUTE(UPPER(TRIM(U275)),"M",""),",","")," ",""))),0))</f>
        <v/>
      </c>
      <c r="BZ275" s="5">
        <f>INDEX(Projects[Solution Type],274)&amp;""</f>
        <v/>
      </c>
      <c r="CA275" s="5">
        <f>INDEX(Projects[Client / Region],274)&amp;""</f>
        <v/>
      </c>
      <c r="CB275" s="5">
        <f>INDEX(Projects[Year],274)</f>
        <v/>
      </c>
      <c r="CC275" s="5">
        <f>INDEX(Projects[Won?],274)&amp;""</f>
        <v/>
      </c>
      <c r="CD275" s="5">
        <f>INDEX(Projects[Value (USD M)],274)</f>
        <v/>
      </c>
    </row>
    <row r="276" ht="15" customHeight="1" s="74">
      <c r="A276" s="66">
        <f>INDEX(Projects[Project ID *],275)&amp;""</f>
        <v/>
      </c>
      <c r="B276" s="66">
        <f>INDEX(Projects[Project Name *],275)&amp;""</f>
        <v/>
      </c>
      <c r="C276" s="66">
        <f>INDEX(Projects[MS Shuttles],275)</f>
        <v/>
      </c>
      <c r="D276" s="66">
        <f>INDEX(Projects[MS Tote Locations],275)</f>
        <v/>
      </c>
      <c r="E276" s="66">
        <f>INDEX(Projects[AS Robots],275)</f>
        <v/>
      </c>
      <c r="F276" s="66">
        <f>INDEX(Projects[AS Tote Locations],275)</f>
        <v/>
      </c>
      <c r="G276" s="66">
        <f>INDEX(Projects[PS Shuttles],275)</f>
        <v/>
      </c>
      <c r="H276" s="66">
        <f>INDEX(Projects[PS Pallet Locations],275)</f>
        <v/>
      </c>
      <c r="I276" s="66">
        <f>INDEX(Projects[SRM Cranes],275)</f>
        <v/>
      </c>
      <c r="J276" s="66">
        <f>INDEX(Projects[SRM Pallet Locations],275)</f>
        <v/>
      </c>
      <c r="K276" s="66">
        <f>INDEX(Projects[Case Conv (m)],275)</f>
        <v/>
      </c>
      <c r="L276" s="66">
        <f>INDEX(Projects[Pallet Conv (m)],275)</f>
        <v/>
      </c>
      <c r="M276" s="66">
        <f>INDEX(Projects[Mech Eng (wks)],275)</f>
        <v/>
      </c>
      <c r="N276" s="66">
        <f>INDEX(Projects[Controls Eng (wks)],275)</f>
        <v/>
      </c>
      <c r="O276" s="66">
        <f>INDEX(Projects[Systems Eng (wks)],275)</f>
        <v/>
      </c>
      <c r="P276" s="66">
        <f>INDEX(Projects[Software Eng (wks)],275)</f>
        <v/>
      </c>
      <c r="Q276" s="66">
        <f>INDEX(Projects[M&amp;E Installation (wks)],275)</f>
        <v/>
      </c>
      <c r="R276" s="66">
        <f>INDEX(Projects[Commissioning (wks)],275)</f>
        <v/>
      </c>
      <c r="S276" s="66">
        <f>INDEX(Projects[Total Timeline (wks)],275)</f>
        <v/>
      </c>
      <c r="T276" s="66">
        <f>INDEX(Projects[Currency],275)&amp;""</f>
        <v/>
      </c>
      <c r="U276" s="67">
        <f>INDEX(Projects[Value (M)],275)</f>
        <v/>
      </c>
      <c r="V276" s="66">
        <f>IF('Smart Search'!B13=1,IFERROR(1/'Smart Search'!H13,0),0)</f>
        <v/>
      </c>
      <c r="W276" s="66">
        <f>IF('Smart Search'!B13=1,IFERROR(1/'Smart Search'!H13,0),0)</f>
        <v/>
      </c>
      <c r="X276" s="66">
        <f>IF('Smart Search'!C13=1,IFERROR(1/'Smart Search'!H13,0),0)</f>
        <v/>
      </c>
      <c r="Y276" s="66">
        <f>IF('Smart Search'!C13=1,IFERROR(1/'Smart Search'!H13,0),0)</f>
        <v/>
      </c>
      <c r="Z276" s="66">
        <f>IF('Smart Search'!D13=1,IFERROR(1/'Smart Search'!H13,0),0)</f>
        <v/>
      </c>
      <c r="AA276" s="66">
        <f>IF('Smart Search'!D13=1,IFERROR(1/'Smart Search'!H13,0),0)</f>
        <v/>
      </c>
      <c r="AB276" s="66">
        <f>IF('Smart Search'!E13=1,IFERROR(1/'Smart Search'!H13,0),0)</f>
        <v/>
      </c>
      <c r="AC276" s="66">
        <f>IF('Smart Search'!E13=1,IFERROR(1/'Smart Search'!H13,0),0)</f>
        <v/>
      </c>
      <c r="AD276" s="66">
        <f>IF('Smart Search'!F13=1,IFERROR(1/'Smart Search'!H13,0),0)</f>
        <v/>
      </c>
      <c r="AE276" s="66">
        <f>IF('Smart Search'!F13=1,IFERROR(1/'Smart Search'!H13,0),0)</f>
        <v/>
      </c>
      <c r="AF276" s="66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66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66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66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66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66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66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66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66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66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66">
        <f>AF276*V276</f>
        <v/>
      </c>
      <c r="AQ276" s="66">
        <f>AG276*W276</f>
        <v/>
      </c>
      <c r="AR276" s="66">
        <f>AH276*X276</f>
        <v/>
      </c>
      <c r="AS276" s="66">
        <f>AI276*Y276</f>
        <v/>
      </c>
      <c r="AT276" s="66">
        <f>AJ276*Z276</f>
        <v/>
      </c>
      <c r="AU276" s="66">
        <f>AK276*AA276</f>
        <v/>
      </c>
      <c r="AV276" s="66">
        <f>AL276*AB276</f>
        <v/>
      </c>
      <c r="AW276" s="66">
        <f>AM276*AC276</f>
        <v/>
      </c>
      <c r="AX276" s="66">
        <f>AN276*AD276</f>
        <v/>
      </c>
      <c r="AY276" s="66">
        <f>AO276*AE276</f>
        <v/>
      </c>
      <c r="AZ276" s="66">
        <f>INDEX(Projects[Automation Equipment],275)&amp;""</f>
        <v/>
      </c>
      <c r="BA276" s="66">
        <f>IF(OR(A276="",'Smart Search'!H13=0),"",MAX(0,BE276*BF276*MAX(0,1-BG276)))</f>
        <v/>
      </c>
      <c r="BB276" s="66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66">
        <f>IF('Smart Search'!G13=1,IFERROR(1/'Smart Search'!H13,0),0)</f>
        <v/>
      </c>
      <c r="BD276" s="66">
        <f>BB276*BC276</f>
        <v/>
      </c>
      <c r="BE276" s="66">
        <f>AP276+AQ276+AR276+AS276+AT276+AU276+AV276+AW276+AX276+AY276+BD276</f>
        <v/>
      </c>
      <c r="BF276" s="5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5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5">
        <f>IF(AND(A276&lt;&gt;"",OR('Smart Search'!$L$5="",'Smart Search'!$L$5="All",TRIM(BZ276)=TRIM('Smart Search'!$L$5)),OR(TRIM('Smart Search'!$L$6)="",TRIM('Smart Search'!$L$6)="All",ISNUMBER(SEARCH(SUBSTITUTE(SUBSTITUTE(SUBSTITUTE(TRIM('Smart Search'!$L$6),"~","~~"),"*","~*"),"?","~?"),CA276))),OR('Smart Search'!$L$7="",AND(CB276&lt;&gt;0,CB276='Smart Search'!$L$7)),OR('Smart Search'!$L$8="",'Smart Search'!$L$8="All",TRIM(CC276)=TRIM('Smart Search'!$L$8))),IF(BA276="","",BA276+ROW()*0.0000000001),"")</f>
        <v/>
      </c>
      <c r="BI276" s="5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5">
        <f>IF(A276="","",N(INDEX(Projects[Mech Inst],275)))</f>
        <v/>
      </c>
      <c r="BK276" s="5">
        <f>IF(A276="","",N(INDEX(Projects[Elec Inst],275)))</f>
        <v/>
      </c>
      <c r="BL276" s="5">
        <f>IF(A276="","",N(INDEX(Projects[Project Management],275)))</f>
        <v/>
      </c>
      <c r="BM276" s="5">
        <f>IF(A276="","",N(INDEX(Projects[Systems Eng],275)))</f>
        <v/>
      </c>
      <c r="BN276" s="5">
        <f>IF(A276="","",N(INDEX(Projects[Mechanical Eng],275)))</f>
        <v/>
      </c>
      <c r="BO276" s="5">
        <f>IF(A276="","",N(INDEX(Projects[Structural Engineering],275)))</f>
        <v/>
      </c>
      <c r="BP276" s="5">
        <f>IF(A276="","",N(INDEX(Projects[Site Sup],275)))</f>
        <v/>
      </c>
      <c r="BQ276" s="5">
        <f>IF(A276="","",N(INDEX(Projects[Controls Commissioning],275)))</f>
        <v/>
      </c>
      <c r="BR276" s="5">
        <f>IF(A276="","",N(INDEX(Projects[Systems Commissioning],275)))</f>
        <v/>
      </c>
      <c r="BS276" s="5">
        <f>IF(A276="","",N(INDEX(Projects[Service Commissioning],275)))</f>
        <v/>
      </c>
      <c r="BT276" s="5">
        <f>IF(A276="","",N(INDEX(Projects[Controls Eng],275)))</f>
        <v/>
      </c>
      <c r="BU276" s="5">
        <f>IF(A276="","",N(INDEX(Projects[Controls Purchase],275)))</f>
        <v/>
      </c>
      <c r="BV276" s="5">
        <f>IF(A276="","",N(INDEX(Projects[Software Eng],275)))</f>
        <v/>
      </c>
      <c r="BW276" s="5">
        <f>IF(A276="","",N(INDEX(Projects[Misc],275)))</f>
        <v/>
      </c>
      <c r="BX276" s="5">
        <f>IF(A276="","",SUM(BJ276:BW276))</f>
        <v/>
      </c>
      <c r="BY276" s="5">
        <f>IF(A276="","",IFERROR(IF(ISNUMBER(U276),U276,VALUE(SUBSTITUTE(SUBSTITUTE(SUBSTITUTE(UPPER(TRIM(U276)),"M",""),",","")," ",""))),0))</f>
        <v/>
      </c>
      <c r="BZ276" s="5">
        <f>INDEX(Projects[Solution Type],275)&amp;""</f>
        <v/>
      </c>
      <c r="CA276" s="5">
        <f>INDEX(Projects[Client / Region],275)&amp;""</f>
        <v/>
      </c>
      <c r="CB276" s="5">
        <f>INDEX(Projects[Year],275)</f>
        <v/>
      </c>
      <c r="CC276" s="5">
        <f>INDEX(Projects[Won?],275)&amp;""</f>
        <v/>
      </c>
      <c r="CD276" s="5">
        <f>INDEX(Projects[Value (USD M)],275)</f>
        <v/>
      </c>
    </row>
    <row r="277" ht="15" customHeight="1" s="74">
      <c r="A277" s="66">
        <f>INDEX(Projects[Project ID *],276)&amp;""</f>
        <v/>
      </c>
      <c r="B277" s="66">
        <f>INDEX(Projects[Project Name *],276)&amp;""</f>
        <v/>
      </c>
      <c r="C277" s="66">
        <f>INDEX(Projects[MS Shuttles],276)</f>
        <v/>
      </c>
      <c r="D277" s="66">
        <f>INDEX(Projects[MS Tote Locations],276)</f>
        <v/>
      </c>
      <c r="E277" s="66">
        <f>INDEX(Projects[AS Robots],276)</f>
        <v/>
      </c>
      <c r="F277" s="66">
        <f>INDEX(Projects[AS Tote Locations],276)</f>
        <v/>
      </c>
      <c r="G277" s="66">
        <f>INDEX(Projects[PS Shuttles],276)</f>
        <v/>
      </c>
      <c r="H277" s="66">
        <f>INDEX(Projects[PS Pallet Locations],276)</f>
        <v/>
      </c>
      <c r="I277" s="66">
        <f>INDEX(Projects[SRM Cranes],276)</f>
        <v/>
      </c>
      <c r="J277" s="66">
        <f>INDEX(Projects[SRM Pallet Locations],276)</f>
        <v/>
      </c>
      <c r="K277" s="66">
        <f>INDEX(Projects[Case Conv (m)],276)</f>
        <v/>
      </c>
      <c r="L277" s="66">
        <f>INDEX(Projects[Pallet Conv (m)],276)</f>
        <v/>
      </c>
      <c r="M277" s="66">
        <f>INDEX(Projects[Mech Eng (wks)],276)</f>
        <v/>
      </c>
      <c r="N277" s="66">
        <f>INDEX(Projects[Controls Eng (wks)],276)</f>
        <v/>
      </c>
      <c r="O277" s="66">
        <f>INDEX(Projects[Systems Eng (wks)],276)</f>
        <v/>
      </c>
      <c r="P277" s="66">
        <f>INDEX(Projects[Software Eng (wks)],276)</f>
        <v/>
      </c>
      <c r="Q277" s="66">
        <f>INDEX(Projects[M&amp;E Installation (wks)],276)</f>
        <v/>
      </c>
      <c r="R277" s="66">
        <f>INDEX(Projects[Commissioning (wks)],276)</f>
        <v/>
      </c>
      <c r="S277" s="66">
        <f>INDEX(Projects[Total Timeline (wks)],276)</f>
        <v/>
      </c>
      <c r="T277" s="66">
        <f>INDEX(Projects[Currency],276)&amp;""</f>
        <v/>
      </c>
      <c r="U277" s="67">
        <f>INDEX(Projects[Value (M)],276)</f>
        <v/>
      </c>
      <c r="V277" s="66">
        <f>IF('Smart Search'!B13=1,IFERROR(1/'Smart Search'!H13,0),0)</f>
        <v/>
      </c>
      <c r="W277" s="66">
        <f>IF('Smart Search'!B13=1,IFERROR(1/'Smart Search'!H13,0),0)</f>
        <v/>
      </c>
      <c r="X277" s="66">
        <f>IF('Smart Search'!C13=1,IFERROR(1/'Smart Search'!H13,0),0)</f>
        <v/>
      </c>
      <c r="Y277" s="66">
        <f>IF('Smart Search'!C13=1,IFERROR(1/'Smart Search'!H13,0),0)</f>
        <v/>
      </c>
      <c r="Z277" s="66">
        <f>IF('Smart Search'!D13=1,IFERROR(1/'Smart Search'!H13,0),0)</f>
        <v/>
      </c>
      <c r="AA277" s="66">
        <f>IF('Smart Search'!D13=1,IFERROR(1/'Smart Search'!H13,0),0)</f>
        <v/>
      </c>
      <c r="AB277" s="66">
        <f>IF('Smart Search'!E13=1,IFERROR(1/'Smart Search'!H13,0),0)</f>
        <v/>
      </c>
      <c r="AC277" s="66">
        <f>IF('Smart Search'!E13=1,IFERROR(1/'Smart Search'!H13,0),0)</f>
        <v/>
      </c>
      <c r="AD277" s="66">
        <f>IF('Smart Search'!F13=1,IFERROR(1/'Smart Search'!H13,0),0)</f>
        <v/>
      </c>
      <c r="AE277" s="66">
        <f>IF('Smart Search'!F13=1,IFERROR(1/'Smart Search'!H13,0),0)</f>
        <v/>
      </c>
      <c r="AF277" s="66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66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66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66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66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66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66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66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66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66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66">
        <f>AF277*V277</f>
        <v/>
      </c>
      <c r="AQ277" s="66">
        <f>AG277*W277</f>
        <v/>
      </c>
      <c r="AR277" s="66">
        <f>AH277*X277</f>
        <v/>
      </c>
      <c r="AS277" s="66">
        <f>AI277*Y277</f>
        <v/>
      </c>
      <c r="AT277" s="66">
        <f>AJ277*Z277</f>
        <v/>
      </c>
      <c r="AU277" s="66">
        <f>AK277*AA277</f>
        <v/>
      </c>
      <c r="AV277" s="66">
        <f>AL277*AB277</f>
        <v/>
      </c>
      <c r="AW277" s="66">
        <f>AM277*AC277</f>
        <v/>
      </c>
      <c r="AX277" s="66">
        <f>AN277*AD277</f>
        <v/>
      </c>
      <c r="AY277" s="66">
        <f>AO277*AE277</f>
        <v/>
      </c>
      <c r="AZ277" s="66">
        <f>INDEX(Projects[Automation Equipment],276)&amp;""</f>
        <v/>
      </c>
      <c r="BA277" s="66">
        <f>IF(OR(A277="",'Smart Search'!H13=0),"",MAX(0,BE277*BF277*MAX(0,1-BG277)))</f>
        <v/>
      </c>
      <c r="BB277" s="66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66">
        <f>IF('Smart Search'!G13=1,IFERROR(1/'Smart Search'!H13,0),0)</f>
        <v/>
      </c>
      <c r="BD277" s="66">
        <f>BB277*BC277</f>
        <v/>
      </c>
      <c r="BE277" s="66">
        <f>AP277+AQ277+AR277+AS277+AT277+AU277+AV277+AW277+AX277+AY277+BD277</f>
        <v/>
      </c>
      <c r="BF277" s="5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5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5">
        <f>IF(AND(A277&lt;&gt;"",OR('Smart Search'!$L$5="",'Smart Search'!$L$5="All",TRIM(BZ277)=TRIM('Smart Search'!$L$5)),OR(TRIM('Smart Search'!$L$6)="",TRIM('Smart Search'!$L$6)="All",ISNUMBER(SEARCH(SUBSTITUTE(SUBSTITUTE(SUBSTITUTE(TRIM('Smart Search'!$L$6),"~","~~"),"*","~*"),"?","~?"),CA277))),OR('Smart Search'!$L$7="",AND(CB277&lt;&gt;0,CB277='Smart Search'!$L$7)),OR('Smart Search'!$L$8="",'Smart Search'!$L$8="All",TRIM(CC277)=TRIM('Smart Search'!$L$8))),IF(BA277="","",BA277+ROW()*0.0000000001),"")</f>
        <v/>
      </c>
      <c r="BI277" s="5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5">
        <f>IF(A277="","",N(INDEX(Projects[Mech Inst],276)))</f>
        <v/>
      </c>
      <c r="BK277" s="5">
        <f>IF(A277="","",N(INDEX(Projects[Elec Inst],276)))</f>
        <v/>
      </c>
      <c r="BL277" s="5">
        <f>IF(A277="","",N(INDEX(Projects[Project Management],276)))</f>
        <v/>
      </c>
      <c r="BM277" s="5">
        <f>IF(A277="","",N(INDEX(Projects[Systems Eng],276)))</f>
        <v/>
      </c>
      <c r="BN277" s="5">
        <f>IF(A277="","",N(INDEX(Projects[Mechanical Eng],276)))</f>
        <v/>
      </c>
      <c r="BO277" s="5">
        <f>IF(A277="","",N(INDEX(Projects[Structural Engineering],276)))</f>
        <v/>
      </c>
      <c r="BP277" s="5">
        <f>IF(A277="","",N(INDEX(Projects[Site Sup],276)))</f>
        <v/>
      </c>
      <c r="BQ277" s="5">
        <f>IF(A277="","",N(INDEX(Projects[Controls Commissioning],276)))</f>
        <v/>
      </c>
      <c r="BR277" s="5">
        <f>IF(A277="","",N(INDEX(Projects[Systems Commissioning],276)))</f>
        <v/>
      </c>
      <c r="BS277" s="5">
        <f>IF(A277="","",N(INDEX(Projects[Service Commissioning],276)))</f>
        <v/>
      </c>
      <c r="BT277" s="5">
        <f>IF(A277="","",N(INDEX(Projects[Controls Eng],276)))</f>
        <v/>
      </c>
      <c r="BU277" s="5">
        <f>IF(A277="","",N(INDEX(Projects[Controls Purchase],276)))</f>
        <v/>
      </c>
      <c r="BV277" s="5">
        <f>IF(A277="","",N(INDEX(Projects[Software Eng],276)))</f>
        <v/>
      </c>
      <c r="BW277" s="5">
        <f>IF(A277="","",N(INDEX(Projects[Misc],276)))</f>
        <v/>
      </c>
      <c r="BX277" s="5">
        <f>IF(A277="","",SUM(BJ277:BW277))</f>
        <v/>
      </c>
      <c r="BY277" s="5">
        <f>IF(A277="","",IFERROR(IF(ISNUMBER(U277),U277,VALUE(SUBSTITUTE(SUBSTITUTE(SUBSTITUTE(UPPER(TRIM(U277)),"M",""),",","")," ",""))),0))</f>
        <v/>
      </c>
      <c r="BZ277" s="5">
        <f>INDEX(Projects[Solution Type],276)&amp;""</f>
        <v/>
      </c>
      <c r="CA277" s="5">
        <f>INDEX(Projects[Client / Region],276)&amp;""</f>
        <v/>
      </c>
      <c r="CB277" s="5">
        <f>INDEX(Projects[Year],276)</f>
        <v/>
      </c>
      <c r="CC277" s="5">
        <f>INDEX(Projects[Won?],276)&amp;""</f>
        <v/>
      </c>
      <c r="CD277" s="5">
        <f>INDEX(Projects[Value (USD M)],276)</f>
        <v/>
      </c>
    </row>
    <row r="278" ht="15" customHeight="1" s="74">
      <c r="A278" s="66">
        <f>INDEX(Projects[Project ID *],277)&amp;""</f>
        <v/>
      </c>
      <c r="B278" s="66">
        <f>INDEX(Projects[Project Name *],277)&amp;""</f>
        <v/>
      </c>
      <c r="C278" s="66">
        <f>INDEX(Projects[MS Shuttles],277)</f>
        <v/>
      </c>
      <c r="D278" s="66">
        <f>INDEX(Projects[MS Tote Locations],277)</f>
        <v/>
      </c>
      <c r="E278" s="66">
        <f>INDEX(Projects[AS Robots],277)</f>
        <v/>
      </c>
      <c r="F278" s="66">
        <f>INDEX(Projects[AS Tote Locations],277)</f>
        <v/>
      </c>
      <c r="G278" s="66">
        <f>INDEX(Projects[PS Shuttles],277)</f>
        <v/>
      </c>
      <c r="H278" s="66">
        <f>INDEX(Projects[PS Pallet Locations],277)</f>
        <v/>
      </c>
      <c r="I278" s="66">
        <f>INDEX(Projects[SRM Cranes],277)</f>
        <v/>
      </c>
      <c r="J278" s="66">
        <f>INDEX(Projects[SRM Pallet Locations],277)</f>
        <v/>
      </c>
      <c r="K278" s="66">
        <f>INDEX(Projects[Case Conv (m)],277)</f>
        <v/>
      </c>
      <c r="L278" s="66">
        <f>INDEX(Projects[Pallet Conv (m)],277)</f>
        <v/>
      </c>
      <c r="M278" s="66">
        <f>INDEX(Projects[Mech Eng (wks)],277)</f>
        <v/>
      </c>
      <c r="N278" s="66">
        <f>INDEX(Projects[Controls Eng (wks)],277)</f>
        <v/>
      </c>
      <c r="O278" s="66">
        <f>INDEX(Projects[Systems Eng (wks)],277)</f>
        <v/>
      </c>
      <c r="P278" s="66">
        <f>INDEX(Projects[Software Eng (wks)],277)</f>
        <v/>
      </c>
      <c r="Q278" s="66">
        <f>INDEX(Projects[M&amp;E Installation (wks)],277)</f>
        <v/>
      </c>
      <c r="R278" s="66">
        <f>INDEX(Projects[Commissioning (wks)],277)</f>
        <v/>
      </c>
      <c r="S278" s="66">
        <f>INDEX(Projects[Total Timeline (wks)],277)</f>
        <v/>
      </c>
      <c r="T278" s="66">
        <f>INDEX(Projects[Currency],277)&amp;""</f>
        <v/>
      </c>
      <c r="U278" s="67">
        <f>INDEX(Projects[Value (M)],277)</f>
        <v/>
      </c>
      <c r="V278" s="66">
        <f>IF('Smart Search'!B13=1,IFERROR(1/'Smart Search'!H13,0),0)</f>
        <v/>
      </c>
      <c r="W278" s="66">
        <f>IF('Smart Search'!B13=1,IFERROR(1/'Smart Search'!H13,0),0)</f>
        <v/>
      </c>
      <c r="X278" s="66">
        <f>IF('Smart Search'!C13=1,IFERROR(1/'Smart Search'!H13,0),0)</f>
        <v/>
      </c>
      <c r="Y278" s="66">
        <f>IF('Smart Search'!C13=1,IFERROR(1/'Smart Search'!H13,0),0)</f>
        <v/>
      </c>
      <c r="Z278" s="66">
        <f>IF('Smart Search'!D13=1,IFERROR(1/'Smart Search'!H13,0),0)</f>
        <v/>
      </c>
      <c r="AA278" s="66">
        <f>IF('Smart Search'!D13=1,IFERROR(1/'Smart Search'!H13,0),0)</f>
        <v/>
      </c>
      <c r="AB278" s="66">
        <f>IF('Smart Search'!E13=1,IFERROR(1/'Smart Search'!H13,0),0)</f>
        <v/>
      </c>
      <c r="AC278" s="66">
        <f>IF('Smart Search'!E13=1,IFERROR(1/'Smart Search'!H13,0),0)</f>
        <v/>
      </c>
      <c r="AD278" s="66">
        <f>IF('Smart Search'!F13=1,IFERROR(1/'Smart Search'!H13,0),0)</f>
        <v/>
      </c>
      <c r="AE278" s="66">
        <f>IF('Smart Search'!F13=1,IFERROR(1/'Smart Search'!H13,0),0)</f>
        <v/>
      </c>
      <c r="AF278" s="66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66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66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66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66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66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66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66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66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66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66">
        <f>AF278*V278</f>
        <v/>
      </c>
      <c r="AQ278" s="66">
        <f>AG278*W278</f>
        <v/>
      </c>
      <c r="AR278" s="66">
        <f>AH278*X278</f>
        <v/>
      </c>
      <c r="AS278" s="66">
        <f>AI278*Y278</f>
        <v/>
      </c>
      <c r="AT278" s="66">
        <f>AJ278*Z278</f>
        <v/>
      </c>
      <c r="AU278" s="66">
        <f>AK278*AA278</f>
        <v/>
      </c>
      <c r="AV278" s="66">
        <f>AL278*AB278</f>
        <v/>
      </c>
      <c r="AW278" s="66">
        <f>AM278*AC278</f>
        <v/>
      </c>
      <c r="AX278" s="66">
        <f>AN278*AD278</f>
        <v/>
      </c>
      <c r="AY278" s="66">
        <f>AO278*AE278</f>
        <v/>
      </c>
      <c r="AZ278" s="66">
        <f>INDEX(Projects[Automation Equipment],277)&amp;""</f>
        <v/>
      </c>
      <c r="BA278" s="66">
        <f>IF(OR(A278="",'Smart Search'!H13=0),"",MAX(0,BE278*BF278*MAX(0,1-BG278)))</f>
        <v/>
      </c>
      <c r="BB278" s="66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66">
        <f>IF('Smart Search'!G13=1,IFERROR(1/'Smart Search'!H13,0),0)</f>
        <v/>
      </c>
      <c r="BD278" s="66">
        <f>BB278*BC278</f>
        <v/>
      </c>
      <c r="BE278" s="66">
        <f>AP278+AQ278+AR278+AS278+AT278+AU278+AV278+AW278+AX278+AY278+BD278</f>
        <v/>
      </c>
      <c r="BF278" s="5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5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5">
        <f>IF(AND(A278&lt;&gt;"",OR('Smart Search'!$L$5="",'Smart Search'!$L$5="All",TRIM(BZ278)=TRIM('Smart Search'!$L$5)),OR(TRIM('Smart Search'!$L$6)="",TRIM('Smart Search'!$L$6)="All",ISNUMBER(SEARCH(SUBSTITUTE(SUBSTITUTE(SUBSTITUTE(TRIM('Smart Search'!$L$6),"~","~~"),"*","~*"),"?","~?"),CA278))),OR('Smart Search'!$L$7="",AND(CB278&lt;&gt;0,CB278='Smart Search'!$L$7)),OR('Smart Search'!$L$8="",'Smart Search'!$L$8="All",TRIM(CC278)=TRIM('Smart Search'!$L$8))),IF(BA278="","",BA278+ROW()*0.0000000001),"")</f>
        <v/>
      </c>
      <c r="BI278" s="5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5">
        <f>IF(A278="","",N(INDEX(Projects[Mech Inst],277)))</f>
        <v/>
      </c>
      <c r="BK278" s="5">
        <f>IF(A278="","",N(INDEX(Projects[Elec Inst],277)))</f>
        <v/>
      </c>
      <c r="BL278" s="5">
        <f>IF(A278="","",N(INDEX(Projects[Project Management],277)))</f>
        <v/>
      </c>
      <c r="BM278" s="5">
        <f>IF(A278="","",N(INDEX(Projects[Systems Eng],277)))</f>
        <v/>
      </c>
      <c r="BN278" s="5">
        <f>IF(A278="","",N(INDEX(Projects[Mechanical Eng],277)))</f>
        <v/>
      </c>
      <c r="BO278" s="5">
        <f>IF(A278="","",N(INDEX(Projects[Structural Engineering],277)))</f>
        <v/>
      </c>
      <c r="BP278" s="5">
        <f>IF(A278="","",N(INDEX(Projects[Site Sup],277)))</f>
        <v/>
      </c>
      <c r="BQ278" s="5">
        <f>IF(A278="","",N(INDEX(Projects[Controls Commissioning],277)))</f>
        <v/>
      </c>
      <c r="BR278" s="5">
        <f>IF(A278="","",N(INDEX(Projects[Systems Commissioning],277)))</f>
        <v/>
      </c>
      <c r="BS278" s="5">
        <f>IF(A278="","",N(INDEX(Projects[Service Commissioning],277)))</f>
        <v/>
      </c>
      <c r="BT278" s="5">
        <f>IF(A278="","",N(INDEX(Projects[Controls Eng],277)))</f>
        <v/>
      </c>
      <c r="BU278" s="5">
        <f>IF(A278="","",N(INDEX(Projects[Controls Purchase],277)))</f>
        <v/>
      </c>
      <c r="BV278" s="5">
        <f>IF(A278="","",N(INDEX(Projects[Software Eng],277)))</f>
        <v/>
      </c>
      <c r="BW278" s="5">
        <f>IF(A278="","",N(INDEX(Projects[Misc],277)))</f>
        <v/>
      </c>
      <c r="BX278" s="5">
        <f>IF(A278="","",SUM(BJ278:BW278))</f>
        <v/>
      </c>
      <c r="BY278" s="5">
        <f>IF(A278="","",IFERROR(IF(ISNUMBER(U278),U278,VALUE(SUBSTITUTE(SUBSTITUTE(SUBSTITUTE(UPPER(TRIM(U278)),"M",""),",","")," ",""))),0))</f>
        <v/>
      </c>
      <c r="BZ278" s="5">
        <f>INDEX(Projects[Solution Type],277)&amp;""</f>
        <v/>
      </c>
      <c r="CA278" s="5">
        <f>INDEX(Projects[Client / Region],277)&amp;""</f>
        <v/>
      </c>
      <c r="CB278" s="5">
        <f>INDEX(Projects[Year],277)</f>
        <v/>
      </c>
      <c r="CC278" s="5">
        <f>INDEX(Projects[Won?],277)&amp;""</f>
        <v/>
      </c>
      <c r="CD278" s="5">
        <f>INDEX(Projects[Value (USD M)],277)</f>
        <v/>
      </c>
    </row>
    <row r="279" ht="15" customHeight="1" s="74">
      <c r="A279" s="66">
        <f>INDEX(Projects[Project ID *],278)&amp;""</f>
        <v/>
      </c>
      <c r="B279" s="66">
        <f>INDEX(Projects[Project Name *],278)&amp;""</f>
        <v/>
      </c>
      <c r="C279" s="66">
        <f>INDEX(Projects[MS Shuttles],278)</f>
        <v/>
      </c>
      <c r="D279" s="66">
        <f>INDEX(Projects[MS Tote Locations],278)</f>
        <v/>
      </c>
      <c r="E279" s="66">
        <f>INDEX(Projects[AS Robots],278)</f>
        <v/>
      </c>
      <c r="F279" s="66">
        <f>INDEX(Projects[AS Tote Locations],278)</f>
        <v/>
      </c>
      <c r="G279" s="66">
        <f>INDEX(Projects[PS Shuttles],278)</f>
        <v/>
      </c>
      <c r="H279" s="66">
        <f>INDEX(Projects[PS Pallet Locations],278)</f>
        <v/>
      </c>
      <c r="I279" s="66">
        <f>INDEX(Projects[SRM Cranes],278)</f>
        <v/>
      </c>
      <c r="J279" s="66">
        <f>INDEX(Projects[SRM Pallet Locations],278)</f>
        <v/>
      </c>
      <c r="K279" s="66">
        <f>INDEX(Projects[Case Conv (m)],278)</f>
        <v/>
      </c>
      <c r="L279" s="66">
        <f>INDEX(Projects[Pallet Conv (m)],278)</f>
        <v/>
      </c>
      <c r="M279" s="66">
        <f>INDEX(Projects[Mech Eng (wks)],278)</f>
        <v/>
      </c>
      <c r="N279" s="66">
        <f>INDEX(Projects[Controls Eng (wks)],278)</f>
        <v/>
      </c>
      <c r="O279" s="66">
        <f>INDEX(Projects[Systems Eng (wks)],278)</f>
        <v/>
      </c>
      <c r="P279" s="66">
        <f>INDEX(Projects[Software Eng (wks)],278)</f>
        <v/>
      </c>
      <c r="Q279" s="66">
        <f>INDEX(Projects[M&amp;E Installation (wks)],278)</f>
        <v/>
      </c>
      <c r="R279" s="66">
        <f>INDEX(Projects[Commissioning (wks)],278)</f>
        <v/>
      </c>
      <c r="S279" s="66">
        <f>INDEX(Projects[Total Timeline (wks)],278)</f>
        <v/>
      </c>
      <c r="T279" s="66">
        <f>INDEX(Projects[Currency],278)&amp;""</f>
        <v/>
      </c>
      <c r="U279" s="67">
        <f>INDEX(Projects[Value (M)],278)</f>
        <v/>
      </c>
      <c r="V279" s="66">
        <f>IF('Smart Search'!B13=1,IFERROR(1/'Smart Search'!H13,0),0)</f>
        <v/>
      </c>
      <c r="W279" s="66">
        <f>IF('Smart Search'!B13=1,IFERROR(1/'Smart Search'!H13,0),0)</f>
        <v/>
      </c>
      <c r="X279" s="66">
        <f>IF('Smart Search'!C13=1,IFERROR(1/'Smart Search'!H13,0),0)</f>
        <v/>
      </c>
      <c r="Y279" s="66">
        <f>IF('Smart Search'!C13=1,IFERROR(1/'Smart Search'!H13,0),0)</f>
        <v/>
      </c>
      <c r="Z279" s="66">
        <f>IF('Smart Search'!D13=1,IFERROR(1/'Smart Search'!H13,0),0)</f>
        <v/>
      </c>
      <c r="AA279" s="66">
        <f>IF('Smart Search'!D13=1,IFERROR(1/'Smart Search'!H13,0),0)</f>
        <v/>
      </c>
      <c r="AB279" s="66">
        <f>IF('Smart Search'!E13=1,IFERROR(1/'Smart Search'!H13,0),0)</f>
        <v/>
      </c>
      <c r="AC279" s="66">
        <f>IF('Smart Search'!E13=1,IFERROR(1/'Smart Search'!H13,0),0)</f>
        <v/>
      </c>
      <c r="AD279" s="66">
        <f>IF('Smart Search'!F13=1,IFERROR(1/'Smart Search'!H13,0),0)</f>
        <v/>
      </c>
      <c r="AE279" s="66">
        <f>IF('Smart Search'!F13=1,IFERROR(1/'Smart Search'!H13,0),0)</f>
        <v/>
      </c>
      <c r="AF279" s="66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66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66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66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66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66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66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66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66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66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66">
        <f>AF279*V279</f>
        <v/>
      </c>
      <c r="AQ279" s="66">
        <f>AG279*W279</f>
        <v/>
      </c>
      <c r="AR279" s="66">
        <f>AH279*X279</f>
        <v/>
      </c>
      <c r="AS279" s="66">
        <f>AI279*Y279</f>
        <v/>
      </c>
      <c r="AT279" s="66">
        <f>AJ279*Z279</f>
        <v/>
      </c>
      <c r="AU279" s="66">
        <f>AK279*AA279</f>
        <v/>
      </c>
      <c r="AV279" s="66">
        <f>AL279*AB279</f>
        <v/>
      </c>
      <c r="AW279" s="66">
        <f>AM279*AC279</f>
        <v/>
      </c>
      <c r="AX279" s="66">
        <f>AN279*AD279</f>
        <v/>
      </c>
      <c r="AY279" s="66">
        <f>AO279*AE279</f>
        <v/>
      </c>
      <c r="AZ279" s="66">
        <f>INDEX(Projects[Automation Equipment],278)&amp;""</f>
        <v/>
      </c>
      <c r="BA279" s="66">
        <f>IF(OR(A279="",'Smart Search'!H13=0),"",MAX(0,BE279*BF279*MAX(0,1-BG279)))</f>
        <v/>
      </c>
      <c r="BB279" s="66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66">
        <f>IF('Smart Search'!G13=1,IFERROR(1/'Smart Search'!H13,0),0)</f>
        <v/>
      </c>
      <c r="BD279" s="66">
        <f>BB279*BC279</f>
        <v/>
      </c>
      <c r="BE279" s="66">
        <f>AP279+AQ279+AR279+AS279+AT279+AU279+AV279+AW279+AX279+AY279+BD279</f>
        <v/>
      </c>
      <c r="BF279" s="5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5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5">
        <f>IF(AND(A279&lt;&gt;"",OR('Smart Search'!$L$5="",'Smart Search'!$L$5="All",TRIM(BZ279)=TRIM('Smart Search'!$L$5)),OR(TRIM('Smart Search'!$L$6)="",TRIM('Smart Search'!$L$6)="All",ISNUMBER(SEARCH(SUBSTITUTE(SUBSTITUTE(SUBSTITUTE(TRIM('Smart Search'!$L$6),"~","~~"),"*","~*"),"?","~?"),CA279))),OR('Smart Search'!$L$7="",AND(CB279&lt;&gt;0,CB279='Smart Search'!$L$7)),OR('Smart Search'!$L$8="",'Smart Search'!$L$8="All",TRIM(CC279)=TRIM('Smart Search'!$L$8))),IF(BA279="","",BA279+ROW()*0.0000000001),"")</f>
        <v/>
      </c>
      <c r="BI279" s="5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5">
        <f>IF(A279="","",N(INDEX(Projects[Mech Inst],278)))</f>
        <v/>
      </c>
      <c r="BK279" s="5">
        <f>IF(A279="","",N(INDEX(Projects[Elec Inst],278)))</f>
        <v/>
      </c>
      <c r="BL279" s="5">
        <f>IF(A279="","",N(INDEX(Projects[Project Management],278)))</f>
        <v/>
      </c>
      <c r="BM279" s="5">
        <f>IF(A279="","",N(INDEX(Projects[Systems Eng],278)))</f>
        <v/>
      </c>
      <c r="BN279" s="5">
        <f>IF(A279="","",N(INDEX(Projects[Mechanical Eng],278)))</f>
        <v/>
      </c>
      <c r="BO279" s="5">
        <f>IF(A279="","",N(INDEX(Projects[Structural Engineering],278)))</f>
        <v/>
      </c>
      <c r="BP279" s="5">
        <f>IF(A279="","",N(INDEX(Projects[Site Sup],278)))</f>
        <v/>
      </c>
      <c r="BQ279" s="5">
        <f>IF(A279="","",N(INDEX(Projects[Controls Commissioning],278)))</f>
        <v/>
      </c>
      <c r="BR279" s="5">
        <f>IF(A279="","",N(INDEX(Projects[Systems Commissioning],278)))</f>
        <v/>
      </c>
      <c r="BS279" s="5">
        <f>IF(A279="","",N(INDEX(Projects[Service Commissioning],278)))</f>
        <v/>
      </c>
      <c r="BT279" s="5">
        <f>IF(A279="","",N(INDEX(Projects[Controls Eng],278)))</f>
        <v/>
      </c>
      <c r="BU279" s="5">
        <f>IF(A279="","",N(INDEX(Projects[Controls Purchase],278)))</f>
        <v/>
      </c>
      <c r="BV279" s="5">
        <f>IF(A279="","",N(INDEX(Projects[Software Eng],278)))</f>
        <v/>
      </c>
      <c r="BW279" s="5">
        <f>IF(A279="","",N(INDEX(Projects[Misc],278)))</f>
        <v/>
      </c>
      <c r="BX279" s="5">
        <f>IF(A279="","",SUM(BJ279:BW279))</f>
        <v/>
      </c>
      <c r="BY279" s="5">
        <f>IF(A279="","",IFERROR(IF(ISNUMBER(U279),U279,VALUE(SUBSTITUTE(SUBSTITUTE(SUBSTITUTE(UPPER(TRIM(U279)),"M",""),",","")," ",""))),0))</f>
        <v/>
      </c>
      <c r="BZ279" s="5">
        <f>INDEX(Projects[Solution Type],278)&amp;""</f>
        <v/>
      </c>
      <c r="CA279" s="5">
        <f>INDEX(Projects[Client / Region],278)&amp;""</f>
        <v/>
      </c>
      <c r="CB279" s="5">
        <f>INDEX(Projects[Year],278)</f>
        <v/>
      </c>
      <c r="CC279" s="5">
        <f>INDEX(Projects[Won?],278)&amp;""</f>
        <v/>
      </c>
      <c r="CD279" s="5">
        <f>INDEX(Projects[Value (USD M)],278)</f>
        <v/>
      </c>
    </row>
    <row r="280" ht="15" customHeight="1" s="74">
      <c r="A280" s="66">
        <f>INDEX(Projects[Project ID *],279)&amp;""</f>
        <v/>
      </c>
      <c r="B280" s="66">
        <f>INDEX(Projects[Project Name *],279)&amp;""</f>
        <v/>
      </c>
      <c r="C280" s="66">
        <f>INDEX(Projects[MS Shuttles],279)</f>
        <v/>
      </c>
      <c r="D280" s="66">
        <f>INDEX(Projects[MS Tote Locations],279)</f>
        <v/>
      </c>
      <c r="E280" s="66">
        <f>INDEX(Projects[AS Robots],279)</f>
        <v/>
      </c>
      <c r="F280" s="66">
        <f>INDEX(Projects[AS Tote Locations],279)</f>
        <v/>
      </c>
      <c r="G280" s="66">
        <f>INDEX(Projects[PS Shuttles],279)</f>
        <v/>
      </c>
      <c r="H280" s="66">
        <f>INDEX(Projects[PS Pallet Locations],279)</f>
        <v/>
      </c>
      <c r="I280" s="66">
        <f>INDEX(Projects[SRM Cranes],279)</f>
        <v/>
      </c>
      <c r="J280" s="66">
        <f>INDEX(Projects[SRM Pallet Locations],279)</f>
        <v/>
      </c>
      <c r="K280" s="66">
        <f>INDEX(Projects[Case Conv (m)],279)</f>
        <v/>
      </c>
      <c r="L280" s="66">
        <f>INDEX(Projects[Pallet Conv (m)],279)</f>
        <v/>
      </c>
      <c r="M280" s="66">
        <f>INDEX(Projects[Mech Eng (wks)],279)</f>
        <v/>
      </c>
      <c r="N280" s="66">
        <f>INDEX(Projects[Controls Eng (wks)],279)</f>
        <v/>
      </c>
      <c r="O280" s="66">
        <f>INDEX(Projects[Systems Eng (wks)],279)</f>
        <v/>
      </c>
      <c r="P280" s="66">
        <f>INDEX(Projects[Software Eng (wks)],279)</f>
        <v/>
      </c>
      <c r="Q280" s="66">
        <f>INDEX(Projects[M&amp;E Installation (wks)],279)</f>
        <v/>
      </c>
      <c r="R280" s="66">
        <f>INDEX(Projects[Commissioning (wks)],279)</f>
        <v/>
      </c>
      <c r="S280" s="66">
        <f>INDEX(Projects[Total Timeline (wks)],279)</f>
        <v/>
      </c>
      <c r="T280" s="66">
        <f>INDEX(Projects[Currency],279)&amp;""</f>
        <v/>
      </c>
      <c r="U280" s="67">
        <f>INDEX(Projects[Value (M)],279)</f>
        <v/>
      </c>
      <c r="V280" s="66">
        <f>IF('Smart Search'!B13=1,IFERROR(1/'Smart Search'!H13,0),0)</f>
        <v/>
      </c>
      <c r="W280" s="66">
        <f>IF('Smart Search'!B13=1,IFERROR(1/'Smart Search'!H13,0),0)</f>
        <v/>
      </c>
      <c r="X280" s="66">
        <f>IF('Smart Search'!C13=1,IFERROR(1/'Smart Search'!H13,0),0)</f>
        <v/>
      </c>
      <c r="Y280" s="66">
        <f>IF('Smart Search'!C13=1,IFERROR(1/'Smart Search'!H13,0),0)</f>
        <v/>
      </c>
      <c r="Z280" s="66">
        <f>IF('Smart Search'!D13=1,IFERROR(1/'Smart Search'!H13,0),0)</f>
        <v/>
      </c>
      <c r="AA280" s="66">
        <f>IF('Smart Search'!D13=1,IFERROR(1/'Smart Search'!H13,0),0)</f>
        <v/>
      </c>
      <c r="AB280" s="66">
        <f>IF('Smart Search'!E13=1,IFERROR(1/'Smart Search'!H13,0),0)</f>
        <v/>
      </c>
      <c r="AC280" s="66">
        <f>IF('Smart Search'!E13=1,IFERROR(1/'Smart Search'!H13,0),0)</f>
        <v/>
      </c>
      <c r="AD280" s="66">
        <f>IF('Smart Search'!F13=1,IFERROR(1/'Smart Search'!H13,0),0)</f>
        <v/>
      </c>
      <c r="AE280" s="66">
        <f>IF('Smart Search'!F13=1,IFERROR(1/'Smart Search'!H13,0),0)</f>
        <v/>
      </c>
      <c r="AF280" s="66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66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66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66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66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66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66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66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66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66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66">
        <f>AF280*V280</f>
        <v/>
      </c>
      <c r="AQ280" s="66">
        <f>AG280*W280</f>
        <v/>
      </c>
      <c r="AR280" s="66">
        <f>AH280*X280</f>
        <v/>
      </c>
      <c r="AS280" s="66">
        <f>AI280*Y280</f>
        <v/>
      </c>
      <c r="AT280" s="66">
        <f>AJ280*Z280</f>
        <v/>
      </c>
      <c r="AU280" s="66">
        <f>AK280*AA280</f>
        <v/>
      </c>
      <c r="AV280" s="66">
        <f>AL280*AB280</f>
        <v/>
      </c>
      <c r="AW280" s="66">
        <f>AM280*AC280</f>
        <v/>
      </c>
      <c r="AX280" s="66">
        <f>AN280*AD280</f>
        <v/>
      </c>
      <c r="AY280" s="66">
        <f>AO280*AE280</f>
        <v/>
      </c>
      <c r="AZ280" s="66">
        <f>INDEX(Projects[Automation Equipment],279)&amp;""</f>
        <v/>
      </c>
      <c r="BA280" s="66">
        <f>IF(OR(A280="",'Smart Search'!H13=0),"",MAX(0,BE280*BF280*MAX(0,1-BG280)))</f>
        <v/>
      </c>
      <c r="BB280" s="66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66">
        <f>IF('Smart Search'!G13=1,IFERROR(1/'Smart Search'!H13,0),0)</f>
        <v/>
      </c>
      <c r="BD280" s="66">
        <f>BB280*BC280</f>
        <v/>
      </c>
      <c r="BE280" s="66">
        <f>AP280+AQ280+AR280+AS280+AT280+AU280+AV280+AW280+AX280+AY280+BD280</f>
        <v/>
      </c>
      <c r="BF280" s="5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5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5">
        <f>IF(AND(A280&lt;&gt;"",OR('Smart Search'!$L$5="",'Smart Search'!$L$5="All",TRIM(BZ280)=TRIM('Smart Search'!$L$5)),OR(TRIM('Smart Search'!$L$6)="",TRIM('Smart Search'!$L$6)="All",ISNUMBER(SEARCH(SUBSTITUTE(SUBSTITUTE(SUBSTITUTE(TRIM('Smart Search'!$L$6),"~","~~"),"*","~*"),"?","~?"),CA280))),OR('Smart Search'!$L$7="",AND(CB280&lt;&gt;0,CB280='Smart Search'!$L$7)),OR('Smart Search'!$L$8="",'Smart Search'!$L$8="All",TRIM(CC280)=TRIM('Smart Search'!$L$8))),IF(BA280="","",BA280+ROW()*0.0000000001),"")</f>
        <v/>
      </c>
      <c r="BI280" s="5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5">
        <f>IF(A280="","",N(INDEX(Projects[Mech Inst],279)))</f>
        <v/>
      </c>
      <c r="BK280" s="5">
        <f>IF(A280="","",N(INDEX(Projects[Elec Inst],279)))</f>
        <v/>
      </c>
      <c r="BL280" s="5">
        <f>IF(A280="","",N(INDEX(Projects[Project Management],279)))</f>
        <v/>
      </c>
      <c r="BM280" s="5">
        <f>IF(A280="","",N(INDEX(Projects[Systems Eng],279)))</f>
        <v/>
      </c>
      <c r="BN280" s="5">
        <f>IF(A280="","",N(INDEX(Projects[Mechanical Eng],279)))</f>
        <v/>
      </c>
      <c r="BO280" s="5">
        <f>IF(A280="","",N(INDEX(Projects[Structural Engineering],279)))</f>
        <v/>
      </c>
      <c r="BP280" s="5">
        <f>IF(A280="","",N(INDEX(Projects[Site Sup],279)))</f>
        <v/>
      </c>
      <c r="BQ280" s="5">
        <f>IF(A280="","",N(INDEX(Projects[Controls Commissioning],279)))</f>
        <v/>
      </c>
      <c r="BR280" s="5">
        <f>IF(A280="","",N(INDEX(Projects[Systems Commissioning],279)))</f>
        <v/>
      </c>
      <c r="BS280" s="5">
        <f>IF(A280="","",N(INDEX(Projects[Service Commissioning],279)))</f>
        <v/>
      </c>
      <c r="BT280" s="5">
        <f>IF(A280="","",N(INDEX(Projects[Controls Eng],279)))</f>
        <v/>
      </c>
      <c r="BU280" s="5">
        <f>IF(A280="","",N(INDEX(Projects[Controls Purchase],279)))</f>
        <v/>
      </c>
      <c r="BV280" s="5">
        <f>IF(A280="","",N(INDEX(Projects[Software Eng],279)))</f>
        <v/>
      </c>
      <c r="BW280" s="5">
        <f>IF(A280="","",N(INDEX(Projects[Misc],279)))</f>
        <v/>
      </c>
      <c r="BX280" s="5">
        <f>IF(A280="","",SUM(BJ280:BW280))</f>
        <v/>
      </c>
      <c r="BY280" s="5">
        <f>IF(A280="","",IFERROR(IF(ISNUMBER(U280),U280,VALUE(SUBSTITUTE(SUBSTITUTE(SUBSTITUTE(UPPER(TRIM(U280)),"M",""),",","")," ",""))),0))</f>
        <v/>
      </c>
      <c r="BZ280" s="5">
        <f>INDEX(Projects[Solution Type],279)&amp;""</f>
        <v/>
      </c>
      <c r="CA280" s="5">
        <f>INDEX(Projects[Client / Region],279)&amp;""</f>
        <v/>
      </c>
      <c r="CB280" s="5">
        <f>INDEX(Projects[Year],279)</f>
        <v/>
      </c>
      <c r="CC280" s="5">
        <f>INDEX(Projects[Won?],279)&amp;""</f>
        <v/>
      </c>
      <c r="CD280" s="5">
        <f>INDEX(Projects[Value (USD M)],279)</f>
        <v/>
      </c>
    </row>
    <row r="281" ht="15" customHeight="1" s="74">
      <c r="A281" s="66">
        <f>INDEX(Projects[Project ID *],280)&amp;""</f>
        <v/>
      </c>
      <c r="B281" s="66">
        <f>INDEX(Projects[Project Name *],280)&amp;""</f>
        <v/>
      </c>
      <c r="C281" s="66">
        <f>INDEX(Projects[MS Shuttles],280)</f>
        <v/>
      </c>
      <c r="D281" s="66">
        <f>INDEX(Projects[MS Tote Locations],280)</f>
        <v/>
      </c>
      <c r="E281" s="66">
        <f>INDEX(Projects[AS Robots],280)</f>
        <v/>
      </c>
      <c r="F281" s="66">
        <f>INDEX(Projects[AS Tote Locations],280)</f>
        <v/>
      </c>
      <c r="G281" s="66">
        <f>INDEX(Projects[PS Shuttles],280)</f>
        <v/>
      </c>
      <c r="H281" s="66">
        <f>INDEX(Projects[PS Pallet Locations],280)</f>
        <v/>
      </c>
      <c r="I281" s="66">
        <f>INDEX(Projects[SRM Cranes],280)</f>
        <v/>
      </c>
      <c r="J281" s="66">
        <f>INDEX(Projects[SRM Pallet Locations],280)</f>
        <v/>
      </c>
      <c r="K281" s="66">
        <f>INDEX(Projects[Case Conv (m)],280)</f>
        <v/>
      </c>
      <c r="L281" s="66">
        <f>INDEX(Projects[Pallet Conv (m)],280)</f>
        <v/>
      </c>
      <c r="M281" s="66">
        <f>INDEX(Projects[Mech Eng (wks)],280)</f>
        <v/>
      </c>
      <c r="N281" s="66">
        <f>INDEX(Projects[Controls Eng (wks)],280)</f>
        <v/>
      </c>
      <c r="O281" s="66">
        <f>INDEX(Projects[Systems Eng (wks)],280)</f>
        <v/>
      </c>
      <c r="P281" s="66">
        <f>INDEX(Projects[Software Eng (wks)],280)</f>
        <v/>
      </c>
      <c r="Q281" s="66">
        <f>INDEX(Projects[M&amp;E Installation (wks)],280)</f>
        <v/>
      </c>
      <c r="R281" s="66">
        <f>INDEX(Projects[Commissioning (wks)],280)</f>
        <v/>
      </c>
      <c r="S281" s="66">
        <f>INDEX(Projects[Total Timeline (wks)],280)</f>
        <v/>
      </c>
      <c r="T281" s="66">
        <f>INDEX(Projects[Currency],280)&amp;""</f>
        <v/>
      </c>
      <c r="U281" s="67">
        <f>INDEX(Projects[Value (M)],280)</f>
        <v/>
      </c>
      <c r="V281" s="66">
        <f>IF('Smart Search'!B13=1,IFERROR(1/'Smart Search'!H13,0),0)</f>
        <v/>
      </c>
      <c r="W281" s="66">
        <f>IF('Smart Search'!B13=1,IFERROR(1/'Smart Search'!H13,0),0)</f>
        <v/>
      </c>
      <c r="X281" s="66">
        <f>IF('Smart Search'!C13=1,IFERROR(1/'Smart Search'!H13,0),0)</f>
        <v/>
      </c>
      <c r="Y281" s="66">
        <f>IF('Smart Search'!C13=1,IFERROR(1/'Smart Search'!H13,0),0)</f>
        <v/>
      </c>
      <c r="Z281" s="66">
        <f>IF('Smart Search'!D13=1,IFERROR(1/'Smart Search'!H13,0),0)</f>
        <v/>
      </c>
      <c r="AA281" s="66">
        <f>IF('Smart Search'!D13=1,IFERROR(1/'Smart Search'!H13,0),0)</f>
        <v/>
      </c>
      <c r="AB281" s="66">
        <f>IF('Smart Search'!E13=1,IFERROR(1/'Smart Search'!H13,0),0)</f>
        <v/>
      </c>
      <c r="AC281" s="66">
        <f>IF('Smart Search'!E13=1,IFERROR(1/'Smart Search'!H13,0),0)</f>
        <v/>
      </c>
      <c r="AD281" s="66">
        <f>IF('Smart Search'!F13=1,IFERROR(1/'Smart Search'!H13,0),0)</f>
        <v/>
      </c>
      <c r="AE281" s="66">
        <f>IF('Smart Search'!F13=1,IFERROR(1/'Smart Search'!H13,0),0)</f>
        <v/>
      </c>
      <c r="AF281" s="66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66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66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66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66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66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66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66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66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66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66">
        <f>AF281*V281</f>
        <v/>
      </c>
      <c r="AQ281" s="66">
        <f>AG281*W281</f>
        <v/>
      </c>
      <c r="AR281" s="66">
        <f>AH281*X281</f>
        <v/>
      </c>
      <c r="AS281" s="66">
        <f>AI281*Y281</f>
        <v/>
      </c>
      <c r="AT281" s="66">
        <f>AJ281*Z281</f>
        <v/>
      </c>
      <c r="AU281" s="66">
        <f>AK281*AA281</f>
        <v/>
      </c>
      <c r="AV281" s="66">
        <f>AL281*AB281</f>
        <v/>
      </c>
      <c r="AW281" s="66">
        <f>AM281*AC281</f>
        <v/>
      </c>
      <c r="AX281" s="66">
        <f>AN281*AD281</f>
        <v/>
      </c>
      <c r="AY281" s="66">
        <f>AO281*AE281</f>
        <v/>
      </c>
      <c r="AZ281" s="66">
        <f>INDEX(Projects[Automation Equipment],280)&amp;""</f>
        <v/>
      </c>
      <c r="BA281" s="66">
        <f>IF(OR(A281="",'Smart Search'!H13=0),"",MAX(0,BE281*BF281*MAX(0,1-BG281)))</f>
        <v/>
      </c>
      <c r="BB281" s="66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66">
        <f>IF('Smart Search'!G13=1,IFERROR(1/'Smart Search'!H13,0),0)</f>
        <v/>
      </c>
      <c r="BD281" s="66">
        <f>BB281*BC281</f>
        <v/>
      </c>
      <c r="BE281" s="66">
        <f>AP281+AQ281+AR281+AS281+AT281+AU281+AV281+AW281+AX281+AY281+BD281</f>
        <v/>
      </c>
      <c r="BF281" s="5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5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5">
        <f>IF(AND(A281&lt;&gt;"",OR('Smart Search'!$L$5="",'Smart Search'!$L$5="All",TRIM(BZ281)=TRIM('Smart Search'!$L$5)),OR(TRIM('Smart Search'!$L$6)="",TRIM('Smart Search'!$L$6)="All",ISNUMBER(SEARCH(SUBSTITUTE(SUBSTITUTE(SUBSTITUTE(TRIM('Smart Search'!$L$6),"~","~~"),"*","~*"),"?","~?"),CA281))),OR('Smart Search'!$L$7="",AND(CB281&lt;&gt;0,CB281='Smart Search'!$L$7)),OR('Smart Search'!$L$8="",'Smart Search'!$L$8="All",TRIM(CC281)=TRIM('Smart Search'!$L$8))),IF(BA281="","",BA281+ROW()*0.0000000001),"")</f>
        <v/>
      </c>
      <c r="BI281" s="5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5">
        <f>IF(A281="","",N(INDEX(Projects[Mech Inst],280)))</f>
        <v/>
      </c>
      <c r="BK281" s="5">
        <f>IF(A281="","",N(INDEX(Projects[Elec Inst],280)))</f>
        <v/>
      </c>
      <c r="BL281" s="5">
        <f>IF(A281="","",N(INDEX(Projects[Project Management],280)))</f>
        <v/>
      </c>
      <c r="BM281" s="5">
        <f>IF(A281="","",N(INDEX(Projects[Systems Eng],280)))</f>
        <v/>
      </c>
      <c r="BN281" s="5">
        <f>IF(A281="","",N(INDEX(Projects[Mechanical Eng],280)))</f>
        <v/>
      </c>
      <c r="BO281" s="5">
        <f>IF(A281="","",N(INDEX(Projects[Structural Engineering],280)))</f>
        <v/>
      </c>
      <c r="BP281" s="5">
        <f>IF(A281="","",N(INDEX(Projects[Site Sup],280)))</f>
        <v/>
      </c>
      <c r="BQ281" s="5">
        <f>IF(A281="","",N(INDEX(Projects[Controls Commissioning],280)))</f>
        <v/>
      </c>
      <c r="BR281" s="5">
        <f>IF(A281="","",N(INDEX(Projects[Systems Commissioning],280)))</f>
        <v/>
      </c>
      <c r="BS281" s="5">
        <f>IF(A281="","",N(INDEX(Projects[Service Commissioning],280)))</f>
        <v/>
      </c>
      <c r="BT281" s="5">
        <f>IF(A281="","",N(INDEX(Projects[Controls Eng],280)))</f>
        <v/>
      </c>
      <c r="BU281" s="5">
        <f>IF(A281="","",N(INDEX(Projects[Controls Purchase],280)))</f>
        <v/>
      </c>
      <c r="BV281" s="5">
        <f>IF(A281="","",N(INDEX(Projects[Software Eng],280)))</f>
        <v/>
      </c>
      <c r="BW281" s="5">
        <f>IF(A281="","",N(INDEX(Projects[Misc],280)))</f>
        <v/>
      </c>
      <c r="BX281" s="5">
        <f>IF(A281="","",SUM(BJ281:BW281))</f>
        <v/>
      </c>
      <c r="BY281" s="5">
        <f>IF(A281="","",IFERROR(IF(ISNUMBER(U281),U281,VALUE(SUBSTITUTE(SUBSTITUTE(SUBSTITUTE(UPPER(TRIM(U281)),"M",""),",","")," ",""))),0))</f>
        <v/>
      </c>
      <c r="BZ281" s="5">
        <f>INDEX(Projects[Solution Type],280)&amp;""</f>
        <v/>
      </c>
      <c r="CA281" s="5">
        <f>INDEX(Projects[Client / Region],280)&amp;""</f>
        <v/>
      </c>
      <c r="CB281" s="5">
        <f>INDEX(Projects[Year],280)</f>
        <v/>
      </c>
      <c r="CC281" s="5">
        <f>INDEX(Projects[Won?],280)&amp;""</f>
        <v/>
      </c>
      <c r="CD281" s="5">
        <f>INDEX(Projects[Value (USD M)],280)</f>
        <v/>
      </c>
    </row>
    <row r="282" ht="15" customHeight="1" s="74">
      <c r="A282" s="66">
        <f>INDEX(Projects[Project ID *],281)&amp;""</f>
        <v/>
      </c>
      <c r="B282" s="66">
        <f>INDEX(Projects[Project Name *],281)&amp;""</f>
        <v/>
      </c>
      <c r="C282" s="66">
        <f>INDEX(Projects[MS Shuttles],281)</f>
        <v/>
      </c>
      <c r="D282" s="66">
        <f>INDEX(Projects[MS Tote Locations],281)</f>
        <v/>
      </c>
      <c r="E282" s="66">
        <f>INDEX(Projects[AS Robots],281)</f>
        <v/>
      </c>
      <c r="F282" s="66">
        <f>INDEX(Projects[AS Tote Locations],281)</f>
        <v/>
      </c>
      <c r="G282" s="66">
        <f>INDEX(Projects[PS Shuttles],281)</f>
        <v/>
      </c>
      <c r="H282" s="66">
        <f>INDEX(Projects[PS Pallet Locations],281)</f>
        <v/>
      </c>
      <c r="I282" s="66">
        <f>INDEX(Projects[SRM Cranes],281)</f>
        <v/>
      </c>
      <c r="J282" s="66">
        <f>INDEX(Projects[SRM Pallet Locations],281)</f>
        <v/>
      </c>
      <c r="K282" s="66">
        <f>INDEX(Projects[Case Conv (m)],281)</f>
        <v/>
      </c>
      <c r="L282" s="66">
        <f>INDEX(Projects[Pallet Conv (m)],281)</f>
        <v/>
      </c>
      <c r="M282" s="66">
        <f>INDEX(Projects[Mech Eng (wks)],281)</f>
        <v/>
      </c>
      <c r="N282" s="66">
        <f>INDEX(Projects[Controls Eng (wks)],281)</f>
        <v/>
      </c>
      <c r="O282" s="66">
        <f>INDEX(Projects[Systems Eng (wks)],281)</f>
        <v/>
      </c>
      <c r="P282" s="66">
        <f>INDEX(Projects[Software Eng (wks)],281)</f>
        <v/>
      </c>
      <c r="Q282" s="66">
        <f>INDEX(Projects[M&amp;E Installation (wks)],281)</f>
        <v/>
      </c>
      <c r="R282" s="66">
        <f>INDEX(Projects[Commissioning (wks)],281)</f>
        <v/>
      </c>
      <c r="S282" s="66">
        <f>INDEX(Projects[Total Timeline (wks)],281)</f>
        <v/>
      </c>
      <c r="T282" s="66">
        <f>INDEX(Projects[Currency],281)&amp;""</f>
        <v/>
      </c>
      <c r="U282" s="67">
        <f>INDEX(Projects[Value (M)],281)</f>
        <v/>
      </c>
      <c r="V282" s="66">
        <f>IF('Smart Search'!B13=1,IFERROR(1/'Smart Search'!H13,0),0)</f>
        <v/>
      </c>
      <c r="W282" s="66">
        <f>IF('Smart Search'!B13=1,IFERROR(1/'Smart Search'!H13,0),0)</f>
        <v/>
      </c>
      <c r="X282" s="66">
        <f>IF('Smart Search'!C13=1,IFERROR(1/'Smart Search'!H13,0),0)</f>
        <v/>
      </c>
      <c r="Y282" s="66">
        <f>IF('Smart Search'!C13=1,IFERROR(1/'Smart Search'!H13,0),0)</f>
        <v/>
      </c>
      <c r="Z282" s="66">
        <f>IF('Smart Search'!D13=1,IFERROR(1/'Smart Search'!H13,0),0)</f>
        <v/>
      </c>
      <c r="AA282" s="66">
        <f>IF('Smart Search'!D13=1,IFERROR(1/'Smart Search'!H13,0),0)</f>
        <v/>
      </c>
      <c r="AB282" s="66">
        <f>IF('Smart Search'!E13=1,IFERROR(1/'Smart Search'!H13,0),0)</f>
        <v/>
      </c>
      <c r="AC282" s="66">
        <f>IF('Smart Search'!E13=1,IFERROR(1/'Smart Search'!H13,0),0)</f>
        <v/>
      </c>
      <c r="AD282" s="66">
        <f>IF('Smart Search'!F13=1,IFERROR(1/'Smart Search'!H13,0),0)</f>
        <v/>
      </c>
      <c r="AE282" s="66">
        <f>IF('Smart Search'!F13=1,IFERROR(1/'Smart Search'!H13,0),0)</f>
        <v/>
      </c>
      <c r="AF282" s="66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66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66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66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66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66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66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66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66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66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66">
        <f>AF282*V282</f>
        <v/>
      </c>
      <c r="AQ282" s="66">
        <f>AG282*W282</f>
        <v/>
      </c>
      <c r="AR282" s="66">
        <f>AH282*X282</f>
        <v/>
      </c>
      <c r="AS282" s="66">
        <f>AI282*Y282</f>
        <v/>
      </c>
      <c r="AT282" s="66">
        <f>AJ282*Z282</f>
        <v/>
      </c>
      <c r="AU282" s="66">
        <f>AK282*AA282</f>
        <v/>
      </c>
      <c r="AV282" s="66">
        <f>AL282*AB282</f>
        <v/>
      </c>
      <c r="AW282" s="66">
        <f>AM282*AC282</f>
        <v/>
      </c>
      <c r="AX282" s="66">
        <f>AN282*AD282</f>
        <v/>
      </c>
      <c r="AY282" s="66">
        <f>AO282*AE282</f>
        <v/>
      </c>
      <c r="AZ282" s="66">
        <f>INDEX(Projects[Automation Equipment],281)&amp;""</f>
        <v/>
      </c>
      <c r="BA282" s="66">
        <f>IF(OR(A282="",'Smart Search'!H13=0),"",MAX(0,BE282*BF282*MAX(0,1-BG282)))</f>
        <v/>
      </c>
      <c r="BB282" s="66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66">
        <f>IF('Smart Search'!G13=1,IFERROR(1/'Smart Search'!H13,0),0)</f>
        <v/>
      </c>
      <c r="BD282" s="66">
        <f>BB282*BC282</f>
        <v/>
      </c>
      <c r="BE282" s="66">
        <f>AP282+AQ282+AR282+AS282+AT282+AU282+AV282+AW282+AX282+AY282+BD282</f>
        <v/>
      </c>
      <c r="BF282" s="5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5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5">
        <f>IF(AND(A282&lt;&gt;"",OR('Smart Search'!$L$5="",'Smart Search'!$L$5="All",TRIM(BZ282)=TRIM('Smart Search'!$L$5)),OR(TRIM('Smart Search'!$L$6)="",TRIM('Smart Search'!$L$6)="All",ISNUMBER(SEARCH(SUBSTITUTE(SUBSTITUTE(SUBSTITUTE(TRIM('Smart Search'!$L$6),"~","~~"),"*","~*"),"?","~?"),CA282))),OR('Smart Search'!$L$7="",AND(CB282&lt;&gt;0,CB282='Smart Search'!$L$7)),OR('Smart Search'!$L$8="",'Smart Search'!$L$8="All",TRIM(CC282)=TRIM('Smart Search'!$L$8))),IF(BA282="","",BA282+ROW()*0.0000000001),"")</f>
        <v/>
      </c>
      <c r="BI282" s="5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5">
        <f>IF(A282="","",N(INDEX(Projects[Mech Inst],281)))</f>
        <v/>
      </c>
      <c r="BK282" s="5">
        <f>IF(A282="","",N(INDEX(Projects[Elec Inst],281)))</f>
        <v/>
      </c>
      <c r="BL282" s="5">
        <f>IF(A282="","",N(INDEX(Projects[Project Management],281)))</f>
        <v/>
      </c>
      <c r="BM282" s="5">
        <f>IF(A282="","",N(INDEX(Projects[Systems Eng],281)))</f>
        <v/>
      </c>
      <c r="BN282" s="5">
        <f>IF(A282="","",N(INDEX(Projects[Mechanical Eng],281)))</f>
        <v/>
      </c>
      <c r="BO282" s="5">
        <f>IF(A282="","",N(INDEX(Projects[Structural Engineering],281)))</f>
        <v/>
      </c>
      <c r="BP282" s="5">
        <f>IF(A282="","",N(INDEX(Projects[Site Sup],281)))</f>
        <v/>
      </c>
      <c r="BQ282" s="5">
        <f>IF(A282="","",N(INDEX(Projects[Controls Commissioning],281)))</f>
        <v/>
      </c>
      <c r="BR282" s="5">
        <f>IF(A282="","",N(INDEX(Projects[Systems Commissioning],281)))</f>
        <v/>
      </c>
      <c r="BS282" s="5">
        <f>IF(A282="","",N(INDEX(Projects[Service Commissioning],281)))</f>
        <v/>
      </c>
      <c r="BT282" s="5">
        <f>IF(A282="","",N(INDEX(Projects[Controls Eng],281)))</f>
        <v/>
      </c>
      <c r="BU282" s="5">
        <f>IF(A282="","",N(INDEX(Projects[Controls Purchase],281)))</f>
        <v/>
      </c>
      <c r="BV282" s="5">
        <f>IF(A282="","",N(INDEX(Projects[Software Eng],281)))</f>
        <v/>
      </c>
      <c r="BW282" s="5">
        <f>IF(A282="","",N(INDEX(Projects[Misc],281)))</f>
        <v/>
      </c>
      <c r="BX282" s="5">
        <f>IF(A282="","",SUM(BJ282:BW282))</f>
        <v/>
      </c>
      <c r="BY282" s="5">
        <f>IF(A282="","",IFERROR(IF(ISNUMBER(U282),U282,VALUE(SUBSTITUTE(SUBSTITUTE(SUBSTITUTE(UPPER(TRIM(U282)),"M",""),",","")," ",""))),0))</f>
        <v/>
      </c>
      <c r="BZ282" s="5">
        <f>INDEX(Projects[Solution Type],281)&amp;""</f>
        <v/>
      </c>
      <c r="CA282" s="5">
        <f>INDEX(Projects[Client / Region],281)&amp;""</f>
        <v/>
      </c>
      <c r="CB282" s="5">
        <f>INDEX(Projects[Year],281)</f>
        <v/>
      </c>
      <c r="CC282" s="5">
        <f>INDEX(Projects[Won?],281)&amp;""</f>
        <v/>
      </c>
      <c r="CD282" s="5">
        <f>INDEX(Projects[Value (USD M)],281)</f>
        <v/>
      </c>
    </row>
    <row r="283" ht="15" customHeight="1" s="74">
      <c r="A283" s="66">
        <f>INDEX(Projects[Project ID *],282)&amp;""</f>
        <v/>
      </c>
      <c r="B283" s="66">
        <f>INDEX(Projects[Project Name *],282)&amp;""</f>
        <v/>
      </c>
      <c r="C283" s="66">
        <f>INDEX(Projects[MS Shuttles],282)</f>
        <v/>
      </c>
      <c r="D283" s="66">
        <f>INDEX(Projects[MS Tote Locations],282)</f>
        <v/>
      </c>
      <c r="E283" s="66">
        <f>INDEX(Projects[AS Robots],282)</f>
        <v/>
      </c>
      <c r="F283" s="66">
        <f>INDEX(Projects[AS Tote Locations],282)</f>
        <v/>
      </c>
      <c r="G283" s="66">
        <f>INDEX(Projects[PS Shuttles],282)</f>
        <v/>
      </c>
      <c r="H283" s="66">
        <f>INDEX(Projects[PS Pallet Locations],282)</f>
        <v/>
      </c>
      <c r="I283" s="66">
        <f>INDEX(Projects[SRM Cranes],282)</f>
        <v/>
      </c>
      <c r="J283" s="66">
        <f>INDEX(Projects[SRM Pallet Locations],282)</f>
        <v/>
      </c>
      <c r="K283" s="66">
        <f>INDEX(Projects[Case Conv (m)],282)</f>
        <v/>
      </c>
      <c r="L283" s="66">
        <f>INDEX(Projects[Pallet Conv (m)],282)</f>
        <v/>
      </c>
      <c r="M283" s="66">
        <f>INDEX(Projects[Mech Eng (wks)],282)</f>
        <v/>
      </c>
      <c r="N283" s="66">
        <f>INDEX(Projects[Controls Eng (wks)],282)</f>
        <v/>
      </c>
      <c r="O283" s="66">
        <f>INDEX(Projects[Systems Eng (wks)],282)</f>
        <v/>
      </c>
      <c r="P283" s="66">
        <f>INDEX(Projects[Software Eng (wks)],282)</f>
        <v/>
      </c>
      <c r="Q283" s="66">
        <f>INDEX(Projects[M&amp;E Installation (wks)],282)</f>
        <v/>
      </c>
      <c r="R283" s="66">
        <f>INDEX(Projects[Commissioning (wks)],282)</f>
        <v/>
      </c>
      <c r="S283" s="66">
        <f>INDEX(Projects[Total Timeline (wks)],282)</f>
        <v/>
      </c>
      <c r="T283" s="66">
        <f>INDEX(Projects[Currency],282)&amp;""</f>
        <v/>
      </c>
      <c r="U283" s="67">
        <f>INDEX(Projects[Value (M)],282)</f>
        <v/>
      </c>
      <c r="V283" s="66">
        <f>IF('Smart Search'!B13=1,IFERROR(1/'Smart Search'!H13,0),0)</f>
        <v/>
      </c>
      <c r="W283" s="66">
        <f>IF('Smart Search'!B13=1,IFERROR(1/'Smart Search'!H13,0),0)</f>
        <v/>
      </c>
      <c r="X283" s="66">
        <f>IF('Smart Search'!C13=1,IFERROR(1/'Smart Search'!H13,0),0)</f>
        <v/>
      </c>
      <c r="Y283" s="66">
        <f>IF('Smart Search'!C13=1,IFERROR(1/'Smart Search'!H13,0),0)</f>
        <v/>
      </c>
      <c r="Z283" s="66">
        <f>IF('Smart Search'!D13=1,IFERROR(1/'Smart Search'!H13,0),0)</f>
        <v/>
      </c>
      <c r="AA283" s="66">
        <f>IF('Smart Search'!D13=1,IFERROR(1/'Smart Search'!H13,0),0)</f>
        <v/>
      </c>
      <c r="AB283" s="66">
        <f>IF('Smart Search'!E13=1,IFERROR(1/'Smart Search'!H13,0),0)</f>
        <v/>
      </c>
      <c r="AC283" s="66">
        <f>IF('Smart Search'!E13=1,IFERROR(1/'Smart Search'!H13,0),0)</f>
        <v/>
      </c>
      <c r="AD283" s="66">
        <f>IF('Smart Search'!F13=1,IFERROR(1/'Smart Search'!H13,0),0)</f>
        <v/>
      </c>
      <c r="AE283" s="66">
        <f>IF('Smart Search'!F13=1,IFERROR(1/'Smart Search'!H13,0),0)</f>
        <v/>
      </c>
      <c r="AF283" s="66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66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66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66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66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66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66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66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66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66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66">
        <f>AF283*V283</f>
        <v/>
      </c>
      <c r="AQ283" s="66">
        <f>AG283*W283</f>
        <v/>
      </c>
      <c r="AR283" s="66">
        <f>AH283*X283</f>
        <v/>
      </c>
      <c r="AS283" s="66">
        <f>AI283*Y283</f>
        <v/>
      </c>
      <c r="AT283" s="66">
        <f>AJ283*Z283</f>
        <v/>
      </c>
      <c r="AU283" s="66">
        <f>AK283*AA283</f>
        <v/>
      </c>
      <c r="AV283" s="66">
        <f>AL283*AB283</f>
        <v/>
      </c>
      <c r="AW283" s="66">
        <f>AM283*AC283</f>
        <v/>
      </c>
      <c r="AX283" s="66">
        <f>AN283*AD283</f>
        <v/>
      </c>
      <c r="AY283" s="66">
        <f>AO283*AE283</f>
        <v/>
      </c>
      <c r="AZ283" s="66">
        <f>INDEX(Projects[Automation Equipment],282)&amp;""</f>
        <v/>
      </c>
      <c r="BA283" s="66">
        <f>IF(OR(A283="",'Smart Search'!H13=0),"",MAX(0,BE283*BF283*MAX(0,1-BG283)))</f>
        <v/>
      </c>
      <c r="BB283" s="66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66">
        <f>IF('Smart Search'!G13=1,IFERROR(1/'Smart Search'!H13,0),0)</f>
        <v/>
      </c>
      <c r="BD283" s="66">
        <f>BB283*BC283</f>
        <v/>
      </c>
      <c r="BE283" s="66">
        <f>AP283+AQ283+AR283+AS283+AT283+AU283+AV283+AW283+AX283+AY283+BD283</f>
        <v/>
      </c>
      <c r="BF283" s="5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5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5">
        <f>IF(AND(A283&lt;&gt;"",OR('Smart Search'!$L$5="",'Smart Search'!$L$5="All",TRIM(BZ283)=TRIM('Smart Search'!$L$5)),OR(TRIM('Smart Search'!$L$6)="",TRIM('Smart Search'!$L$6)="All",ISNUMBER(SEARCH(SUBSTITUTE(SUBSTITUTE(SUBSTITUTE(TRIM('Smart Search'!$L$6),"~","~~"),"*","~*"),"?","~?"),CA283))),OR('Smart Search'!$L$7="",AND(CB283&lt;&gt;0,CB283='Smart Search'!$L$7)),OR('Smart Search'!$L$8="",'Smart Search'!$L$8="All",TRIM(CC283)=TRIM('Smart Search'!$L$8))),IF(BA283="","",BA283+ROW()*0.0000000001),"")</f>
        <v/>
      </c>
      <c r="BI283" s="5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5">
        <f>IF(A283="","",N(INDEX(Projects[Mech Inst],282)))</f>
        <v/>
      </c>
      <c r="BK283" s="5">
        <f>IF(A283="","",N(INDEX(Projects[Elec Inst],282)))</f>
        <v/>
      </c>
      <c r="BL283" s="5">
        <f>IF(A283="","",N(INDEX(Projects[Project Management],282)))</f>
        <v/>
      </c>
      <c r="BM283" s="5">
        <f>IF(A283="","",N(INDEX(Projects[Systems Eng],282)))</f>
        <v/>
      </c>
      <c r="BN283" s="5">
        <f>IF(A283="","",N(INDEX(Projects[Mechanical Eng],282)))</f>
        <v/>
      </c>
      <c r="BO283" s="5">
        <f>IF(A283="","",N(INDEX(Projects[Structural Engineering],282)))</f>
        <v/>
      </c>
      <c r="BP283" s="5">
        <f>IF(A283="","",N(INDEX(Projects[Site Sup],282)))</f>
        <v/>
      </c>
      <c r="BQ283" s="5">
        <f>IF(A283="","",N(INDEX(Projects[Controls Commissioning],282)))</f>
        <v/>
      </c>
      <c r="BR283" s="5">
        <f>IF(A283="","",N(INDEX(Projects[Systems Commissioning],282)))</f>
        <v/>
      </c>
      <c r="BS283" s="5">
        <f>IF(A283="","",N(INDEX(Projects[Service Commissioning],282)))</f>
        <v/>
      </c>
      <c r="BT283" s="5">
        <f>IF(A283="","",N(INDEX(Projects[Controls Eng],282)))</f>
        <v/>
      </c>
      <c r="BU283" s="5">
        <f>IF(A283="","",N(INDEX(Projects[Controls Purchase],282)))</f>
        <v/>
      </c>
      <c r="BV283" s="5">
        <f>IF(A283="","",N(INDEX(Projects[Software Eng],282)))</f>
        <v/>
      </c>
      <c r="BW283" s="5">
        <f>IF(A283="","",N(INDEX(Projects[Misc],282)))</f>
        <v/>
      </c>
      <c r="BX283" s="5">
        <f>IF(A283="","",SUM(BJ283:BW283))</f>
        <v/>
      </c>
      <c r="BY283" s="5">
        <f>IF(A283="","",IFERROR(IF(ISNUMBER(U283),U283,VALUE(SUBSTITUTE(SUBSTITUTE(SUBSTITUTE(UPPER(TRIM(U283)),"M",""),",","")," ",""))),0))</f>
        <v/>
      </c>
      <c r="BZ283" s="5">
        <f>INDEX(Projects[Solution Type],282)&amp;""</f>
        <v/>
      </c>
      <c r="CA283" s="5">
        <f>INDEX(Projects[Client / Region],282)&amp;""</f>
        <v/>
      </c>
      <c r="CB283" s="5">
        <f>INDEX(Projects[Year],282)</f>
        <v/>
      </c>
      <c r="CC283" s="5">
        <f>INDEX(Projects[Won?],282)&amp;""</f>
        <v/>
      </c>
      <c r="CD283" s="5">
        <f>INDEX(Projects[Value (USD M)],282)</f>
        <v/>
      </c>
    </row>
    <row r="284" ht="15" customHeight="1" s="74">
      <c r="A284" s="66">
        <f>INDEX(Projects[Project ID *],283)&amp;""</f>
        <v/>
      </c>
      <c r="B284" s="66">
        <f>INDEX(Projects[Project Name *],283)&amp;""</f>
        <v/>
      </c>
      <c r="C284" s="66">
        <f>INDEX(Projects[MS Shuttles],283)</f>
        <v/>
      </c>
      <c r="D284" s="66">
        <f>INDEX(Projects[MS Tote Locations],283)</f>
        <v/>
      </c>
      <c r="E284" s="66">
        <f>INDEX(Projects[AS Robots],283)</f>
        <v/>
      </c>
      <c r="F284" s="66">
        <f>INDEX(Projects[AS Tote Locations],283)</f>
        <v/>
      </c>
      <c r="G284" s="66">
        <f>INDEX(Projects[PS Shuttles],283)</f>
        <v/>
      </c>
      <c r="H284" s="66">
        <f>INDEX(Projects[PS Pallet Locations],283)</f>
        <v/>
      </c>
      <c r="I284" s="66">
        <f>INDEX(Projects[SRM Cranes],283)</f>
        <v/>
      </c>
      <c r="J284" s="66">
        <f>INDEX(Projects[SRM Pallet Locations],283)</f>
        <v/>
      </c>
      <c r="K284" s="66">
        <f>INDEX(Projects[Case Conv (m)],283)</f>
        <v/>
      </c>
      <c r="L284" s="66">
        <f>INDEX(Projects[Pallet Conv (m)],283)</f>
        <v/>
      </c>
      <c r="M284" s="66">
        <f>INDEX(Projects[Mech Eng (wks)],283)</f>
        <v/>
      </c>
      <c r="N284" s="66">
        <f>INDEX(Projects[Controls Eng (wks)],283)</f>
        <v/>
      </c>
      <c r="O284" s="66">
        <f>INDEX(Projects[Systems Eng (wks)],283)</f>
        <v/>
      </c>
      <c r="P284" s="66">
        <f>INDEX(Projects[Software Eng (wks)],283)</f>
        <v/>
      </c>
      <c r="Q284" s="66">
        <f>INDEX(Projects[M&amp;E Installation (wks)],283)</f>
        <v/>
      </c>
      <c r="R284" s="66">
        <f>INDEX(Projects[Commissioning (wks)],283)</f>
        <v/>
      </c>
      <c r="S284" s="66">
        <f>INDEX(Projects[Total Timeline (wks)],283)</f>
        <v/>
      </c>
      <c r="T284" s="66">
        <f>INDEX(Projects[Currency],283)&amp;""</f>
        <v/>
      </c>
      <c r="U284" s="67">
        <f>INDEX(Projects[Value (M)],283)</f>
        <v/>
      </c>
      <c r="V284" s="66">
        <f>IF('Smart Search'!B13=1,IFERROR(1/'Smart Search'!H13,0),0)</f>
        <v/>
      </c>
      <c r="W284" s="66">
        <f>IF('Smart Search'!B13=1,IFERROR(1/'Smart Search'!H13,0),0)</f>
        <v/>
      </c>
      <c r="X284" s="66">
        <f>IF('Smart Search'!C13=1,IFERROR(1/'Smart Search'!H13,0),0)</f>
        <v/>
      </c>
      <c r="Y284" s="66">
        <f>IF('Smart Search'!C13=1,IFERROR(1/'Smart Search'!H13,0),0)</f>
        <v/>
      </c>
      <c r="Z284" s="66">
        <f>IF('Smart Search'!D13=1,IFERROR(1/'Smart Search'!H13,0),0)</f>
        <v/>
      </c>
      <c r="AA284" s="66">
        <f>IF('Smart Search'!D13=1,IFERROR(1/'Smart Search'!H13,0),0)</f>
        <v/>
      </c>
      <c r="AB284" s="66">
        <f>IF('Smart Search'!E13=1,IFERROR(1/'Smart Search'!H13,0),0)</f>
        <v/>
      </c>
      <c r="AC284" s="66">
        <f>IF('Smart Search'!E13=1,IFERROR(1/'Smart Search'!H13,0),0)</f>
        <v/>
      </c>
      <c r="AD284" s="66">
        <f>IF('Smart Search'!F13=1,IFERROR(1/'Smart Search'!H13,0),0)</f>
        <v/>
      </c>
      <c r="AE284" s="66">
        <f>IF('Smart Search'!F13=1,IFERROR(1/'Smart Search'!H13,0),0)</f>
        <v/>
      </c>
      <c r="AF284" s="66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66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66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66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66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66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66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66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66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66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66">
        <f>AF284*V284</f>
        <v/>
      </c>
      <c r="AQ284" s="66">
        <f>AG284*W284</f>
        <v/>
      </c>
      <c r="AR284" s="66">
        <f>AH284*X284</f>
        <v/>
      </c>
      <c r="AS284" s="66">
        <f>AI284*Y284</f>
        <v/>
      </c>
      <c r="AT284" s="66">
        <f>AJ284*Z284</f>
        <v/>
      </c>
      <c r="AU284" s="66">
        <f>AK284*AA284</f>
        <v/>
      </c>
      <c r="AV284" s="66">
        <f>AL284*AB284</f>
        <v/>
      </c>
      <c r="AW284" s="66">
        <f>AM284*AC284</f>
        <v/>
      </c>
      <c r="AX284" s="66">
        <f>AN284*AD284</f>
        <v/>
      </c>
      <c r="AY284" s="66">
        <f>AO284*AE284</f>
        <v/>
      </c>
      <c r="AZ284" s="66">
        <f>INDEX(Projects[Automation Equipment],283)&amp;""</f>
        <v/>
      </c>
      <c r="BA284" s="66">
        <f>IF(OR(A284="",'Smart Search'!H13=0),"",MAX(0,BE284*BF284*MAX(0,1-BG284)))</f>
        <v/>
      </c>
      <c r="BB284" s="66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66">
        <f>IF('Smart Search'!G13=1,IFERROR(1/'Smart Search'!H13,0),0)</f>
        <v/>
      </c>
      <c r="BD284" s="66">
        <f>BB284*BC284</f>
        <v/>
      </c>
      <c r="BE284" s="66">
        <f>AP284+AQ284+AR284+AS284+AT284+AU284+AV284+AW284+AX284+AY284+BD284</f>
        <v/>
      </c>
      <c r="BF284" s="5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5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5">
        <f>IF(AND(A284&lt;&gt;"",OR('Smart Search'!$L$5="",'Smart Search'!$L$5="All",TRIM(BZ284)=TRIM('Smart Search'!$L$5)),OR(TRIM('Smart Search'!$L$6)="",TRIM('Smart Search'!$L$6)="All",ISNUMBER(SEARCH(SUBSTITUTE(SUBSTITUTE(SUBSTITUTE(TRIM('Smart Search'!$L$6),"~","~~"),"*","~*"),"?","~?"),CA284))),OR('Smart Search'!$L$7="",AND(CB284&lt;&gt;0,CB284='Smart Search'!$L$7)),OR('Smart Search'!$L$8="",'Smart Search'!$L$8="All",TRIM(CC284)=TRIM('Smart Search'!$L$8))),IF(BA284="","",BA284+ROW()*0.0000000001),"")</f>
        <v/>
      </c>
      <c r="BI284" s="5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5">
        <f>IF(A284="","",N(INDEX(Projects[Mech Inst],283)))</f>
        <v/>
      </c>
      <c r="BK284" s="5">
        <f>IF(A284="","",N(INDEX(Projects[Elec Inst],283)))</f>
        <v/>
      </c>
      <c r="BL284" s="5">
        <f>IF(A284="","",N(INDEX(Projects[Project Management],283)))</f>
        <v/>
      </c>
      <c r="BM284" s="5">
        <f>IF(A284="","",N(INDEX(Projects[Systems Eng],283)))</f>
        <v/>
      </c>
      <c r="BN284" s="5">
        <f>IF(A284="","",N(INDEX(Projects[Mechanical Eng],283)))</f>
        <v/>
      </c>
      <c r="BO284" s="5">
        <f>IF(A284="","",N(INDEX(Projects[Structural Engineering],283)))</f>
        <v/>
      </c>
      <c r="BP284" s="5">
        <f>IF(A284="","",N(INDEX(Projects[Site Sup],283)))</f>
        <v/>
      </c>
      <c r="BQ284" s="5">
        <f>IF(A284="","",N(INDEX(Projects[Controls Commissioning],283)))</f>
        <v/>
      </c>
      <c r="BR284" s="5">
        <f>IF(A284="","",N(INDEX(Projects[Systems Commissioning],283)))</f>
        <v/>
      </c>
      <c r="BS284" s="5">
        <f>IF(A284="","",N(INDEX(Projects[Service Commissioning],283)))</f>
        <v/>
      </c>
      <c r="BT284" s="5">
        <f>IF(A284="","",N(INDEX(Projects[Controls Eng],283)))</f>
        <v/>
      </c>
      <c r="BU284" s="5">
        <f>IF(A284="","",N(INDEX(Projects[Controls Purchase],283)))</f>
        <v/>
      </c>
      <c r="BV284" s="5">
        <f>IF(A284="","",N(INDEX(Projects[Software Eng],283)))</f>
        <v/>
      </c>
      <c r="BW284" s="5">
        <f>IF(A284="","",N(INDEX(Projects[Misc],283)))</f>
        <v/>
      </c>
      <c r="BX284" s="5">
        <f>IF(A284="","",SUM(BJ284:BW284))</f>
        <v/>
      </c>
      <c r="BY284" s="5">
        <f>IF(A284="","",IFERROR(IF(ISNUMBER(U284),U284,VALUE(SUBSTITUTE(SUBSTITUTE(SUBSTITUTE(UPPER(TRIM(U284)),"M",""),",","")," ",""))),0))</f>
        <v/>
      </c>
      <c r="BZ284" s="5">
        <f>INDEX(Projects[Solution Type],283)&amp;""</f>
        <v/>
      </c>
      <c r="CA284" s="5">
        <f>INDEX(Projects[Client / Region],283)&amp;""</f>
        <v/>
      </c>
      <c r="CB284" s="5">
        <f>INDEX(Projects[Year],283)</f>
        <v/>
      </c>
      <c r="CC284" s="5">
        <f>INDEX(Projects[Won?],283)&amp;""</f>
        <v/>
      </c>
      <c r="CD284" s="5">
        <f>INDEX(Projects[Value (USD M)],283)</f>
        <v/>
      </c>
    </row>
    <row r="285" ht="15" customHeight="1" s="74">
      <c r="A285" s="66">
        <f>INDEX(Projects[Project ID *],284)&amp;""</f>
        <v/>
      </c>
      <c r="B285" s="66">
        <f>INDEX(Projects[Project Name *],284)&amp;""</f>
        <v/>
      </c>
      <c r="C285" s="66">
        <f>INDEX(Projects[MS Shuttles],284)</f>
        <v/>
      </c>
      <c r="D285" s="66">
        <f>INDEX(Projects[MS Tote Locations],284)</f>
        <v/>
      </c>
      <c r="E285" s="66">
        <f>INDEX(Projects[AS Robots],284)</f>
        <v/>
      </c>
      <c r="F285" s="66">
        <f>INDEX(Projects[AS Tote Locations],284)</f>
        <v/>
      </c>
      <c r="G285" s="66">
        <f>INDEX(Projects[PS Shuttles],284)</f>
        <v/>
      </c>
      <c r="H285" s="66">
        <f>INDEX(Projects[PS Pallet Locations],284)</f>
        <v/>
      </c>
      <c r="I285" s="66">
        <f>INDEX(Projects[SRM Cranes],284)</f>
        <v/>
      </c>
      <c r="J285" s="66">
        <f>INDEX(Projects[SRM Pallet Locations],284)</f>
        <v/>
      </c>
      <c r="K285" s="66">
        <f>INDEX(Projects[Case Conv (m)],284)</f>
        <v/>
      </c>
      <c r="L285" s="66">
        <f>INDEX(Projects[Pallet Conv (m)],284)</f>
        <v/>
      </c>
      <c r="M285" s="66">
        <f>INDEX(Projects[Mech Eng (wks)],284)</f>
        <v/>
      </c>
      <c r="N285" s="66">
        <f>INDEX(Projects[Controls Eng (wks)],284)</f>
        <v/>
      </c>
      <c r="O285" s="66">
        <f>INDEX(Projects[Systems Eng (wks)],284)</f>
        <v/>
      </c>
      <c r="P285" s="66">
        <f>INDEX(Projects[Software Eng (wks)],284)</f>
        <v/>
      </c>
      <c r="Q285" s="66">
        <f>INDEX(Projects[M&amp;E Installation (wks)],284)</f>
        <v/>
      </c>
      <c r="R285" s="66">
        <f>INDEX(Projects[Commissioning (wks)],284)</f>
        <v/>
      </c>
      <c r="S285" s="66">
        <f>INDEX(Projects[Total Timeline (wks)],284)</f>
        <v/>
      </c>
      <c r="T285" s="66">
        <f>INDEX(Projects[Currency],284)&amp;""</f>
        <v/>
      </c>
      <c r="U285" s="67">
        <f>INDEX(Projects[Value (M)],284)</f>
        <v/>
      </c>
      <c r="V285" s="66">
        <f>IF('Smart Search'!B13=1,IFERROR(1/'Smart Search'!H13,0),0)</f>
        <v/>
      </c>
      <c r="W285" s="66">
        <f>IF('Smart Search'!B13=1,IFERROR(1/'Smart Search'!H13,0),0)</f>
        <v/>
      </c>
      <c r="X285" s="66">
        <f>IF('Smart Search'!C13=1,IFERROR(1/'Smart Search'!H13,0),0)</f>
        <v/>
      </c>
      <c r="Y285" s="66">
        <f>IF('Smart Search'!C13=1,IFERROR(1/'Smart Search'!H13,0),0)</f>
        <v/>
      </c>
      <c r="Z285" s="66">
        <f>IF('Smart Search'!D13=1,IFERROR(1/'Smart Search'!H13,0),0)</f>
        <v/>
      </c>
      <c r="AA285" s="66">
        <f>IF('Smart Search'!D13=1,IFERROR(1/'Smart Search'!H13,0),0)</f>
        <v/>
      </c>
      <c r="AB285" s="66">
        <f>IF('Smart Search'!E13=1,IFERROR(1/'Smart Search'!H13,0),0)</f>
        <v/>
      </c>
      <c r="AC285" s="66">
        <f>IF('Smart Search'!E13=1,IFERROR(1/'Smart Search'!H13,0),0)</f>
        <v/>
      </c>
      <c r="AD285" s="66">
        <f>IF('Smart Search'!F13=1,IFERROR(1/'Smart Search'!H13,0),0)</f>
        <v/>
      </c>
      <c r="AE285" s="66">
        <f>IF('Smart Search'!F13=1,IFERROR(1/'Smart Search'!H13,0),0)</f>
        <v/>
      </c>
      <c r="AF285" s="66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66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66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66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66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66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66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66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66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66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66">
        <f>AF285*V285</f>
        <v/>
      </c>
      <c r="AQ285" s="66">
        <f>AG285*W285</f>
        <v/>
      </c>
      <c r="AR285" s="66">
        <f>AH285*X285</f>
        <v/>
      </c>
      <c r="AS285" s="66">
        <f>AI285*Y285</f>
        <v/>
      </c>
      <c r="AT285" s="66">
        <f>AJ285*Z285</f>
        <v/>
      </c>
      <c r="AU285" s="66">
        <f>AK285*AA285</f>
        <v/>
      </c>
      <c r="AV285" s="66">
        <f>AL285*AB285</f>
        <v/>
      </c>
      <c r="AW285" s="66">
        <f>AM285*AC285</f>
        <v/>
      </c>
      <c r="AX285" s="66">
        <f>AN285*AD285</f>
        <v/>
      </c>
      <c r="AY285" s="66">
        <f>AO285*AE285</f>
        <v/>
      </c>
      <c r="AZ285" s="66">
        <f>INDEX(Projects[Automation Equipment],284)&amp;""</f>
        <v/>
      </c>
      <c r="BA285" s="66">
        <f>IF(OR(A285="",'Smart Search'!H13=0),"",MAX(0,BE285*BF285*MAX(0,1-BG285)))</f>
        <v/>
      </c>
      <c r="BB285" s="66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66">
        <f>IF('Smart Search'!G13=1,IFERROR(1/'Smart Search'!H13,0),0)</f>
        <v/>
      </c>
      <c r="BD285" s="66">
        <f>BB285*BC285</f>
        <v/>
      </c>
      <c r="BE285" s="66">
        <f>AP285+AQ285+AR285+AS285+AT285+AU285+AV285+AW285+AX285+AY285+BD285</f>
        <v/>
      </c>
      <c r="BF285" s="5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5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5">
        <f>IF(AND(A285&lt;&gt;"",OR('Smart Search'!$L$5="",'Smart Search'!$L$5="All",TRIM(BZ285)=TRIM('Smart Search'!$L$5)),OR(TRIM('Smart Search'!$L$6)="",TRIM('Smart Search'!$L$6)="All",ISNUMBER(SEARCH(SUBSTITUTE(SUBSTITUTE(SUBSTITUTE(TRIM('Smart Search'!$L$6),"~","~~"),"*","~*"),"?","~?"),CA285))),OR('Smart Search'!$L$7="",AND(CB285&lt;&gt;0,CB285='Smart Search'!$L$7)),OR('Smart Search'!$L$8="",'Smart Search'!$L$8="All",TRIM(CC285)=TRIM('Smart Search'!$L$8))),IF(BA285="","",BA285+ROW()*0.0000000001),"")</f>
        <v/>
      </c>
      <c r="BI285" s="5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5">
        <f>IF(A285="","",N(INDEX(Projects[Mech Inst],284)))</f>
        <v/>
      </c>
      <c r="BK285" s="5">
        <f>IF(A285="","",N(INDEX(Projects[Elec Inst],284)))</f>
        <v/>
      </c>
      <c r="BL285" s="5">
        <f>IF(A285="","",N(INDEX(Projects[Project Management],284)))</f>
        <v/>
      </c>
      <c r="BM285" s="5">
        <f>IF(A285="","",N(INDEX(Projects[Systems Eng],284)))</f>
        <v/>
      </c>
      <c r="BN285" s="5">
        <f>IF(A285="","",N(INDEX(Projects[Mechanical Eng],284)))</f>
        <v/>
      </c>
      <c r="BO285" s="5">
        <f>IF(A285="","",N(INDEX(Projects[Structural Engineering],284)))</f>
        <v/>
      </c>
      <c r="BP285" s="5">
        <f>IF(A285="","",N(INDEX(Projects[Site Sup],284)))</f>
        <v/>
      </c>
      <c r="BQ285" s="5">
        <f>IF(A285="","",N(INDEX(Projects[Controls Commissioning],284)))</f>
        <v/>
      </c>
      <c r="BR285" s="5">
        <f>IF(A285="","",N(INDEX(Projects[Systems Commissioning],284)))</f>
        <v/>
      </c>
      <c r="BS285" s="5">
        <f>IF(A285="","",N(INDEX(Projects[Service Commissioning],284)))</f>
        <v/>
      </c>
      <c r="BT285" s="5">
        <f>IF(A285="","",N(INDEX(Projects[Controls Eng],284)))</f>
        <v/>
      </c>
      <c r="BU285" s="5">
        <f>IF(A285="","",N(INDEX(Projects[Controls Purchase],284)))</f>
        <v/>
      </c>
      <c r="BV285" s="5">
        <f>IF(A285="","",N(INDEX(Projects[Software Eng],284)))</f>
        <v/>
      </c>
      <c r="BW285" s="5">
        <f>IF(A285="","",N(INDEX(Projects[Misc],284)))</f>
        <v/>
      </c>
      <c r="BX285" s="5">
        <f>IF(A285="","",SUM(BJ285:BW285))</f>
        <v/>
      </c>
      <c r="BY285" s="5">
        <f>IF(A285="","",IFERROR(IF(ISNUMBER(U285),U285,VALUE(SUBSTITUTE(SUBSTITUTE(SUBSTITUTE(UPPER(TRIM(U285)),"M",""),",","")," ",""))),0))</f>
        <v/>
      </c>
      <c r="BZ285" s="5">
        <f>INDEX(Projects[Solution Type],284)&amp;""</f>
        <v/>
      </c>
      <c r="CA285" s="5">
        <f>INDEX(Projects[Client / Region],284)&amp;""</f>
        <v/>
      </c>
      <c r="CB285" s="5">
        <f>INDEX(Projects[Year],284)</f>
        <v/>
      </c>
      <c r="CC285" s="5">
        <f>INDEX(Projects[Won?],284)&amp;""</f>
        <v/>
      </c>
      <c r="CD285" s="5">
        <f>INDEX(Projects[Value (USD M)],284)</f>
        <v/>
      </c>
    </row>
    <row r="286" ht="15" customHeight="1" s="74">
      <c r="A286" s="66">
        <f>INDEX(Projects[Project ID *],285)&amp;""</f>
        <v/>
      </c>
      <c r="B286" s="66">
        <f>INDEX(Projects[Project Name *],285)&amp;""</f>
        <v/>
      </c>
      <c r="C286" s="66">
        <f>INDEX(Projects[MS Shuttles],285)</f>
        <v/>
      </c>
      <c r="D286" s="66">
        <f>INDEX(Projects[MS Tote Locations],285)</f>
        <v/>
      </c>
      <c r="E286" s="66">
        <f>INDEX(Projects[AS Robots],285)</f>
        <v/>
      </c>
      <c r="F286" s="66">
        <f>INDEX(Projects[AS Tote Locations],285)</f>
        <v/>
      </c>
      <c r="G286" s="66">
        <f>INDEX(Projects[PS Shuttles],285)</f>
        <v/>
      </c>
      <c r="H286" s="66">
        <f>INDEX(Projects[PS Pallet Locations],285)</f>
        <v/>
      </c>
      <c r="I286" s="66">
        <f>INDEX(Projects[SRM Cranes],285)</f>
        <v/>
      </c>
      <c r="J286" s="66">
        <f>INDEX(Projects[SRM Pallet Locations],285)</f>
        <v/>
      </c>
      <c r="K286" s="66">
        <f>INDEX(Projects[Case Conv (m)],285)</f>
        <v/>
      </c>
      <c r="L286" s="66">
        <f>INDEX(Projects[Pallet Conv (m)],285)</f>
        <v/>
      </c>
      <c r="M286" s="66">
        <f>INDEX(Projects[Mech Eng (wks)],285)</f>
        <v/>
      </c>
      <c r="N286" s="66">
        <f>INDEX(Projects[Controls Eng (wks)],285)</f>
        <v/>
      </c>
      <c r="O286" s="66">
        <f>INDEX(Projects[Systems Eng (wks)],285)</f>
        <v/>
      </c>
      <c r="P286" s="66">
        <f>INDEX(Projects[Software Eng (wks)],285)</f>
        <v/>
      </c>
      <c r="Q286" s="66">
        <f>INDEX(Projects[M&amp;E Installation (wks)],285)</f>
        <v/>
      </c>
      <c r="R286" s="66">
        <f>INDEX(Projects[Commissioning (wks)],285)</f>
        <v/>
      </c>
      <c r="S286" s="66">
        <f>INDEX(Projects[Total Timeline (wks)],285)</f>
        <v/>
      </c>
      <c r="T286" s="66">
        <f>INDEX(Projects[Currency],285)&amp;""</f>
        <v/>
      </c>
      <c r="U286" s="67">
        <f>INDEX(Projects[Value (M)],285)</f>
        <v/>
      </c>
      <c r="V286" s="66">
        <f>IF('Smart Search'!B13=1,IFERROR(1/'Smart Search'!H13,0),0)</f>
        <v/>
      </c>
      <c r="W286" s="66">
        <f>IF('Smart Search'!B13=1,IFERROR(1/'Smart Search'!H13,0),0)</f>
        <v/>
      </c>
      <c r="X286" s="66">
        <f>IF('Smart Search'!C13=1,IFERROR(1/'Smart Search'!H13,0),0)</f>
        <v/>
      </c>
      <c r="Y286" s="66">
        <f>IF('Smart Search'!C13=1,IFERROR(1/'Smart Search'!H13,0),0)</f>
        <v/>
      </c>
      <c r="Z286" s="66">
        <f>IF('Smart Search'!D13=1,IFERROR(1/'Smart Search'!H13,0),0)</f>
        <v/>
      </c>
      <c r="AA286" s="66">
        <f>IF('Smart Search'!D13=1,IFERROR(1/'Smart Search'!H13,0),0)</f>
        <v/>
      </c>
      <c r="AB286" s="66">
        <f>IF('Smart Search'!E13=1,IFERROR(1/'Smart Search'!H13,0),0)</f>
        <v/>
      </c>
      <c r="AC286" s="66">
        <f>IF('Smart Search'!E13=1,IFERROR(1/'Smart Search'!H13,0),0)</f>
        <v/>
      </c>
      <c r="AD286" s="66">
        <f>IF('Smart Search'!F13=1,IFERROR(1/'Smart Search'!H13,0),0)</f>
        <v/>
      </c>
      <c r="AE286" s="66">
        <f>IF('Smart Search'!F13=1,IFERROR(1/'Smart Search'!H13,0),0)</f>
        <v/>
      </c>
      <c r="AF286" s="66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66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66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66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66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66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66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66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66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66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66">
        <f>AF286*V286</f>
        <v/>
      </c>
      <c r="AQ286" s="66">
        <f>AG286*W286</f>
        <v/>
      </c>
      <c r="AR286" s="66">
        <f>AH286*X286</f>
        <v/>
      </c>
      <c r="AS286" s="66">
        <f>AI286*Y286</f>
        <v/>
      </c>
      <c r="AT286" s="66">
        <f>AJ286*Z286</f>
        <v/>
      </c>
      <c r="AU286" s="66">
        <f>AK286*AA286</f>
        <v/>
      </c>
      <c r="AV286" s="66">
        <f>AL286*AB286</f>
        <v/>
      </c>
      <c r="AW286" s="66">
        <f>AM286*AC286</f>
        <v/>
      </c>
      <c r="AX286" s="66">
        <f>AN286*AD286</f>
        <v/>
      </c>
      <c r="AY286" s="66">
        <f>AO286*AE286</f>
        <v/>
      </c>
      <c r="AZ286" s="66">
        <f>INDEX(Projects[Automation Equipment],285)&amp;""</f>
        <v/>
      </c>
      <c r="BA286" s="66">
        <f>IF(OR(A286="",'Smart Search'!H13=0),"",MAX(0,BE286*BF286*MAX(0,1-BG286)))</f>
        <v/>
      </c>
      <c r="BB286" s="66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66">
        <f>IF('Smart Search'!G13=1,IFERROR(1/'Smart Search'!H13,0),0)</f>
        <v/>
      </c>
      <c r="BD286" s="66">
        <f>BB286*BC286</f>
        <v/>
      </c>
      <c r="BE286" s="66">
        <f>AP286+AQ286+AR286+AS286+AT286+AU286+AV286+AW286+AX286+AY286+BD286</f>
        <v/>
      </c>
      <c r="BF286" s="5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5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5">
        <f>IF(AND(A286&lt;&gt;"",OR('Smart Search'!$L$5="",'Smart Search'!$L$5="All",TRIM(BZ286)=TRIM('Smart Search'!$L$5)),OR(TRIM('Smart Search'!$L$6)="",TRIM('Smart Search'!$L$6)="All",ISNUMBER(SEARCH(SUBSTITUTE(SUBSTITUTE(SUBSTITUTE(TRIM('Smart Search'!$L$6),"~","~~"),"*","~*"),"?","~?"),CA286))),OR('Smart Search'!$L$7="",AND(CB286&lt;&gt;0,CB286='Smart Search'!$L$7)),OR('Smart Search'!$L$8="",'Smart Search'!$L$8="All",TRIM(CC286)=TRIM('Smart Search'!$L$8))),IF(BA286="","",BA286+ROW()*0.0000000001),"")</f>
        <v/>
      </c>
      <c r="BI286" s="5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5">
        <f>IF(A286="","",N(INDEX(Projects[Mech Inst],285)))</f>
        <v/>
      </c>
      <c r="BK286" s="5">
        <f>IF(A286="","",N(INDEX(Projects[Elec Inst],285)))</f>
        <v/>
      </c>
      <c r="BL286" s="5">
        <f>IF(A286="","",N(INDEX(Projects[Project Management],285)))</f>
        <v/>
      </c>
      <c r="BM286" s="5">
        <f>IF(A286="","",N(INDEX(Projects[Systems Eng],285)))</f>
        <v/>
      </c>
      <c r="BN286" s="5">
        <f>IF(A286="","",N(INDEX(Projects[Mechanical Eng],285)))</f>
        <v/>
      </c>
      <c r="BO286" s="5">
        <f>IF(A286="","",N(INDEX(Projects[Structural Engineering],285)))</f>
        <v/>
      </c>
      <c r="BP286" s="5">
        <f>IF(A286="","",N(INDEX(Projects[Site Sup],285)))</f>
        <v/>
      </c>
      <c r="BQ286" s="5">
        <f>IF(A286="","",N(INDEX(Projects[Controls Commissioning],285)))</f>
        <v/>
      </c>
      <c r="BR286" s="5">
        <f>IF(A286="","",N(INDEX(Projects[Systems Commissioning],285)))</f>
        <v/>
      </c>
      <c r="BS286" s="5">
        <f>IF(A286="","",N(INDEX(Projects[Service Commissioning],285)))</f>
        <v/>
      </c>
      <c r="BT286" s="5">
        <f>IF(A286="","",N(INDEX(Projects[Controls Eng],285)))</f>
        <v/>
      </c>
      <c r="BU286" s="5">
        <f>IF(A286="","",N(INDEX(Projects[Controls Purchase],285)))</f>
        <v/>
      </c>
      <c r="BV286" s="5">
        <f>IF(A286="","",N(INDEX(Projects[Software Eng],285)))</f>
        <v/>
      </c>
      <c r="BW286" s="5">
        <f>IF(A286="","",N(INDEX(Projects[Misc],285)))</f>
        <v/>
      </c>
      <c r="BX286" s="5">
        <f>IF(A286="","",SUM(BJ286:BW286))</f>
        <v/>
      </c>
      <c r="BY286" s="5">
        <f>IF(A286="","",IFERROR(IF(ISNUMBER(U286),U286,VALUE(SUBSTITUTE(SUBSTITUTE(SUBSTITUTE(UPPER(TRIM(U286)),"M",""),",","")," ",""))),0))</f>
        <v/>
      </c>
      <c r="BZ286" s="5">
        <f>INDEX(Projects[Solution Type],285)&amp;""</f>
        <v/>
      </c>
      <c r="CA286" s="5">
        <f>INDEX(Projects[Client / Region],285)&amp;""</f>
        <v/>
      </c>
      <c r="CB286" s="5">
        <f>INDEX(Projects[Year],285)</f>
        <v/>
      </c>
      <c r="CC286" s="5">
        <f>INDEX(Projects[Won?],285)&amp;""</f>
        <v/>
      </c>
      <c r="CD286" s="5">
        <f>INDEX(Projects[Value (USD M)],285)</f>
        <v/>
      </c>
    </row>
    <row r="287" ht="15" customHeight="1" s="74">
      <c r="A287" s="66">
        <f>INDEX(Projects[Project ID *],286)&amp;""</f>
        <v/>
      </c>
      <c r="B287" s="66">
        <f>INDEX(Projects[Project Name *],286)&amp;""</f>
        <v/>
      </c>
      <c r="C287" s="66">
        <f>INDEX(Projects[MS Shuttles],286)</f>
        <v/>
      </c>
      <c r="D287" s="66">
        <f>INDEX(Projects[MS Tote Locations],286)</f>
        <v/>
      </c>
      <c r="E287" s="66">
        <f>INDEX(Projects[AS Robots],286)</f>
        <v/>
      </c>
      <c r="F287" s="66">
        <f>INDEX(Projects[AS Tote Locations],286)</f>
        <v/>
      </c>
      <c r="G287" s="66">
        <f>INDEX(Projects[PS Shuttles],286)</f>
        <v/>
      </c>
      <c r="H287" s="66">
        <f>INDEX(Projects[PS Pallet Locations],286)</f>
        <v/>
      </c>
      <c r="I287" s="66">
        <f>INDEX(Projects[SRM Cranes],286)</f>
        <v/>
      </c>
      <c r="J287" s="66">
        <f>INDEX(Projects[SRM Pallet Locations],286)</f>
        <v/>
      </c>
      <c r="K287" s="66">
        <f>INDEX(Projects[Case Conv (m)],286)</f>
        <v/>
      </c>
      <c r="L287" s="66">
        <f>INDEX(Projects[Pallet Conv (m)],286)</f>
        <v/>
      </c>
      <c r="M287" s="66">
        <f>INDEX(Projects[Mech Eng (wks)],286)</f>
        <v/>
      </c>
      <c r="N287" s="66">
        <f>INDEX(Projects[Controls Eng (wks)],286)</f>
        <v/>
      </c>
      <c r="O287" s="66">
        <f>INDEX(Projects[Systems Eng (wks)],286)</f>
        <v/>
      </c>
      <c r="P287" s="66">
        <f>INDEX(Projects[Software Eng (wks)],286)</f>
        <v/>
      </c>
      <c r="Q287" s="66">
        <f>INDEX(Projects[M&amp;E Installation (wks)],286)</f>
        <v/>
      </c>
      <c r="R287" s="66">
        <f>INDEX(Projects[Commissioning (wks)],286)</f>
        <v/>
      </c>
      <c r="S287" s="66">
        <f>INDEX(Projects[Total Timeline (wks)],286)</f>
        <v/>
      </c>
      <c r="T287" s="66">
        <f>INDEX(Projects[Currency],286)&amp;""</f>
        <v/>
      </c>
      <c r="U287" s="67">
        <f>INDEX(Projects[Value (M)],286)</f>
        <v/>
      </c>
      <c r="V287" s="66">
        <f>IF('Smart Search'!B13=1,IFERROR(1/'Smart Search'!H13,0),0)</f>
        <v/>
      </c>
      <c r="W287" s="66">
        <f>IF('Smart Search'!B13=1,IFERROR(1/'Smart Search'!H13,0),0)</f>
        <v/>
      </c>
      <c r="X287" s="66">
        <f>IF('Smart Search'!C13=1,IFERROR(1/'Smart Search'!H13,0),0)</f>
        <v/>
      </c>
      <c r="Y287" s="66">
        <f>IF('Smart Search'!C13=1,IFERROR(1/'Smart Search'!H13,0),0)</f>
        <v/>
      </c>
      <c r="Z287" s="66">
        <f>IF('Smart Search'!D13=1,IFERROR(1/'Smart Search'!H13,0),0)</f>
        <v/>
      </c>
      <c r="AA287" s="66">
        <f>IF('Smart Search'!D13=1,IFERROR(1/'Smart Search'!H13,0),0)</f>
        <v/>
      </c>
      <c r="AB287" s="66">
        <f>IF('Smart Search'!E13=1,IFERROR(1/'Smart Search'!H13,0),0)</f>
        <v/>
      </c>
      <c r="AC287" s="66">
        <f>IF('Smart Search'!E13=1,IFERROR(1/'Smart Search'!H13,0),0)</f>
        <v/>
      </c>
      <c r="AD287" s="66">
        <f>IF('Smart Search'!F13=1,IFERROR(1/'Smart Search'!H13,0),0)</f>
        <v/>
      </c>
      <c r="AE287" s="66">
        <f>IF('Smart Search'!F13=1,IFERROR(1/'Smart Search'!H13,0),0)</f>
        <v/>
      </c>
      <c r="AF287" s="66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66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66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66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66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66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66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66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66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66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66">
        <f>AF287*V287</f>
        <v/>
      </c>
      <c r="AQ287" s="66">
        <f>AG287*W287</f>
        <v/>
      </c>
      <c r="AR287" s="66">
        <f>AH287*X287</f>
        <v/>
      </c>
      <c r="AS287" s="66">
        <f>AI287*Y287</f>
        <v/>
      </c>
      <c r="AT287" s="66">
        <f>AJ287*Z287</f>
        <v/>
      </c>
      <c r="AU287" s="66">
        <f>AK287*AA287</f>
        <v/>
      </c>
      <c r="AV287" s="66">
        <f>AL287*AB287</f>
        <v/>
      </c>
      <c r="AW287" s="66">
        <f>AM287*AC287</f>
        <v/>
      </c>
      <c r="AX287" s="66">
        <f>AN287*AD287</f>
        <v/>
      </c>
      <c r="AY287" s="66">
        <f>AO287*AE287</f>
        <v/>
      </c>
      <c r="AZ287" s="66">
        <f>INDEX(Projects[Automation Equipment],286)&amp;""</f>
        <v/>
      </c>
      <c r="BA287" s="66">
        <f>IF(OR(A287="",'Smart Search'!H13=0),"",MAX(0,BE287*BF287*MAX(0,1-BG287)))</f>
        <v/>
      </c>
      <c r="BB287" s="66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66">
        <f>IF('Smart Search'!G13=1,IFERROR(1/'Smart Search'!H13,0),0)</f>
        <v/>
      </c>
      <c r="BD287" s="66">
        <f>BB287*BC287</f>
        <v/>
      </c>
      <c r="BE287" s="66">
        <f>AP287+AQ287+AR287+AS287+AT287+AU287+AV287+AW287+AX287+AY287+BD287</f>
        <v/>
      </c>
      <c r="BF287" s="5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5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5">
        <f>IF(AND(A287&lt;&gt;"",OR('Smart Search'!$L$5="",'Smart Search'!$L$5="All",TRIM(BZ287)=TRIM('Smart Search'!$L$5)),OR(TRIM('Smart Search'!$L$6)="",TRIM('Smart Search'!$L$6)="All",ISNUMBER(SEARCH(SUBSTITUTE(SUBSTITUTE(SUBSTITUTE(TRIM('Smart Search'!$L$6),"~","~~"),"*","~*"),"?","~?"),CA287))),OR('Smart Search'!$L$7="",AND(CB287&lt;&gt;0,CB287='Smart Search'!$L$7)),OR('Smart Search'!$L$8="",'Smart Search'!$L$8="All",TRIM(CC287)=TRIM('Smart Search'!$L$8))),IF(BA287="","",BA287+ROW()*0.0000000001),"")</f>
        <v/>
      </c>
      <c r="BI287" s="5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5">
        <f>IF(A287="","",N(INDEX(Projects[Mech Inst],286)))</f>
        <v/>
      </c>
      <c r="BK287" s="5">
        <f>IF(A287="","",N(INDEX(Projects[Elec Inst],286)))</f>
        <v/>
      </c>
      <c r="BL287" s="5">
        <f>IF(A287="","",N(INDEX(Projects[Project Management],286)))</f>
        <v/>
      </c>
      <c r="BM287" s="5">
        <f>IF(A287="","",N(INDEX(Projects[Systems Eng],286)))</f>
        <v/>
      </c>
      <c r="BN287" s="5">
        <f>IF(A287="","",N(INDEX(Projects[Mechanical Eng],286)))</f>
        <v/>
      </c>
      <c r="BO287" s="5">
        <f>IF(A287="","",N(INDEX(Projects[Structural Engineering],286)))</f>
        <v/>
      </c>
      <c r="BP287" s="5">
        <f>IF(A287="","",N(INDEX(Projects[Site Sup],286)))</f>
        <v/>
      </c>
      <c r="BQ287" s="5">
        <f>IF(A287="","",N(INDEX(Projects[Controls Commissioning],286)))</f>
        <v/>
      </c>
      <c r="BR287" s="5">
        <f>IF(A287="","",N(INDEX(Projects[Systems Commissioning],286)))</f>
        <v/>
      </c>
      <c r="BS287" s="5">
        <f>IF(A287="","",N(INDEX(Projects[Service Commissioning],286)))</f>
        <v/>
      </c>
      <c r="BT287" s="5">
        <f>IF(A287="","",N(INDEX(Projects[Controls Eng],286)))</f>
        <v/>
      </c>
      <c r="BU287" s="5">
        <f>IF(A287="","",N(INDEX(Projects[Controls Purchase],286)))</f>
        <v/>
      </c>
      <c r="BV287" s="5">
        <f>IF(A287="","",N(INDEX(Projects[Software Eng],286)))</f>
        <v/>
      </c>
      <c r="BW287" s="5">
        <f>IF(A287="","",N(INDEX(Projects[Misc],286)))</f>
        <v/>
      </c>
      <c r="BX287" s="5">
        <f>IF(A287="","",SUM(BJ287:BW287))</f>
        <v/>
      </c>
      <c r="BY287" s="5">
        <f>IF(A287="","",IFERROR(IF(ISNUMBER(U287),U287,VALUE(SUBSTITUTE(SUBSTITUTE(SUBSTITUTE(UPPER(TRIM(U287)),"M",""),",","")," ",""))),0))</f>
        <v/>
      </c>
      <c r="BZ287" s="5">
        <f>INDEX(Projects[Solution Type],286)&amp;""</f>
        <v/>
      </c>
      <c r="CA287" s="5">
        <f>INDEX(Projects[Client / Region],286)&amp;""</f>
        <v/>
      </c>
      <c r="CB287" s="5">
        <f>INDEX(Projects[Year],286)</f>
        <v/>
      </c>
      <c r="CC287" s="5">
        <f>INDEX(Projects[Won?],286)&amp;""</f>
        <v/>
      </c>
      <c r="CD287" s="5">
        <f>INDEX(Projects[Value (USD M)],286)</f>
        <v/>
      </c>
    </row>
    <row r="288" ht="15" customHeight="1" s="74">
      <c r="A288" s="66">
        <f>INDEX(Projects[Project ID *],287)&amp;""</f>
        <v/>
      </c>
      <c r="B288" s="66">
        <f>INDEX(Projects[Project Name *],287)&amp;""</f>
        <v/>
      </c>
      <c r="C288" s="66">
        <f>INDEX(Projects[MS Shuttles],287)</f>
        <v/>
      </c>
      <c r="D288" s="66">
        <f>INDEX(Projects[MS Tote Locations],287)</f>
        <v/>
      </c>
      <c r="E288" s="66">
        <f>INDEX(Projects[AS Robots],287)</f>
        <v/>
      </c>
      <c r="F288" s="66">
        <f>INDEX(Projects[AS Tote Locations],287)</f>
        <v/>
      </c>
      <c r="G288" s="66">
        <f>INDEX(Projects[PS Shuttles],287)</f>
        <v/>
      </c>
      <c r="H288" s="66">
        <f>INDEX(Projects[PS Pallet Locations],287)</f>
        <v/>
      </c>
      <c r="I288" s="66">
        <f>INDEX(Projects[SRM Cranes],287)</f>
        <v/>
      </c>
      <c r="J288" s="66">
        <f>INDEX(Projects[SRM Pallet Locations],287)</f>
        <v/>
      </c>
      <c r="K288" s="66">
        <f>INDEX(Projects[Case Conv (m)],287)</f>
        <v/>
      </c>
      <c r="L288" s="66">
        <f>INDEX(Projects[Pallet Conv (m)],287)</f>
        <v/>
      </c>
      <c r="M288" s="66">
        <f>INDEX(Projects[Mech Eng (wks)],287)</f>
        <v/>
      </c>
      <c r="N288" s="66">
        <f>INDEX(Projects[Controls Eng (wks)],287)</f>
        <v/>
      </c>
      <c r="O288" s="66">
        <f>INDEX(Projects[Systems Eng (wks)],287)</f>
        <v/>
      </c>
      <c r="P288" s="66">
        <f>INDEX(Projects[Software Eng (wks)],287)</f>
        <v/>
      </c>
      <c r="Q288" s="66">
        <f>INDEX(Projects[M&amp;E Installation (wks)],287)</f>
        <v/>
      </c>
      <c r="R288" s="66">
        <f>INDEX(Projects[Commissioning (wks)],287)</f>
        <v/>
      </c>
      <c r="S288" s="66">
        <f>INDEX(Projects[Total Timeline (wks)],287)</f>
        <v/>
      </c>
      <c r="T288" s="66">
        <f>INDEX(Projects[Currency],287)&amp;""</f>
        <v/>
      </c>
      <c r="U288" s="67">
        <f>INDEX(Projects[Value (M)],287)</f>
        <v/>
      </c>
      <c r="V288" s="66">
        <f>IF('Smart Search'!B13=1,IFERROR(1/'Smart Search'!H13,0),0)</f>
        <v/>
      </c>
      <c r="W288" s="66">
        <f>IF('Smart Search'!B13=1,IFERROR(1/'Smart Search'!H13,0),0)</f>
        <v/>
      </c>
      <c r="X288" s="66">
        <f>IF('Smart Search'!C13=1,IFERROR(1/'Smart Search'!H13,0),0)</f>
        <v/>
      </c>
      <c r="Y288" s="66">
        <f>IF('Smart Search'!C13=1,IFERROR(1/'Smart Search'!H13,0),0)</f>
        <v/>
      </c>
      <c r="Z288" s="66">
        <f>IF('Smart Search'!D13=1,IFERROR(1/'Smart Search'!H13,0),0)</f>
        <v/>
      </c>
      <c r="AA288" s="66">
        <f>IF('Smart Search'!D13=1,IFERROR(1/'Smart Search'!H13,0),0)</f>
        <v/>
      </c>
      <c r="AB288" s="66">
        <f>IF('Smart Search'!E13=1,IFERROR(1/'Smart Search'!H13,0),0)</f>
        <v/>
      </c>
      <c r="AC288" s="66">
        <f>IF('Smart Search'!E13=1,IFERROR(1/'Smart Search'!H13,0),0)</f>
        <v/>
      </c>
      <c r="AD288" s="66">
        <f>IF('Smart Search'!F13=1,IFERROR(1/'Smart Search'!H13,0),0)</f>
        <v/>
      </c>
      <c r="AE288" s="66">
        <f>IF('Smart Search'!F13=1,IFERROR(1/'Smart Search'!H13,0),0)</f>
        <v/>
      </c>
      <c r="AF288" s="66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66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66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66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66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66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66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66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66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66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66">
        <f>AF288*V288</f>
        <v/>
      </c>
      <c r="AQ288" s="66">
        <f>AG288*W288</f>
        <v/>
      </c>
      <c r="AR288" s="66">
        <f>AH288*X288</f>
        <v/>
      </c>
      <c r="AS288" s="66">
        <f>AI288*Y288</f>
        <v/>
      </c>
      <c r="AT288" s="66">
        <f>AJ288*Z288</f>
        <v/>
      </c>
      <c r="AU288" s="66">
        <f>AK288*AA288</f>
        <v/>
      </c>
      <c r="AV288" s="66">
        <f>AL288*AB288</f>
        <v/>
      </c>
      <c r="AW288" s="66">
        <f>AM288*AC288</f>
        <v/>
      </c>
      <c r="AX288" s="66">
        <f>AN288*AD288</f>
        <v/>
      </c>
      <c r="AY288" s="66">
        <f>AO288*AE288</f>
        <v/>
      </c>
      <c r="AZ288" s="66">
        <f>INDEX(Projects[Automation Equipment],287)&amp;""</f>
        <v/>
      </c>
      <c r="BA288" s="66">
        <f>IF(OR(A288="",'Smart Search'!H13=0),"",MAX(0,BE288*BF288*MAX(0,1-BG288)))</f>
        <v/>
      </c>
      <c r="BB288" s="66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66">
        <f>IF('Smart Search'!G13=1,IFERROR(1/'Smart Search'!H13,0),0)</f>
        <v/>
      </c>
      <c r="BD288" s="66">
        <f>BB288*BC288</f>
        <v/>
      </c>
      <c r="BE288" s="66">
        <f>AP288+AQ288+AR288+AS288+AT288+AU288+AV288+AW288+AX288+AY288+BD288</f>
        <v/>
      </c>
      <c r="BF288" s="5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5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5">
        <f>IF(AND(A288&lt;&gt;"",OR('Smart Search'!$L$5="",'Smart Search'!$L$5="All",TRIM(BZ288)=TRIM('Smart Search'!$L$5)),OR(TRIM('Smart Search'!$L$6)="",TRIM('Smart Search'!$L$6)="All",ISNUMBER(SEARCH(SUBSTITUTE(SUBSTITUTE(SUBSTITUTE(TRIM('Smart Search'!$L$6),"~","~~"),"*","~*"),"?","~?"),CA288))),OR('Smart Search'!$L$7="",AND(CB288&lt;&gt;0,CB288='Smart Search'!$L$7)),OR('Smart Search'!$L$8="",'Smart Search'!$L$8="All",TRIM(CC288)=TRIM('Smart Search'!$L$8))),IF(BA288="","",BA288+ROW()*0.0000000001),"")</f>
        <v/>
      </c>
      <c r="BI288" s="5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5">
        <f>IF(A288="","",N(INDEX(Projects[Mech Inst],287)))</f>
        <v/>
      </c>
      <c r="BK288" s="5">
        <f>IF(A288="","",N(INDEX(Projects[Elec Inst],287)))</f>
        <v/>
      </c>
      <c r="BL288" s="5">
        <f>IF(A288="","",N(INDEX(Projects[Project Management],287)))</f>
        <v/>
      </c>
      <c r="BM288" s="5">
        <f>IF(A288="","",N(INDEX(Projects[Systems Eng],287)))</f>
        <v/>
      </c>
      <c r="BN288" s="5">
        <f>IF(A288="","",N(INDEX(Projects[Mechanical Eng],287)))</f>
        <v/>
      </c>
      <c r="BO288" s="5">
        <f>IF(A288="","",N(INDEX(Projects[Structural Engineering],287)))</f>
        <v/>
      </c>
      <c r="BP288" s="5">
        <f>IF(A288="","",N(INDEX(Projects[Site Sup],287)))</f>
        <v/>
      </c>
      <c r="BQ288" s="5">
        <f>IF(A288="","",N(INDEX(Projects[Controls Commissioning],287)))</f>
        <v/>
      </c>
      <c r="BR288" s="5">
        <f>IF(A288="","",N(INDEX(Projects[Systems Commissioning],287)))</f>
        <v/>
      </c>
      <c r="BS288" s="5">
        <f>IF(A288="","",N(INDEX(Projects[Service Commissioning],287)))</f>
        <v/>
      </c>
      <c r="BT288" s="5">
        <f>IF(A288="","",N(INDEX(Projects[Controls Eng],287)))</f>
        <v/>
      </c>
      <c r="BU288" s="5">
        <f>IF(A288="","",N(INDEX(Projects[Controls Purchase],287)))</f>
        <v/>
      </c>
      <c r="BV288" s="5">
        <f>IF(A288="","",N(INDEX(Projects[Software Eng],287)))</f>
        <v/>
      </c>
      <c r="BW288" s="5">
        <f>IF(A288="","",N(INDEX(Projects[Misc],287)))</f>
        <v/>
      </c>
      <c r="BX288" s="5">
        <f>IF(A288="","",SUM(BJ288:BW288))</f>
        <v/>
      </c>
      <c r="BY288" s="5">
        <f>IF(A288="","",IFERROR(IF(ISNUMBER(U288),U288,VALUE(SUBSTITUTE(SUBSTITUTE(SUBSTITUTE(UPPER(TRIM(U288)),"M",""),",","")," ",""))),0))</f>
        <v/>
      </c>
      <c r="BZ288" s="5">
        <f>INDEX(Projects[Solution Type],287)&amp;""</f>
        <v/>
      </c>
      <c r="CA288" s="5">
        <f>INDEX(Projects[Client / Region],287)&amp;""</f>
        <v/>
      </c>
      <c r="CB288" s="5">
        <f>INDEX(Projects[Year],287)</f>
        <v/>
      </c>
      <c r="CC288" s="5">
        <f>INDEX(Projects[Won?],287)&amp;""</f>
        <v/>
      </c>
      <c r="CD288" s="5">
        <f>INDEX(Projects[Value (USD M)],287)</f>
        <v/>
      </c>
    </row>
    <row r="289" ht="15" customHeight="1" s="74">
      <c r="A289" s="66">
        <f>INDEX(Projects[Project ID *],288)&amp;""</f>
        <v/>
      </c>
      <c r="B289" s="66">
        <f>INDEX(Projects[Project Name *],288)&amp;""</f>
        <v/>
      </c>
      <c r="C289" s="66">
        <f>INDEX(Projects[MS Shuttles],288)</f>
        <v/>
      </c>
      <c r="D289" s="66">
        <f>INDEX(Projects[MS Tote Locations],288)</f>
        <v/>
      </c>
      <c r="E289" s="66">
        <f>INDEX(Projects[AS Robots],288)</f>
        <v/>
      </c>
      <c r="F289" s="66">
        <f>INDEX(Projects[AS Tote Locations],288)</f>
        <v/>
      </c>
      <c r="G289" s="66">
        <f>INDEX(Projects[PS Shuttles],288)</f>
        <v/>
      </c>
      <c r="H289" s="66">
        <f>INDEX(Projects[PS Pallet Locations],288)</f>
        <v/>
      </c>
      <c r="I289" s="66">
        <f>INDEX(Projects[SRM Cranes],288)</f>
        <v/>
      </c>
      <c r="J289" s="66">
        <f>INDEX(Projects[SRM Pallet Locations],288)</f>
        <v/>
      </c>
      <c r="K289" s="66">
        <f>INDEX(Projects[Case Conv (m)],288)</f>
        <v/>
      </c>
      <c r="L289" s="66">
        <f>INDEX(Projects[Pallet Conv (m)],288)</f>
        <v/>
      </c>
      <c r="M289" s="66">
        <f>INDEX(Projects[Mech Eng (wks)],288)</f>
        <v/>
      </c>
      <c r="N289" s="66">
        <f>INDEX(Projects[Controls Eng (wks)],288)</f>
        <v/>
      </c>
      <c r="O289" s="66">
        <f>INDEX(Projects[Systems Eng (wks)],288)</f>
        <v/>
      </c>
      <c r="P289" s="66">
        <f>INDEX(Projects[Software Eng (wks)],288)</f>
        <v/>
      </c>
      <c r="Q289" s="66">
        <f>INDEX(Projects[M&amp;E Installation (wks)],288)</f>
        <v/>
      </c>
      <c r="R289" s="66">
        <f>INDEX(Projects[Commissioning (wks)],288)</f>
        <v/>
      </c>
      <c r="S289" s="66">
        <f>INDEX(Projects[Total Timeline (wks)],288)</f>
        <v/>
      </c>
      <c r="T289" s="66">
        <f>INDEX(Projects[Currency],288)&amp;""</f>
        <v/>
      </c>
      <c r="U289" s="67">
        <f>INDEX(Projects[Value (M)],288)</f>
        <v/>
      </c>
      <c r="V289" s="66">
        <f>IF('Smart Search'!B13=1,IFERROR(1/'Smart Search'!H13,0),0)</f>
        <v/>
      </c>
      <c r="W289" s="66">
        <f>IF('Smart Search'!B13=1,IFERROR(1/'Smart Search'!H13,0),0)</f>
        <v/>
      </c>
      <c r="X289" s="66">
        <f>IF('Smart Search'!C13=1,IFERROR(1/'Smart Search'!H13,0),0)</f>
        <v/>
      </c>
      <c r="Y289" s="66">
        <f>IF('Smart Search'!C13=1,IFERROR(1/'Smart Search'!H13,0),0)</f>
        <v/>
      </c>
      <c r="Z289" s="66">
        <f>IF('Smart Search'!D13=1,IFERROR(1/'Smart Search'!H13,0),0)</f>
        <v/>
      </c>
      <c r="AA289" s="66">
        <f>IF('Smart Search'!D13=1,IFERROR(1/'Smart Search'!H13,0),0)</f>
        <v/>
      </c>
      <c r="AB289" s="66">
        <f>IF('Smart Search'!E13=1,IFERROR(1/'Smart Search'!H13,0),0)</f>
        <v/>
      </c>
      <c r="AC289" s="66">
        <f>IF('Smart Search'!E13=1,IFERROR(1/'Smart Search'!H13,0),0)</f>
        <v/>
      </c>
      <c r="AD289" s="66">
        <f>IF('Smart Search'!F13=1,IFERROR(1/'Smart Search'!H13,0),0)</f>
        <v/>
      </c>
      <c r="AE289" s="66">
        <f>IF('Smart Search'!F13=1,IFERROR(1/'Smart Search'!H13,0),0)</f>
        <v/>
      </c>
      <c r="AF289" s="66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66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66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66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66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66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66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66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66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66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66">
        <f>AF289*V289</f>
        <v/>
      </c>
      <c r="AQ289" s="66">
        <f>AG289*W289</f>
        <v/>
      </c>
      <c r="AR289" s="66">
        <f>AH289*X289</f>
        <v/>
      </c>
      <c r="AS289" s="66">
        <f>AI289*Y289</f>
        <v/>
      </c>
      <c r="AT289" s="66">
        <f>AJ289*Z289</f>
        <v/>
      </c>
      <c r="AU289" s="66">
        <f>AK289*AA289</f>
        <v/>
      </c>
      <c r="AV289" s="66">
        <f>AL289*AB289</f>
        <v/>
      </c>
      <c r="AW289" s="66">
        <f>AM289*AC289</f>
        <v/>
      </c>
      <c r="AX289" s="66">
        <f>AN289*AD289</f>
        <v/>
      </c>
      <c r="AY289" s="66">
        <f>AO289*AE289</f>
        <v/>
      </c>
      <c r="AZ289" s="66">
        <f>INDEX(Projects[Automation Equipment],288)&amp;""</f>
        <v/>
      </c>
      <c r="BA289" s="66">
        <f>IF(OR(A289="",'Smart Search'!H13=0),"",MAX(0,BE289*BF289*MAX(0,1-BG289)))</f>
        <v/>
      </c>
      <c r="BB289" s="66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66">
        <f>IF('Smart Search'!G13=1,IFERROR(1/'Smart Search'!H13,0),0)</f>
        <v/>
      </c>
      <c r="BD289" s="66">
        <f>BB289*BC289</f>
        <v/>
      </c>
      <c r="BE289" s="66">
        <f>AP289+AQ289+AR289+AS289+AT289+AU289+AV289+AW289+AX289+AY289+BD289</f>
        <v/>
      </c>
      <c r="BF289" s="5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5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5">
        <f>IF(AND(A289&lt;&gt;"",OR('Smart Search'!$L$5="",'Smart Search'!$L$5="All",TRIM(BZ289)=TRIM('Smart Search'!$L$5)),OR(TRIM('Smart Search'!$L$6)="",TRIM('Smart Search'!$L$6)="All",ISNUMBER(SEARCH(SUBSTITUTE(SUBSTITUTE(SUBSTITUTE(TRIM('Smart Search'!$L$6),"~","~~"),"*","~*"),"?","~?"),CA289))),OR('Smart Search'!$L$7="",AND(CB289&lt;&gt;0,CB289='Smart Search'!$L$7)),OR('Smart Search'!$L$8="",'Smart Search'!$L$8="All",TRIM(CC289)=TRIM('Smart Search'!$L$8))),IF(BA289="","",BA289+ROW()*0.0000000001),"")</f>
        <v/>
      </c>
      <c r="BI289" s="5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5">
        <f>IF(A289="","",N(INDEX(Projects[Mech Inst],288)))</f>
        <v/>
      </c>
      <c r="BK289" s="5">
        <f>IF(A289="","",N(INDEX(Projects[Elec Inst],288)))</f>
        <v/>
      </c>
      <c r="BL289" s="5">
        <f>IF(A289="","",N(INDEX(Projects[Project Management],288)))</f>
        <v/>
      </c>
      <c r="BM289" s="5">
        <f>IF(A289="","",N(INDEX(Projects[Systems Eng],288)))</f>
        <v/>
      </c>
      <c r="BN289" s="5">
        <f>IF(A289="","",N(INDEX(Projects[Mechanical Eng],288)))</f>
        <v/>
      </c>
      <c r="BO289" s="5">
        <f>IF(A289="","",N(INDEX(Projects[Structural Engineering],288)))</f>
        <v/>
      </c>
      <c r="BP289" s="5">
        <f>IF(A289="","",N(INDEX(Projects[Site Sup],288)))</f>
        <v/>
      </c>
      <c r="BQ289" s="5">
        <f>IF(A289="","",N(INDEX(Projects[Controls Commissioning],288)))</f>
        <v/>
      </c>
      <c r="BR289" s="5">
        <f>IF(A289="","",N(INDEX(Projects[Systems Commissioning],288)))</f>
        <v/>
      </c>
      <c r="BS289" s="5">
        <f>IF(A289="","",N(INDEX(Projects[Service Commissioning],288)))</f>
        <v/>
      </c>
      <c r="BT289" s="5">
        <f>IF(A289="","",N(INDEX(Projects[Controls Eng],288)))</f>
        <v/>
      </c>
      <c r="BU289" s="5">
        <f>IF(A289="","",N(INDEX(Projects[Controls Purchase],288)))</f>
        <v/>
      </c>
      <c r="BV289" s="5">
        <f>IF(A289="","",N(INDEX(Projects[Software Eng],288)))</f>
        <v/>
      </c>
      <c r="BW289" s="5">
        <f>IF(A289="","",N(INDEX(Projects[Misc],288)))</f>
        <v/>
      </c>
      <c r="BX289" s="5">
        <f>IF(A289="","",SUM(BJ289:BW289))</f>
        <v/>
      </c>
      <c r="BY289" s="5">
        <f>IF(A289="","",IFERROR(IF(ISNUMBER(U289),U289,VALUE(SUBSTITUTE(SUBSTITUTE(SUBSTITUTE(UPPER(TRIM(U289)),"M",""),",","")," ",""))),0))</f>
        <v/>
      </c>
      <c r="BZ289" s="5">
        <f>INDEX(Projects[Solution Type],288)&amp;""</f>
        <v/>
      </c>
      <c r="CA289" s="5">
        <f>INDEX(Projects[Client / Region],288)&amp;""</f>
        <v/>
      </c>
      <c r="CB289" s="5">
        <f>INDEX(Projects[Year],288)</f>
        <v/>
      </c>
      <c r="CC289" s="5">
        <f>INDEX(Projects[Won?],288)&amp;""</f>
        <v/>
      </c>
      <c r="CD289" s="5">
        <f>INDEX(Projects[Value (USD M)],288)</f>
        <v/>
      </c>
    </row>
    <row r="290" ht="15" customHeight="1" s="74">
      <c r="A290" s="66">
        <f>INDEX(Projects[Project ID *],289)&amp;""</f>
        <v/>
      </c>
      <c r="B290" s="66">
        <f>INDEX(Projects[Project Name *],289)&amp;""</f>
        <v/>
      </c>
      <c r="C290" s="66">
        <f>INDEX(Projects[MS Shuttles],289)</f>
        <v/>
      </c>
      <c r="D290" s="66">
        <f>INDEX(Projects[MS Tote Locations],289)</f>
        <v/>
      </c>
      <c r="E290" s="66">
        <f>INDEX(Projects[AS Robots],289)</f>
        <v/>
      </c>
      <c r="F290" s="66">
        <f>INDEX(Projects[AS Tote Locations],289)</f>
        <v/>
      </c>
      <c r="G290" s="66">
        <f>INDEX(Projects[PS Shuttles],289)</f>
        <v/>
      </c>
      <c r="H290" s="66">
        <f>INDEX(Projects[PS Pallet Locations],289)</f>
        <v/>
      </c>
      <c r="I290" s="66">
        <f>INDEX(Projects[SRM Cranes],289)</f>
        <v/>
      </c>
      <c r="J290" s="66">
        <f>INDEX(Projects[SRM Pallet Locations],289)</f>
        <v/>
      </c>
      <c r="K290" s="66">
        <f>INDEX(Projects[Case Conv (m)],289)</f>
        <v/>
      </c>
      <c r="L290" s="66">
        <f>INDEX(Projects[Pallet Conv (m)],289)</f>
        <v/>
      </c>
      <c r="M290" s="66">
        <f>INDEX(Projects[Mech Eng (wks)],289)</f>
        <v/>
      </c>
      <c r="N290" s="66">
        <f>INDEX(Projects[Controls Eng (wks)],289)</f>
        <v/>
      </c>
      <c r="O290" s="66">
        <f>INDEX(Projects[Systems Eng (wks)],289)</f>
        <v/>
      </c>
      <c r="P290" s="66">
        <f>INDEX(Projects[Software Eng (wks)],289)</f>
        <v/>
      </c>
      <c r="Q290" s="66">
        <f>INDEX(Projects[M&amp;E Installation (wks)],289)</f>
        <v/>
      </c>
      <c r="R290" s="66">
        <f>INDEX(Projects[Commissioning (wks)],289)</f>
        <v/>
      </c>
      <c r="S290" s="66">
        <f>INDEX(Projects[Total Timeline (wks)],289)</f>
        <v/>
      </c>
      <c r="T290" s="66">
        <f>INDEX(Projects[Currency],289)&amp;""</f>
        <v/>
      </c>
      <c r="U290" s="67">
        <f>INDEX(Projects[Value (M)],289)</f>
        <v/>
      </c>
      <c r="V290" s="66">
        <f>IF('Smart Search'!B13=1,IFERROR(1/'Smart Search'!H13,0),0)</f>
        <v/>
      </c>
      <c r="W290" s="66">
        <f>IF('Smart Search'!B13=1,IFERROR(1/'Smart Search'!H13,0),0)</f>
        <v/>
      </c>
      <c r="X290" s="66">
        <f>IF('Smart Search'!C13=1,IFERROR(1/'Smart Search'!H13,0),0)</f>
        <v/>
      </c>
      <c r="Y290" s="66">
        <f>IF('Smart Search'!C13=1,IFERROR(1/'Smart Search'!H13,0),0)</f>
        <v/>
      </c>
      <c r="Z290" s="66">
        <f>IF('Smart Search'!D13=1,IFERROR(1/'Smart Search'!H13,0),0)</f>
        <v/>
      </c>
      <c r="AA290" s="66">
        <f>IF('Smart Search'!D13=1,IFERROR(1/'Smart Search'!H13,0),0)</f>
        <v/>
      </c>
      <c r="AB290" s="66">
        <f>IF('Smart Search'!E13=1,IFERROR(1/'Smart Search'!H13,0),0)</f>
        <v/>
      </c>
      <c r="AC290" s="66">
        <f>IF('Smart Search'!E13=1,IFERROR(1/'Smart Search'!H13,0),0)</f>
        <v/>
      </c>
      <c r="AD290" s="66">
        <f>IF('Smart Search'!F13=1,IFERROR(1/'Smart Search'!H13,0),0)</f>
        <v/>
      </c>
      <c r="AE290" s="66">
        <f>IF('Smart Search'!F13=1,IFERROR(1/'Smart Search'!H13,0),0)</f>
        <v/>
      </c>
      <c r="AF290" s="66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66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66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66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66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66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66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66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66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66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66">
        <f>AF290*V290</f>
        <v/>
      </c>
      <c r="AQ290" s="66">
        <f>AG290*W290</f>
        <v/>
      </c>
      <c r="AR290" s="66">
        <f>AH290*X290</f>
        <v/>
      </c>
      <c r="AS290" s="66">
        <f>AI290*Y290</f>
        <v/>
      </c>
      <c r="AT290" s="66">
        <f>AJ290*Z290</f>
        <v/>
      </c>
      <c r="AU290" s="66">
        <f>AK290*AA290</f>
        <v/>
      </c>
      <c r="AV290" s="66">
        <f>AL290*AB290</f>
        <v/>
      </c>
      <c r="AW290" s="66">
        <f>AM290*AC290</f>
        <v/>
      </c>
      <c r="AX290" s="66">
        <f>AN290*AD290</f>
        <v/>
      </c>
      <c r="AY290" s="66">
        <f>AO290*AE290</f>
        <v/>
      </c>
      <c r="AZ290" s="66">
        <f>INDEX(Projects[Automation Equipment],289)&amp;""</f>
        <v/>
      </c>
      <c r="BA290" s="66">
        <f>IF(OR(A290="",'Smart Search'!H13=0),"",MAX(0,BE290*BF290*MAX(0,1-BG290)))</f>
        <v/>
      </c>
      <c r="BB290" s="66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66">
        <f>IF('Smart Search'!G13=1,IFERROR(1/'Smart Search'!H13,0),0)</f>
        <v/>
      </c>
      <c r="BD290" s="66">
        <f>BB290*BC290</f>
        <v/>
      </c>
      <c r="BE290" s="66">
        <f>AP290+AQ290+AR290+AS290+AT290+AU290+AV290+AW290+AX290+AY290+BD290</f>
        <v/>
      </c>
      <c r="BF290" s="5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5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5">
        <f>IF(AND(A290&lt;&gt;"",OR('Smart Search'!$L$5="",'Smart Search'!$L$5="All",TRIM(BZ290)=TRIM('Smart Search'!$L$5)),OR(TRIM('Smart Search'!$L$6)="",TRIM('Smart Search'!$L$6)="All",ISNUMBER(SEARCH(SUBSTITUTE(SUBSTITUTE(SUBSTITUTE(TRIM('Smart Search'!$L$6),"~","~~"),"*","~*"),"?","~?"),CA290))),OR('Smart Search'!$L$7="",AND(CB290&lt;&gt;0,CB290='Smart Search'!$L$7)),OR('Smart Search'!$L$8="",'Smart Search'!$L$8="All",TRIM(CC290)=TRIM('Smart Search'!$L$8))),IF(BA290="","",BA290+ROW()*0.0000000001),"")</f>
        <v/>
      </c>
      <c r="BI290" s="5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5">
        <f>IF(A290="","",N(INDEX(Projects[Mech Inst],289)))</f>
        <v/>
      </c>
      <c r="BK290" s="5">
        <f>IF(A290="","",N(INDEX(Projects[Elec Inst],289)))</f>
        <v/>
      </c>
      <c r="BL290" s="5">
        <f>IF(A290="","",N(INDEX(Projects[Project Management],289)))</f>
        <v/>
      </c>
      <c r="BM290" s="5">
        <f>IF(A290="","",N(INDEX(Projects[Systems Eng],289)))</f>
        <v/>
      </c>
      <c r="BN290" s="5">
        <f>IF(A290="","",N(INDEX(Projects[Mechanical Eng],289)))</f>
        <v/>
      </c>
      <c r="BO290" s="5">
        <f>IF(A290="","",N(INDEX(Projects[Structural Engineering],289)))</f>
        <v/>
      </c>
      <c r="BP290" s="5">
        <f>IF(A290="","",N(INDEX(Projects[Site Sup],289)))</f>
        <v/>
      </c>
      <c r="BQ290" s="5">
        <f>IF(A290="","",N(INDEX(Projects[Controls Commissioning],289)))</f>
        <v/>
      </c>
      <c r="BR290" s="5">
        <f>IF(A290="","",N(INDEX(Projects[Systems Commissioning],289)))</f>
        <v/>
      </c>
      <c r="BS290" s="5">
        <f>IF(A290="","",N(INDEX(Projects[Service Commissioning],289)))</f>
        <v/>
      </c>
      <c r="BT290" s="5">
        <f>IF(A290="","",N(INDEX(Projects[Controls Eng],289)))</f>
        <v/>
      </c>
      <c r="BU290" s="5">
        <f>IF(A290="","",N(INDEX(Projects[Controls Purchase],289)))</f>
        <v/>
      </c>
      <c r="BV290" s="5">
        <f>IF(A290="","",N(INDEX(Projects[Software Eng],289)))</f>
        <v/>
      </c>
      <c r="BW290" s="5">
        <f>IF(A290="","",N(INDEX(Projects[Misc],289)))</f>
        <v/>
      </c>
      <c r="BX290" s="5">
        <f>IF(A290="","",SUM(BJ290:BW290))</f>
        <v/>
      </c>
      <c r="BY290" s="5">
        <f>IF(A290="","",IFERROR(IF(ISNUMBER(U290),U290,VALUE(SUBSTITUTE(SUBSTITUTE(SUBSTITUTE(UPPER(TRIM(U290)),"M",""),",","")," ",""))),0))</f>
        <v/>
      </c>
      <c r="BZ290" s="5">
        <f>INDEX(Projects[Solution Type],289)&amp;""</f>
        <v/>
      </c>
      <c r="CA290" s="5">
        <f>INDEX(Projects[Client / Region],289)&amp;""</f>
        <v/>
      </c>
      <c r="CB290" s="5">
        <f>INDEX(Projects[Year],289)</f>
        <v/>
      </c>
      <c r="CC290" s="5">
        <f>INDEX(Projects[Won?],289)&amp;""</f>
        <v/>
      </c>
      <c r="CD290" s="5">
        <f>INDEX(Projects[Value (USD M)],289)</f>
        <v/>
      </c>
    </row>
    <row r="291" ht="15" customHeight="1" s="74">
      <c r="A291" s="66">
        <f>INDEX(Projects[Project ID *],290)&amp;""</f>
        <v/>
      </c>
      <c r="B291" s="66">
        <f>INDEX(Projects[Project Name *],290)&amp;""</f>
        <v/>
      </c>
      <c r="C291" s="66">
        <f>INDEX(Projects[MS Shuttles],290)</f>
        <v/>
      </c>
      <c r="D291" s="66">
        <f>INDEX(Projects[MS Tote Locations],290)</f>
        <v/>
      </c>
      <c r="E291" s="66">
        <f>INDEX(Projects[AS Robots],290)</f>
        <v/>
      </c>
      <c r="F291" s="66">
        <f>INDEX(Projects[AS Tote Locations],290)</f>
        <v/>
      </c>
      <c r="G291" s="66">
        <f>INDEX(Projects[PS Shuttles],290)</f>
        <v/>
      </c>
      <c r="H291" s="66">
        <f>INDEX(Projects[PS Pallet Locations],290)</f>
        <v/>
      </c>
      <c r="I291" s="66">
        <f>INDEX(Projects[SRM Cranes],290)</f>
        <v/>
      </c>
      <c r="J291" s="66">
        <f>INDEX(Projects[SRM Pallet Locations],290)</f>
        <v/>
      </c>
      <c r="K291" s="66">
        <f>INDEX(Projects[Case Conv (m)],290)</f>
        <v/>
      </c>
      <c r="L291" s="66">
        <f>INDEX(Projects[Pallet Conv (m)],290)</f>
        <v/>
      </c>
      <c r="M291" s="66">
        <f>INDEX(Projects[Mech Eng (wks)],290)</f>
        <v/>
      </c>
      <c r="N291" s="66">
        <f>INDEX(Projects[Controls Eng (wks)],290)</f>
        <v/>
      </c>
      <c r="O291" s="66">
        <f>INDEX(Projects[Systems Eng (wks)],290)</f>
        <v/>
      </c>
      <c r="P291" s="66">
        <f>INDEX(Projects[Software Eng (wks)],290)</f>
        <v/>
      </c>
      <c r="Q291" s="66">
        <f>INDEX(Projects[M&amp;E Installation (wks)],290)</f>
        <v/>
      </c>
      <c r="R291" s="66">
        <f>INDEX(Projects[Commissioning (wks)],290)</f>
        <v/>
      </c>
      <c r="S291" s="66">
        <f>INDEX(Projects[Total Timeline (wks)],290)</f>
        <v/>
      </c>
      <c r="T291" s="66">
        <f>INDEX(Projects[Currency],290)&amp;""</f>
        <v/>
      </c>
      <c r="U291" s="67">
        <f>INDEX(Projects[Value (M)],290)</f>
        <v/>
      </c>
      <c r="V291" s="66">
        <f>IF('Smart Search'!B13=1,IFERROR(1/'Smart Search'!H13,0),0)</f>
        <v/>
      </c>
      <c r="W291" s="66">
        <f>IF('Smart Search'!B13=1,IFERROR(1/'Smart Search'!H13,0),0)</f>
        <v/>
      </c>
      <c r="X291" s="66">
        <f>IF('Smart Search'!C13=1,IFERROR(1/'Smart Search'!H13,0),0)</f>
        <v/>
      </c>
      <c r="Y291" s="66">
        <f>IF('Smart Search'!C13=1,IFERROR(1/'Smart Search'!H13,0),0)</f>
        <v/>
      </c>
      <c r="Z291" s="66">
        <f>IF('Smart Search'!D13=1,IFERROR(1/'Smart Search'!H13,0),0)</f>
        <v/>
      </c>
      <c r="AA291" s="66">
        <f>IF('Smart Search'!D13=1,IFERROR(1/'Smart Search'!H13,0),0)</f>
        <v/>
      </c>
      <c r="AB291" s="66">
        <f>IF('Smart Search'!E13=1,IFERROR(1/'Smart Search'!H13,0),0)</f>
        <v/>
      </c>
      <c r="AC291" s="66">
        <f>IF('Smart Search'!E13=1,IFERROR(1/'Smart Search'!H13,0),0)</f>
        <v/>
      </c>
      <c r="AD291" s="66">
        <f>IF('Smart Search'!F13=1,IFERROR(1/'Smart Search'!H13,0),0)</f>
        <v/>
      </c>
      <c r="AE291" s="66">
        <f>IF('Smart Search'!F13=1,IFERROR(1/'Smart Search'!H13,0),0)</f>
        <v/>
      </c>
      <c r="AF291" s="66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66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66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66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66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66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66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66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66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66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66">
        <f>AF291*V291</f>
        <v/>
      </c>
      <c r="AQ291" s="66">
        <f>AG291*W291</f>
        <v/>
      </c>
      <c r="AR291" s="66">
        <f>AH291*X291</f>
        <v/>
      </c>
      <c r="AS291" s="66">
        <f>AI291*Y291</f>
        <v/>
      </c>
      <c r="AT291" s="66">
        <f>AJ291*Z291</f>
        <v/>
      </c>
      <c r="AU291" s="66">
        <f>AK291*AA291</f>
        <v/>
      </c>
      <c r="AV291" s="66">
        <f>AL291*AB291</f>
        <v/>
      </c>
      <c r="AW291" s="66">
        <f>AM291*AC291</f>
        <v/>
      </c>
      <c r="AX291" s="66">
        <f>AN291*AD291</f>
        <v/>
      </c>
      <c r="AY291" s="66">
        <f>AO291*AE291</f>
        <v/>
      </c>
      <c r="AZ291" s="66">
        <f>INDEX(Projects[Automation Equipment],290)&amp;""</f>
        <v/>
      </c>
      <c r="BA291" s="66">
        <f>IF(OR(A291="",'Smart Search'!H13=0),"",MAX(0,BE291*BF291*MAX(0,1-BG291)))</f>
        <v/>
      </c>
      <c r="BB291" s="66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66">
        <f>IF('Smart Search'!G13=1,IFERROR(1/'Smart Search'!H13,0),0)</f>
        <v/>
      </c>
      <c r="BD291" s="66">
        <f>BB291*BC291</f>
        <v/>
      </c>
      <c r="BE291" s="66">
        <f>AP291+AQ291+AR291+AS291+AT291+AU291+AV291+AW291+AX291+AY291+BD291</f>
        <v/>
      </c>
      <c r="BF291" s="5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5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5">
        <f>IF(AND(A291&lt;&gt;"",OR('Smart Search'!$L$5="",'Smart Search'!$L$5="All",TRIM(BZ291)=TRIM('Smart Search'!$L$5)),OR(TRIM('Smart Search'!$L$6)="",TRIM('Smart Search'!$L$6)="All",ISNUMBER(SEARCH(SUBSTITUTE(SUBSTITUTE(SUBSTITUTE(TRIM('Smart Search'!$L$6),"~","~~"),"*","~*"),"?","~?"),CA291))),OR('Smart Search'!$L$7="",AND(CB291&lt;&gt;0,CB291='Smart Search'!$L$7)),OR('Smart Search'!$L$8="",'Smart Search'!$L$8="All",TRIM(CC291)=TRIM('Smart Search'!$L$8))),IF(BA291="","",BA291+ROW()*0.0000000001),"")</f>
        <v/>
      </c>
      <c r="BI291" s="5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5">
        <f>IF(A291="","",N(INDEX(Projects[Mech Inst],290)))</f>
        <v/>
      </c>
      <c r="BK291" s="5">
        <f>IF(A291="","",N(INDEX(Projects[Elec Inst],290)))</f>
        <v/>
      </c>
      <c r="BL291" s="5">
        <f>IF(A291="","",N(INDEX(Projects[Project Management],290)))</f>
        <v/>
      </c>
      <c r="BM291" s="5">
        <f>IF(A291="","",N(INDEX(Projects[Systems Eng],290)))</f>
        <v/>
      </c>
      <c r="BN291" s="5">
        <f>IF(A291="","",N(INDEX(Projects[Mechanical Eng],290)))</f>
        <v/>
      </c>
      <c r="BO291" s="5">
        <f>IF(A291="","",N(INDEX(Projects[Structural Engineering],290)))</f>
        <v/>
      </c>
      <c r="BP291" s="5">
        <f>IF(A291="","",N(INDEX(Projects[Site Sup],290)))</f>
        <v/>
      </c>
      <c r="BQ291" s="5">
        <f>IF(A291="","",N(INDEX(Projects[Controls Commissioning],290)))</f>
        <v/>
      </c>
      <c r="BR291" s="5">
        <f>IF(A291="","",N(INDEX(Projects[Systems Commissioning],290)))</f>
        <v/>
      </c>
      <c r="BS291" s="5">
        <f>IF(A291="","",N(INDEX(Projects[Service Commissioning],290)))</f>
        <v/>
      </c>
      <c r="BT291" s="5">
        <f>IF(A291="","",N(INDEX(Projects[Controls Eng],290)))</f>
        <v/>
      </c>
      <c r="BU291" s="5">
        <f>IF(A291="","",N(INDEX(Projects[Controls Purchase],290)))</f>
        <v/>
      </c>
      <c r="BV291" s="5">
        <f>IF(A291="","",N(INDEX(Projects[Software Eng],290)))</f>
        <v/>
      </c>
      <c r="BW291" s="5">
        <f>IF(A291="","",N(INDEX(Projects[Misc],290)))</f>
        <v/>
      </c>
      <c r="BX291" s="5">
        <f>IF(A291="","",SUM(BJ291:BW291))</f>
        <v/>
      </c>
      <c r="BY291" s="5">
        <f>IF(A291="","",IFERROR(IF(ISNUMBER(U291),U291,VALUE(SUBSTITUTE(SUBSTITUTE(SUBSTITUTE(UPPER(TRIM(U291)),"M",""),",","")," ",""))),0))</f>
        <v/>
      </c>
      <c r="BZ291" s="5">
        <f>INDEX(Projects[Solution Type],290)&amp;""</f>
        <v/>
      </c>
      <c r="CA291" s="5">
        <f>INDEX(Projects[Client / Region],290)&amp;""</f>
        <v/>
      </c>
      <c r="CB291" s="5">
        <f>INDEX(Projects[Year],290)</f>
        <v/>
      </c>
      <c r="CC291" s="5">
        <f>INDEX(Projects[Won?],290)&amp;""</f>
        <v/>
      </c>
      <c r="CD291" s="5">
        <f>INDEX(Projects[Value (USD M)],290)</f>
        <v/>
      </c>
    </row>
    <row r="292" ht="15" customHeight="1" s="74">
      <c r="A292" s="66">
        <f>INDEX(Projects[Project ID *],291)&amp;""</f>
        <v/>
      </c>
      <c r="B292" s="66">
        <f>INDEX(Projects[Project Name *],291)&amp;""</f>
        <v/>
      </c>
      <c r="C292" s="66">
        <f>INDEX(Projects[MS Shuttles],291)</f>
        <v/>
      </c>
      <c r="D292" s="66">
        <f>INDEX(Projects[MS Tote Locations],291)</f>
        <v/>
      </c>
      <c r="E292" s="66">
        <f>INDEX(Projects[AS Robots],291)</f>
        <v/>
      </c>
      <c r="F292" s="66">
        <f>INDEX(Projects[AS Tote Locations],291)</f>
        <v/>
      </c>
      <c r="G292" s="66">
        <f>INDEX(Projects[PS Shuttles],291)</f>
        <v/>
      </c>
      <c r="H292" s="66">
        <f>INDEX(Projects[PS Pallet Locations],291)</f>
        <v/>
      </c>
      <c r="I292" s="66">
        <f>INDEX(Projects[SRM Cranes],291)</f>
        <v/>
      </c>
      <c r="J292" s="66">
        <f>INDEX(Projects[SRM Pallet Locations],291)</f>
        <v/>
      </c>
      <c r="K292" s="66">
        <f>INDEX(Projects[Case Conv (m)],291)</f>
        <v/>
      </c>
      <c r="L292" s="66">
        <f>INDEX(Projects[Pallet Conv (m)],291)</f>
        <v/>
      </c>
      <c r="M292" s="66">
        <f>INDEX(Projects[Mech Eng (wks)],291)</f>
        <v/>
      </c>
      <c r="N292" s="66">
        <f>INDEX(Projects[Controls Eng (wks)],291)</f>
        <v/>
      </c>
      <c r="O292" s="66">
        <f>INDEX(Projects[Systems Eng (wks)],291)</f>
        <v/>
      </c>
      <c r="P292" s="66">
        <f>INDEX(Projects[Software Eng (wks)],291)</f>
        <v/>
      </c>
      <c r="Q292" s="66">
        <f>INDEX(Projects[M&amp;E Installation (wks)],291)</f>
        <v/>
      </c>
      <c r="R292" s="66">
        <f>INDEX(Projects[Commissioning (wks)],291)</f>
        <v/>
      </c>
      <c r="S292" s="66">
        <f>INDEX(Projects[Total Timeline (wks)],291)</f>
        <v/>
      </c>
      <c r="T292" s="66">
        <f>INDEX(Projects[Currency],291)&amp;""</f>
        <v/>
      </c>
      <c r="U292" s="67">
        <f>INDEX(Projects[Value (M)],291)</f>
        <v/>
      </c>
      <c r="V292" s="66">
        <f>IF('Smart Search'!B13=1,IFERROR(1/'Smart Search'!H13,0),0)</f>
        <v/>
      </c>
      <c r="W292" s="66">
        <f>IF('Smart Search'!B13=1,IFERROR(1/'Smart Search'!H13,0),0)</f>
        <v/>
      </c>
      <c r="X292" s="66">
        <f>IF('Smart Search'!C13=1,IFERROR(1/'Smart Search'!H13,0),0)</f>
        <v/>
      </c>
      <c r="Y292" s="66">
        <f>IF('Smart Search'!C13=1,IFERROR(1/'Smart Search'!H13,0),0)</f>
        <v/>
      </c>
      <c r="Z292" s="66">
        <f>IF('Smart Search'!D13=1,IFERROR(1/'Smart Search'!H13,0),0)</f>
        <v/>
      </c>
      <c r="AA292" s="66">
        <f>IF('Smart Search'!D13=1,IFERROR(1/'Smart Search'!H13,0),0)</f>
        <v/>
      </c>
      <c r="AB292" s="66">
        <f>IF('Smart Search'!E13=1,IFERROR(1/'Smart Search'!H13,0),0)</f>
        <v/>
      </c>
      <c r="AC292" s="66">
        <f>IF('Smart Search'!E13=1,IFERROR(1/'Smart Search'!H13,0),0)</f>
        <v/>
      </c>
      <c r="AD292" s="66">
        <f>IF('Smart Search'!F13=1,IFERROR(1/'Smart Search'!H13,0),0)</f>
        <v/>
      </c>
      <c r="AE292" s="66">
        <f>IF('Smart Search'!F13=1,IFERROR(1/'Smart Search'!H13,0),0)</f>
        <v/>
      </c>
      <c r="AF292" s="66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66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66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66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66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66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66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66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66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66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66">
        <f>AF292*V292</f>
        <v/>
      </c>
      <c r="AQ292" s="66">
        <f>AG292*W292</f>
        <v/>
      </c>
      <c r="AR292" s="66">
        <f>AH292*X292</f>
        <v/>
      </c>
      <c r="AS292" s="66">
        <f>AI292*Y292</f>
        <v/>
      </c>
      <c r="AT292" s="66">
        <f>AJ292*Z292</f>
        <v/>
      </c>
      <c r="AU292" s="66">
        <f>AK292*AA292</f>
        <v/>
      </c>
      <c r="AV292" s="66">
        <f>AL292*AB292</f>
        <v/>
      </c>
      <c r="AW292" s="66">
        <f>AM292*AC292</f>
        <v/>
      </c>
      <c r="AX292" s="66">
        <f>AN292*AD292</f>
        <v/>
      </c>
      <c r="AY292" s="66">
        <f>AO292*AE292</f>
        <v/>
      </c>
      <c r="AZ292" s="66">
        <f>INDEX(Projects[Automation Equipment],291)&amp;""</f>
        <v/>
      </c>
      <c r="BA292" s="66">
        <f>IF(OR(A292="",'Smart Search'!H13=0),"",MAX(0,BE292*BF292*MAX(0,1-BG292)))</f>
        <v/>
      </c>
      <c r="BB292" s="66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66">
        <f>IF('Smart Search'!G13=1,IFERROR(1/'Smart Search'!H13,0),0)</f>
        <v/>
      </c>
      <c r="BD292" s="66">
        <f>BB292*BC292</f>
        <v/>
      </c>
      <c r="BE292" s="66">
        <f>AP292+AQ292+AR292+AS292+AT292+AU292+AV292+AW292+AX292+AY292+BD292</f>
        <v/>
      </c>
      <c r="BF292" s="5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5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5">
        <f>IF(AND(A292&lt;&gt;"",OR('Smart Search'!$L$5="",'Smart Search'!$L$5="All",TRIM(BZ292)=TRIM('Smart Search'!$L$5)),OR(TRIM('Smart Search'!$L$6)="",TRIM('Smart Search'!$L$6)="All",ISNUMBER(SEARCH(SUBSTITUTE(SUBSTITUTE(SUBSTITUTE(TRIM('Smart Search'!$L$6),"~","~~"),"*","~*"),"?","~?"),CA292))),OR('Smart Search'!$L$7="",AND(CB292&lt;&gt;0,CB292='Smart Search'!$L$7)),OR('Smart Search'!$L$8="",'Smart Search'!$L$8="All",TRIM(CC292)=TRIM('Smart Search'!$L$8))),IF(BA292="","",BA292+ROW()*0.0000000001),"")</f>
        <v/>
      </c>
      <c r="BI292" s="5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5">
        <f>IF(A292="","",N(INDEX(Projects[Mech Inst],291)))</f>
        <v/>
      </c>
      <c r="BK292" s="5">
        <f>IF(A292="","",N(INDEX(Projects[Elec Inst],291)))</f>
        <v/>
      </c>
      <c r="BL292" s="5">
        <f>IF(A292="","",N(INDEX(Projects[Project Management],291)))</f>
        <v/>
      </c>
      <c r="BM292" s="5">
        <f>IF(A292="","",N(INDEX(Projects[Systems Eng],291)))</f>
        <v/>
      </c>
      <c r="BN292" s="5">
        <f>IF(A292="","",N(INDEX(Projects[Mechanical Eng],291)))</f>
        <v/>
      </c>
      <c r="BO292" s="5">
        <f>IF(A292="","",N(INDEX(Projects[Structural Engineering],291)))</f>
        <v/>
      </c>
      <c r="BP292" s="5">
        <f>IF(A292="","",N(INDEX(Projects[Site Sup],291)))</f>
        <v/>
      </c>
      <c r="BQ292" s="5">
        <f>IF(A292="","",N(INDEX(Projects[Controls Commissioning],291)))</f>
        <v/>
      </c>
      <c r="BR292" s="5">
        <f>IF(A292="","",N(INDEX(Projects[Systems Commissioning],291)))</f>
        <v/>
      </c>
      <c r="BS292" s="5">
        <f>IF(A292="","",N(INDEX(Projects[Service Commissioning],291)))</f>
        <v/>
      </c>
      <c r="BT292" s="5">
        <f>IF(A292="","",N(INDEX(Projects[Controls Eng],291)))</f>
        <v/>
      </c>
      <c r="BU292" s="5">
        <f>IF(A292="","",N(INDEX(Projects[Controls Purchase],291)))</f>
        <v/>
      </c>
      <c r="BV292" s="5">
        <f>IF(A292="","",N(INDEX(Projects[Software Eng],291)))</f>
        <v/>
      </c>
      <c r="BW292" s="5">
        <f>IF(A292="","",N(INDEX(Projects[Misc],291)))</f>
        <v/>
      </c>
      <c r="BX292" s="5">
        <f>IF(A292="","",SUM(BJ292:BW292))</f>
        <v/>
      </c>
      <c r="BY292" s="5">
        <f>IF(A292="","",IFERROR(IF(ISNUMBER(U292),U292,VALUE(SUBSTITUTE(SUBSTITUTE(SUBSTITUTE(UPPER(TRIM(U292)),"M",""),",","")," ",""))),0))</f>
        <v/>
      </c>
      <c r="BZ292" s="5">
        <f>INDEX(Projects[Solution Type],291)&amp;""</f>
        <v/>
      </c>
      <c r="CA292" s="5">
        <f>INDEX(Projects[Client / Region],291)&amp;""</f>
        <v/>
      </c>
      <c r="CB292" s="5">
        <f>INDEX(Projects[Year],291)</f>
        <v/>
      </c>
      <c r="CC292" s="5">
        <f>INDEX(Projects[Won?],291)&amp;""</f>
        <v/>
      </c>
      <c r="CD292" s="5">
        <f>INDEX(Projects[Value (USD M)],291)</f>
        <v/>
      </c>
    </row>
    <row r="293" ht="15" customHeight="1" s="74">
      <c r="A293" s="66">
        <f>INDEX(Projects[Project ID *],292)&amp;""</f>
        <v/>
      </c>
      <c r="B293" s="66">
        <f>INDEX(Projects[Project Name *],292)&amp;""</f>
        <v/>
      </c>
      <c r="C293" s="66">
        <f>INDEX(Projects[MS Shuttles],292)</f>
        <v/>
      </c>
      <c r="D293" s="66">
        <f>INDEX(Projects[MS Tote Locations],292)</f>
        <v/>
      </c>
      <c r="E293" s="66">
        <f>INDEX(Projects[AS Robots],292)</f>
        <v/>
      </c>
      <c r="F293" s="66">
        <f>INDEX(Projects[AS Tote Locations],292)</f>
        <v/>
      </c>
      <c r="G293" s="66">
        <f>INDEX(Projects[PS Shuttles],292)</f>
        <v/>
      </c>
      <c r="H293" s="66">
        <f>INDEX(Projects[PS Pallet Locations],292)</f>
        <v/>
      </c>
      <c r="I293" s="66">
        <f>INDEX(Projects[SRM Cranes],292)</f>
        <v/>
      </c>
      <c r="J293" s="66">
        <f>INDEX(Projects[SRM Pallet Locations],292)</f>
        <v/>
      </c>
      <c r="K293" s="66">
        <f>INDEX(Projects[Case Conv (m)],292)</f>
        <v/>
      </c>
      <c r="L293" s="66">
        <f>INDEX(Projects[Pallet Conv (m)],292)</f>
        <v/>
      </c>
      <c r="M293" s="66">
        <f>INDEX(Projects[Mech Eng (wks)],292)</f>
        <v/>
      </c>
      <c r="N293" s="66">
        <f>INDEX(Projects[Controls Eng (wks)],292)</f>
        <v/>
      </c>
      <c r="O293" s="66">
        <f>INDEX(Projects[Systems Eng (wks)],292)</f>
        <v/>
      </c>
      <c r="P293" s="66">
        <f>INDEX(Projects[Software Eng (wks)],292)</f>
        <v/>
      </c>
      <c r="Q293" s="66">
        <f>INDEX(Projects[M&amp;E Installation (wks)],292)</f>
        <v/>
      </c>
      <c r="R293" s="66">
        <f>INDEX(Projects[Commissioning (wks)],292)</f>
        <v/>
      </c>
      <c r="S293" s="66">
        <f>INDEX(Projects[Total Timeline (wks)],292)</f>
        <v/>
      </c>
      <c r="T293" s="66">
        <f>INDEX(Projects[Currency],292)&amp;""</f>
        <v/>
      </c>
      <c r="U293" s="67">
        <f>INDEX(Projects[Value (M)],292)</f>
        <v/>
      </c>
      <c r="V293" s="66">
        <f>IF('Smart Search'!B13=1,IFERROR(1/'Smart Search'!H13,0),0)</f>
        <v/>
      </c>
      <c r="W293" s="66">
        <f>IF('Smart Search'!B13=1,IFERROR(1/'Smart Search'!H13,0),0)</f>
        <v/>
      </c>
      <c r="X293" s="66">
        <f>IF('Smart Search'!C13=1,IFERROR(1/'Smart Search'!H13,0),0)</f>
        <v/>
      </c>
      <c r="Y293" s="66">
        <f>IF('Smart Search'!C13=1,IFERROR(1/'Smart Search'!H13,0),0)</f>
        <v/>
      </c>
      <c r="Z293" s="66">
        <f>IF('Smart Search'!D13=1,IFERROR(1/'Smart Search'!H13,0),0)</f>
        <v/>
      </c>
      <c r="AA293" s="66">
        <f>IF('Smart Search'!D13=1,IFERROR(1/'Smart Search'!H13,0),0)</f>
        <v/>
      </c>
      <c r="AB293" s="66">
        <f>IF('Smart Search'!E13=1,IFERROR(1/'Smart Search'!H13,0),0)</f>
        <v/>
      </c>
      <c r="AC293" s="66">
        <f>IF('Smart Search'!E13=1,IFERROR(1/'Smart Search'!H13,0),0)</f>
        <v/>
      </c>
      <c r="AD293" s="66">
        <f>IF('Smart Search'!F13=1,IFERROR(1/'Smart Search'!H13,0),0)</f>
        <v/>
      </c>
      <c r="AE293" s="66">
        <f>IF('Smart Search'!F13=1,IFERROR(1/'Smart Search'!H13,0),0)</f>
        <v/>
      </c>
      <c r="AF293" s="66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66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66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66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66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66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66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66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66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66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66">
        <f>AF293*V293</f>
        <v/>
      </c>
      <c r="AQ293" s="66">
        <f>AG293*W293</f>
        <v/>
      </c>
      <c r="AR293" s="66">
        <f>AH293*X293</f>
        <v/>
      </c>
      <c r="AS293" s="66">
        <f>AI293*Y293</f>
        <v/>
      </c>
      <c r="AT293" s="66">
        <f>AJ293*Z293</f>
        <v/>
      </c>
      <c r="AU293" s="66">
        <f>AK293*AA293</f>
        <v/>
      </c>
      <c r="AV293" s="66">
        <f>AL293*AB293</f>
        <v/>
      </c>
      <c r="AW293" s="66">
        <f>AM293*AC293</f>
        <v/>
      </c>
      <c r="AX293" s="66">
        <f>AN293*AD293</f>
        <v/>
      </c>
      <c r="AY293" s="66">
        <f>AO293*AE293</f>
        <v/>
      </c>
      <c r="AZ293" s="66">
        <f>INDEX(Projects[Automation Equipment],292)&amp;""</f>
        <v/>
      </c>
      <c r="BA293" s="66">
        <f>IF(OR(A293="",'Smart Search'!H13=0),"",MAX(0,BE293*BF293*MAX(0,1-BG293)))</f>
        <v/>
      </c>
      <c r="BB293" s="66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66">
        <f>IF('Smart Search'!G13=1,IFERROR(1/'Smart Search'!H13,0),0)</f>
        <v/>
      </c>
      <c r="BD293" s="66">
        <f>BB293*BC293</f>
        <v/>
      </c>
      <c r="BE293" s="66">
        <f>AP293+AQ293+AR293+AS293+AT293+AU293+AV293+AW293+AX293+AY293+BD293</f>
        <v/>
      </c>
      <c r="BF293" s="5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5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5">
        <f>IF(AND(A293&lt;&gt;"",OR('Smart Search'!$L$5="",'Smart Search'!$L$5="All",TRIM(BZ293)=TRIM('Smart Search'!$L$5)),OR(TRIM('Smart Search'!$L$6)="",TRIM('Smart Search'!$L$6)="All",ISNUMBER(SEARCH(SUBSTITUTE(SUBSTITUTE(SUBSTITUTE(TRIM('Smart Search'!$L$6),"~","~~"),"*","~*"),"?","~?"),CA293))),OR('Smart Search'!$L$7="",AND(CB293&lt;&gt;0,CB293='Smart Search'!$L$7)),OR('Smart Search'!$L$8="",'Smart Search'!$L$8="All",TRIM(CC293)=TRIM('Smart Search'!$L$8))),IF(BA293="","",BA293+ROW()*0.0000000001),"")</f>
        <v/>
      </c>
      <c r="BI293" s="5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5">
        <f>IF(A293="","",N(INDEX(Projects[Mech Inst],292)))</f>
        <v/>
      </c>
      <c r="BK293" s="5">
        <f>IF(A293="","",N(INDEX(Projects[Elec Inst],292)))</f>
        <v/>
      </c>
      <c r="BL293" s="5">
        <f>IF(A293="","",N(INDEX(Projects[Project Management],292)))</f>
        <v/>
      </c>
      <c r="BM293" s="5">
        <f>IF(A293="","",N(INDEX(Projects[Systems Eng],292)))</f>
        <v/>
      </c>
      <c r="BN293" s="5">
        <f>IF(A293="","",N(INDEX(Projects[Mechanical Eng],292)))</f>
        <v/>
      </c>
      <c r="BO293" s="5">
        <f>IF(A293="","",N(INDEX(Projects[Structural Engineering],292)))</f>
        <v/>
      </c>
      <c r="BP293" s="5">
        <f>IF(A293="","",N(INDEX(Projects[Site Sup],292)))</f>
        <v/>
      </c>
      <c r="BQ293" s="5">
        <f>IF(A293="","",N(INDEX(Projects[Controls Commissioning],292)))</f>
        <v/>
      </c>
      <c r="BR293" s="5">
        <f>IF(A293="","",N(INDEX(Projects[Systems Commissioning],292)))</f>
        <v/>
      </c>
      <c r="BS293" s="5">
        <f>IF(A293="","",N(INDEX(Projects[Service Commissioning],292)))</f>
        <v/>
      </c>
      <c r="BT293" s="5">
        <f>IF(A293="","",N(INDEX(Projects[Controls Eng],292)))</f>
        <v/>
      </c>
      <c r="BU293" s="5">
        <f>IF(A293="","",N(INDEX(Projects[Controls Purchase],292)))</f>
        <v/>
      </c>
      <c r="BV293" s="5">
        <f>IF(A293="","",N(INDEX(Projects[Software Eng],292)))</f>
        <v/>
      </c>
      <c r="BW293" s="5">
        <f>IF(A293="","",N(INDEX(Projects[Misc],292)))</f>
        <v/>
      </c>
      <c r="BX293" s="5">
        <f>IF(A293="","",SUM(BJ293:BW293))</f>
        <v/>
      </c>
      <c r="BY293" s="5">
        <f>IF(A293="","",IFERROR(IF(ISNUMBER(U293),U293,VALUE(SUBSTITUTE(SUBSTITUTE(SUBSTITUTE(UPPER(TRIM(U293)),"M",""),",","")," ",""))),0))</f>
        <v/>
      </c>
      <c r="BZ293" s="5">
        <f>INDEX(Projects[Solution Type],292)&amp;""</f>
        <v/>
      </c>
      <c r="CA293" s="5">
        <f>INDEX(Projects[Client / Region],292)&amp;""</f>
        <v/>
      </c>
      <c r="CB293" s="5">
        <f>INDEX(Projects[Year],292)</f>
        <v/>
      </c>
      <c r="CC293" s="5">
        <f>INDEX(Projects[Won?],292)&amp;""</f>
        <v/>
      </c>
      <c r="CD293" s="5">
        <f>INDEX(Projects[Value (USD M)],292)</f>
        <v/>
      </c>
    </row>
    <row r="294" ht="15" customHeight="1" s="74">
      <c r="A294" s="66">
        <f>INDEX(Projects[Project ID *],293)&amp;""</f>
        <v/>
      </c>
      <c r="B294" s="66">
        <f>INDEX(Projects[Project Name *],293)&amp;""</f>
        <v/>
      </c>
      <c r="C294" s="66">
        <f>INDEX(Projects[MS Shuttles],293)</f>
        <v/>
      </c>
      <c r="D294" s="66">
        <f>INDEX(Projects[MS Tote Locations],293)</f>
        <v/>
      </c>
      <c r="E294" s="66">
        <f>INDEX(Projects[AS Robots],293)</f>
        <v/>
      </c>
      <c r="F294" s="66">
        <f>INDEX(Projects[AS Tote Locations],293)</f>
        <v/>
      </c>
      <c r="G294" s="66">
        <f>INDEX(Projects[PS Shuttles],293)</f>
        <v/>
      </c>
      <c r="H294" s="66">
        <f>INDEX(Projects[PS Pallet Locations],293)</f>
        <v/>
      </c>
      <c r="I294" s="66">
        <f>INDEX(Projects[SRM Cranes],293)</f>
        <v/>
      </c>
      <c r="J294" s="66">
        <f>INDEX(Projects[SRM Pallet Locations],293)</f>
        <v/>
      </c>
      <c r="K294" s="66">
        <f>INDEX(Projects[Case Conv (m)],293)</f>
        <v/>
      </c>
      <c r="L294" s="66">
        <f>INDEX(Projects[Pallet Conv (m)],293)</f>
        <v/>
      </c>
      <c r="M294" s="66">
        <f>INDEX(Projects[Mech Eng (wks)],293)</f>
        <v/>
      </c>
      <c r="N294" s="66">
        <f>INDEX(Projects[Controls Eng (wks)],293)</f>
        <v/>
      </c>
      <c r="O294" s="66">
        <f>INDEX(Projects[Systems Eng (wks)],293)</f>
        <v/>
      </c>
      <c r="P294" s="66">
        <f>INDEX(Projects[Software Eng (wks)],293)</f>
        <v/>
      </c>
      <c r="Q294" s="66">
        <f>INDEX(Projects[M&amp;E Installation (wks)],293)</f>
        <v/>
      </c>
      <c r="R294" s="66">
        <f>INDEX(Projects[Commissioning (wks)],293)</f>
        <v/>
      </c>
      <c r="S294" s="66">
        <f>INDEX(Projects[Total Timeline (wks)],293)</f>
        <v/>
      </c>
      <c r="T294" s="66">
        <f>INDEX(Projects[Currency],293)&amp;""</f>
        <v/>
      </c>
      <c r="U294" s="67">
        <f>INDEX(Projects[Value (M)],293)</f>
        <v/>
      </c>
      <c r="V294" s="66">
        <f>IF('Smart Search'!B13=1,IFERROR(1/'Smart Search'!H13,0),0)</f>
        <v/>
      </c>
      <c r="W294" s="66">
        <f>IF('Smart Search'!B13=1,IFERROR(1/'Smart Search'!H13,0),0)</f>
        <v/>
      </c>
      <c r="X294" s="66">
        <f>IF('Smart Search'!C13=1,IFERROR(1/'Smart Search'!H13,0),0)</f>
        <v/>
      </c>
      <c r="Y294" s="66">
        <f>IF('Smart Search'!C13=1,IFERROR(1/'Smart Search'!H13,0),0)</f>
        <v/>
      </c>
      <c r="Z294" s="66">
        <f>IF('Smart Search'!D13=1,IFERROR(1/'Smart Search'!H13,0),0)</f>
        <v/>
      </c>
      <c r="AA294" s="66">
        <f>IF('Smart Search'!D13=1,IFERROR(1/'Smart Search'!H13,0),0)</f>
        <v/>
      </c>
      <c r="AB294" s="66">
        <f>IF('Smart Search'!E13=1,IFERROR(1/'Smart Search'!H13,0),0)</f>
        <v/>
      </c>
      <c r="AC294" s="66">
        <f>IF('Smart Search'!E13=1,IFERROR(1/'Smart Search'!H13,0),0)</f>
        <v/>
      </c>
      <c r="AD294" s="66">
        <f>IF('Smart Search'!F13=1,IFERROR(1/'Smart Search'!H13,0),0)</f>
        <v/>
      </c>
      <c r="AE294" s="66">
        <f>IF('Smart Search'!F13=1,IFERROR(1/'Smart Search'!H13,0),0)</f>
        <v/>
      </c>
      <c r="AF294" s="66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66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66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66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66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66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66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66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66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66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66">
        <f>AF294*V294</f>
        <v/>
      </c>
      <c r="AQ294" s="66">
        <f>AG294*W294</f>
        <v/>
      </c>
      <c r="AR294" s="66">
        <f>AH294*X294</f>
        <v/>
      </c>
      <c r="AS294" s="66">
        <f>AI294*Y294</f>
        <v/>
      </c>
      <c r="AT294" s="66">
        <f>AJ294*Z294</f>
        <v/>
      </c>
      <c r="AU294" s="66">
        <f>AK294*AA294</f>
        <v/>
      </c>
      <c r="AV294" s="66">
        <f>AL294*AB294</f>
        <v/>
      </c>
      <c r="AW294" s="66">
        <f>AM294*AC294</f>
        <v/>
      </c>
      <c r="AX294" s="66">
        <f>AN294*AD294</f>
        <v/>
      </c>
      <c r="AY294" s="66">
        <f>AO294*AE294</f>
        <v/>
      </c>
      <c r="AZ294" s="66">
        <f>INDEX(Projects[Automation Equipment],293)&amp;""</f>
        <v/>
      </c>
      <c r="BA294" s="66">
        <f>IF(OR(A294="",'Smart Search'!H13=0),"",MAX(0,BE294*BF294*MAX(0,1-BG294)))</f>
        <v/>
      </c>
      <c r="BB294" s="66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66">
        <f>IF('Smart Search'!G13=1,IFERROR(1/'Smart Search'!H13,0),0)</f>
        <v/>
      </c>
      <c r="BD294" s="66">
        <f>BB294*BC294</f>
        <v/>
      </c>
      <c r="BE294" s="66">
        <f>AP294+AQ294+AR294+AS294+AT294+AU294+AV294+AW294+AX294+AY294+BD294</f>
        <v/>
      </c>
      <c r="BF294" s="5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5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5">
        <f>IF(AND(A294&lt;&gt;"",OR('Smart Search'!$L$5="",'Smart Search'!$L$5="All",TRIM(BZ294)=TRIM('Smart Search'!$L$5)),OR(TRIM('Smart Search'!$L$6)="",TRIM('Smart Search'!$L$6)="All",ISNUMBER(SEARCH(SUBSTITUTE(SUBSTITUTE(SUBSTITUTE(TRIM('Smart Search'!$L$6),"~","~~"),"*","~*"),"?","~?"),CA294))),OR('Smart Search'!$L$7="",AND(CB294&lt;&gt;0,CB294='Smart Search'!$L$7)),OR('Smart Search'!$L$8="",'Smart Search'!$L$8="All",TRIM(CC294)=TRIM('Smart Search'!$L$8))),IF(BA294="","",BA294+ROW()*0.0000000001),"")</f>
        <v/>
      </c>
      <c r="BI294" s="5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5">
        <f>IF(A294="","",N(INDEX(Projects[Mech Inst],293)))</f>
        <v/>
      </c>
      <c r="BK294" s="5">
        <f>IF(A294="","",N(INDEX(Projects[Elec Inst],293)))</f>
        <v/>
      </c>
      <c r="BL294" s="5">
        <f>IF(A294="","",N(INDEX(Projects[Project Management],293)))</f>
        <v/>
      </c>
      <c r="BM294" s="5">
        <f>IF(A294="","",N(INDEX(Projects[Systems Eng],293)))</f>
        <v/>
      </c>
      <c r="BN294" s="5">
        <f>IF(A294="","",N(INDEX(Projects[Mechanical Eng],293)))</f>
        <v/>
      </c>
      <c r="BO294" s="5">
        <f>IF(A294="","",N(INDEX(Projects[Structural Engineering],293)))</f>
        <v/>
      </c>
      <c r="BP294" s="5">
        <f>IF(A294="","",N(INDEX(Projects[Site Sup],293)))</f>
        <v/>
      </c>
      <c r="BQ294" s="5">
        <f>IF(A294="","",N(INDEX(Projects[Controls Commissioning],293)))</f>
        <v/>
      </c>
      <c r="BR294" s="5">
        <f>IF(A294="","",N(INDEX(Projects[Systems Commissioning],293)))</f>
        <v/>
      </c>
      <c r="BS294" s="5">
        <f>IF(A294="","",N(INDEX(Projects[Service Commissioning],293)))</f>
        <v/>
      </c>
      <c r="BT294" s="5">
        <f>IF(A294="","",N(INDEX(Projects[Controls Eng],293)))</f>
        <v/>
      </c>
      <c r="BU294" s="5">
        <f>IF(A294="","",N(INDEX(Projects[Controls Purchase],293)))</f>
        <v/>
      </c>
      <c r="BV294" s="5">
        <f>IF(A294="","",N(INDEX(Projects[Software Eng],293)))</f>
        <v/>
      </c>
      <c r="BW294" s="5">
        <f>IF(A294="","",N(INDEX(Projects[Misc],293)))</f>
        <v/>
      </c>
      <c r="BX294" s="5">
        <f>IF(A294="","",SUM(BJ294:BW294))</f>
        <v/>
      </c>
      <c r="BY294" s="5">
        <f>IF(A294="","",IFERROR(IF(ISNUMBER(U294),U294,VALUE(SUBSTITUTE(SUBSTITUTE(SUBSTITUTE(UPPER(TRIM(U294)),"M",""),",","")," ",""))),0))</f>
        <v/>
      </c>
      <c r="BZ294" s="5">
        <f>INDEX(Projects[Solution Type],293)&amp;""</f>
        <v/>
      </c>
      <c r="CA294" s="5">
        <f>INDEX(Projects[Client / Region],293)&amp;""</f>
        <v/>
      </c>
      <c r="CB294" s="5">
        <f>INDEX(Projects[Year],293)</f>
        <v/>
      </c>
      <c r="CC294" s="5">
        <f>INDEX(Projects[Won?],293)&amp;""</f>
        <v/>
      </c>
      <c r="CD294" s="5">
        <f>INDEX(Projects[Value (USD M)],293)</f>
        <v/>
      </c>
    </row>
    <row r="295" ht="15" customHeight="1" s="74">
      <c r="A295" s="66">
        <f>INDEX(Projects[Project ID *],294)&amp;""</f>
        <v/>
      </c>
      <c r="B295" s="66">
        <f>INDEX(Projects[Project Name *],294)&amp;""</f>
        <v/>
      </c>
      <c r="C295" s="66">
        <f>INDEX(Projects[MS Shuttles],294)</f>
        <v/>
      </c>
      <c r="D295" s="66">
        <f>INDEX(Projects[MS Tote Locations],294)</f>
        <v/>
      </c>
      <c r="E295" s="66">
        <f>INDEX(Projects[AS Robots],294)</f>
        <v/>
      </c>
      <c r="F295" s="66">
        <f>INDEX(Projects[AS Tote Locations],294)</f>
        <v/>
      </c>
      <c r="G295" s="66">
        <f>INDEX(Projects[PS Shuttles],294)</f>
        <v/>
      </c>
      <c r="H295" s="66">
        <f>INDEX(Projects[PS Pallet Locations],294)</f>
        <v/>
      </c>
      <c r="I295" s="66">
        <f>INDEX(Projects[SRM Cranes],294)</f>
        <v/>
      </c>
      <c r="J295" s="66">
        <f>INDEX(Projects[SRM Pallet Locations],294)</f>
        <v/>
      </c>
      <c r="K295" s="66">
        <f>INDEX(Projects[Case Conv (m)],294)</f>
        <v/>
      </c>
      <c r="L295" s="66">
        <f>INDEX(Projects[Pallet Conv (m)],294)</f>
        <v/>
      </c>
      <c r="M295" s="66">
        <f>INDEX(Projects[Mech Eng (wks)],294)</f>
        <v/>
      </c>
      <c r="N295" s="66">
        <f>INDEX(Projects[Controls Eng (wks)],294)</f>
        <v/>
      </c>
      <c r="O295" s="66">
        <f>INDEX(Projects[Systems Eng (wks)],294)</f>
        <v/>
      </c>
      <c r="P295" s="66">
        <f>INDEX(Projects[Software Eng (wks)],294)</f>
        <v/>
      </c>
      <c r="Q295" s="66">
        <f>INDEX(Projects[M&amp;E Installation (wks)],294)</f>
        <v/>
      </c>
      <c r="R295" s="66">
        <f>INDEX(Projects[Commissioning (wks)],294)</f>
        <v/>
      </c>
      <c r="S295" s="66">
        <f>INDEX(Projects[Total Timeline (wks)],294)</f>
        <v/>
      </c>
      <c r="T295" s="66">
        <f>INDEX(Projects[Currency],294)&amp;""</f>
        <v/>
      </c>
      <c r="U295" s="67">
        <f>INDEX(Projects[Value (M)],294)</f>
        <v/>
      </c>
      <c r="V295" s="66">
        <f>IF('Smart Search'!B13=1,IFERROR(1/'Smart Search'!H13,0),0)</f>
        <v/>
      </c>
      <c r="W295" s="66">
        <f>IF('Smart Search'!B13=1,IFERROR(1/'Smart Search'!H13,0),0)</f>
        <v/>
      </c>
      <c r="X295" s="66">
        <f>IF('Smart Search'!C13=1,IFERROR(1/'Smart Search'!H13,0),0)</f>
        <v/>
      </c>
      <c r="Y295" s="66">
        <f>IF('Smart Search'!C13=1,IFERROR(1/'Smart Search'!H13,0),0)</f>
        <v/>
      </c>
      <c r="Z295" s="66">
        <f>IF('Smart Search'!D13=1,IFERROR(1/'Smart Search'!H13,0),0)</f>
        <v/>
      </c>
      <c r="AA295" s="66">
        <f>IF('Smart Search'!D13=1,IFERROR(1/'Smart Search'!H13,0),0)</f>
        <v/>
      </c>
      <c r="AB295" s="66">
        <f>IF('Smart Search'!E13=1,IFERROR(1/'Smart Search'!H13,0),0)</f>
        <v/>
      </c>
      <c r="AC295" s="66">
        <f>IF('Smart Search'!E13=1,IFERROR(1/'Smart Search'!H13,0),0)</f>
        <v/>
      </c>
      <c r="AD295" s="66">
        <f>IF('Smart Search'!F13=1,IFERROR(1/'Smart Search'!H13,0),0)</f>
        <v/>
      </c>
      <c r="AE295" s="66">
        <f>IF('Smart Search'!F13=1,IFERROR(1/'Smart Search'!H13,0),0)</f>
        <v/>
      </c>
      <c r="AF295" s="66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66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66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66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66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66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66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66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66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66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66">
        <f>AF295*V295</f>
        <v/>
      </c>
      <c r="AQ295" s="66">
        <f>AG295*W295</f>
        <v/>
      </c>
      <c r="AR295" s="66">
        <f>AH295*X295</f>
        <v/>
      </c>
      <c r="AS295" s="66">
        <f>AI295*Y295</f>
        <v/>
      </c>
      <c r="AT295" s="66">
        <f>AJ295*Z295</f>
        <v/>
      </c>
      <c r="AU295" s="66">
        <f>AK295*AA295</f>
        <v/>
      </c>
      <c r="AV295" s="66">
        <f>AL295*AB295</f>
        <v/>
      </c>
      <c r="AW295" s="66">
        <f>AM295*AC295</f>
        <v/>
      </c>
      <c r="AX295" s="66">
        <f>AN295*AD295</f>
        <v/>
      </c>
      <c r="AY295" s="66">
        <f>AO295*AE295</f>
        <v/>
      </c>
      <c r="AZ295" s="66">
        <f>INDEX(Projects[Automation Equipment],294)&amp;""</f>
        <v/>
      </c>
      <c r="BA295" s="66">
        <f>IF(OR(A295="",'Smart Search'!H13=0),"",MAX(0,BE295*BF295*MAX(0,1-BG295)))</f>
        <v/>
      </c>
      <c r="BB295" s="66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66">
        <f>IF('Smart Search'!G13=1,IFERROR(1/'Smart Search'!H13,0),0)</f>
        <v/>
      </c>
      <c r="BD295" s="66">
        <f>BB295*BC295</f>
        <v/>
      </c>
      <c r="BE295" s="66">
        <f>AP295+AQ295+AR295+AS295+AT295+AU295+AV295+AW295+AX295+AY295+BD295</f>
        <v/>
      </c>
      <c r="BF295" s="5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5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5">
        <f>IF(AND(A295&lt;&gt;"",OR('Smart Search'!$L$5="",'Smart Search'!$L$5="All",TRIM(BZ295)=TRIM('Smart Search'!$L$5)),OR(TRIM('Smart Search'!$L$6)="",TRIM('Smart Search'!$L$6)="All",ISNUMBER(SEARCH(SUBSTITUTE(SUBSTITUTE(SUBSTITUTE(TRIM('Smart Search'!$L$6),"~","~~"),"*","~*"),"?","~?"),CA295))),OR('Smart Search'!$L$7="",AND(CB295&lt;&gt;0,CB295='Smart Search'!$L$7)),OR('Smart Search'!$L$8="",'Smart Search'!$L$8="All",TRIM(CC295)=TRIM('Smart Search'!$L$8))),IF(BA295="","",BA295+ROW()*0.0000000001),"")</f>
        <v/>
      </c>
      <c r="BI295" s="5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5">
        <f>IF(A295="","",N(INDEX(Projects[Mech Inst],294)))</f>
        <v/>
      </c>
      <c r="BK295" s="5">
        <f>IF(A295="","",N(INDEX(Projects[Elec Inst],294)))</f>
        <v/>
      </c>
      <c r="BL295" s="5">
        <f>IF(A295="","",N(INDEX(Projects[Project Management],294)))</f>
        <v/>
      </c>
      <c r="BM295" s="5">
        <f>IF(A295="","",N(INDEX(Projects[Systems Eng],294)))</f>
        <v/>
      </c>
      <c r="BN295" s="5">
        <f>IF(A295="","",N(INDEX(Projects[Mechanical Eng],294)))</f>
        <v/>
      </c>
      <c r="BO295" s="5">
        <f>IF(A295="","",N(INDEX(Projects[Structural Engineering],294)))</f>
        <v/>
      </c>
      <c r="BP295" s="5">
        <f>IF(A295="","",N(INDEX(Projects[Site Sup],294)))</f>
        <v/>
      </c>
      <c r="BQ295" s="5">
        <f>IF(A295="","",N(INDEX(Projects[Controls Commissioning],294)))</f>
        <v/>
      </c>
      <c r="BR295" s="5">
        <f>IF(A295="","",N(INDEX(Projects[Systems Commissioning],294)))</f>
        <v/>
      </c>
      <c r="BS295" s="5">
        <f>IF(A295="","",N(INDEX(Projects[Service Commissioning],294)))</f>
        <v/>
      </c>
      <c r="BT295" s="5">
        <f>IF(A295="","",N(INDEX(Projects[Controls Eng],294)))</f>
        <v/>
      </c>
      <c r="BU295" s="5">
        <f>IF(A295="","",N(INDEX(Projects[Controls Purchase],294)))</f>
        <v/>
      </c>
      <c r="BV295" s="5">
        <f>IF(A295="","",N(INDEX(Projects[Software Eng],294)))</f>
        <v/>
      </c>
      <c r="BW295" s="5">
        <f>IF(A295="","",N(INDEX(Projects[Misc],294)))</f>
        <v/>
      </c>
      <c r="BX295" s="5">
        <f>IF(A295="","",SUM(BJ295:BW295))</f>
        <v/>
      </c>
      <c r="BY295" s="5">
        <f>IF(A295="","",IFERROR(IF(ISNUMBER(U295),U295,VALUE(SUBSTITUTE(SUBSTITUTE(SUBSTITUTE(UPPER(TRIM(U295)),"M",""),",","")," ",""))),0))</f>
        <v/>
      </c>
      <c r="BZ295" s="5">
        <f>INDEX(Projects[Solution Type],294)&amp;""</f>
        <v/>
      </c>
      <c r="CA295" s="5">
        <f>INDEX(Projects[Client / Region],294)&amp;""</f>
        <v/>
      </c>
      <c r="CB295" s="5">
        <f>INDEX(Projects[Year],294)</f>
        <v/>
      </c>
      <c r="CC295" s="5">
        <f>INDEX(Projects[Won?],294)&amp;""</f>
        <v/>
      </c>
      <c r="CD295" s="5">
        <f>INDEX(Projects[Value (USD M)],294)</f>
        <v/>
      </c>
    </row>
    <row r="296" ht="15" customHeight="1" s="74">
      <c r="A296" s="66">
        <f>INDEX(Projects[Project ID *],295)&amp;""</f>
        <v/>
      </c>
      <c r="B296" s="66">
        <f>INDEX(Projects[Project Name *],295)&amp;""</f>
        <v/>
      </c>
      <c r="C296" s="66">
        <f>INDEX(Projects[MS Shuttles],295)</f>
        <v/>
      </c>
      <c r="D296" s="66">
        <f>INDEX(Projects[MS Tote Locations],295)</f>
        <v/>
      </c>
      <c r="E296" s="66">
        <f>INDEX(Projects[AS Robots],295)</f>
        <v/>
      </c>
      <c r="F296" s="66">
        <f>INDEX(Projects[AS Tote Locations],295)</f>
        <v/>
      </c>
      <c r="G296" s="66">
        <f>INDEX(Projects[PS Shuttles],295)</f>
        <v/>
      </c>
      <c r="H296" s="66">
        <f>INDEX(Projects[PS Pallet Locations],295)</f>
        <v/>
      </c>
      <c r="I296" s="66">
        <f>INDEX(Projects[SRM Cranes],295)</f>
        <v/>
      </c>
      <c r="J296" s="66">
        <f>INDEX(Projects[SRM Pallet Locations],295)</f>
        <v/>
      </c>
      <c r="K296" s="66">
        <f>INDEX(Projects[Case Conv (m)],295)</f>
        <v/>
      </c>
      <c r="L296" s="66">
        <f>INDEX(Projects[Pallet Conv (m)],295)</f>
        <v/>
      </c>
      <c r="M296" s="66">
        <f>INDEX(Projects[Mech Eng (wks)],295)</f>
        <v/>
      </c>
      <c r="N296" s="66">
        <f>INDEX(Projects[Controls Eng (wks)],295)</f>
        <v/>
      </c>
      <c r="O296" s="66">
        <f>INDEX(Projects[Systems Eng (wks)],295)</f>
        <v/>
      </c>
      <c r="P296" s="66">
        <f>INDEX(Projects[Software Eng (wks)],295)</f>
        <v/>
      </c>
      <c r="Q296" s="66">
        <f>INDEX(Projects[M&amp;E Installation (wks)],295)</f>
        <v/>
      </c>
      <c r="R296" s="66">
        <f>INDEX(Projects[Commissioning (wks)],295)</f>
        <v/>
      </c>
      <c r="S296" s="66">
        <f>INDEX(Projects[Total Timeline (wks)],295)</f>
        <v/>
      </c>
      <c r="T296" s="66">
        <f>INDEX(Projects[Currency],295)&amp;""</f>
        <v/>
      </c>
      <c r="U296" s="67">
        <f>INDEX(Projects[Value (M)],295)</f>
        <v/>
      </c>
      <c r="V296" s="66">
        <f>IF('Smart Search'!B13=1,IFERROR(1/'Smart Search'!H13,0),0)</f>
        <v/>
      </c>
      <c r="W296" s="66">
        <f>IF('Smart Search'!B13=1,IFERROR(1/'Smart Search'!H13,0),0)</f>
        <v/>
      </c>
      <c r="X296" s="66">
        <f>IF('Smart Search'!C13=1,IFERROR(1/'Smart Search'!H13,0),0)</f>
        <v/>
      </c>
      <c r="Y296" s="66">
        <f>IF('Smart Search'!C13=1,IFERROR(1/'Smart Search'!H13,0),0)</f>
        <v/>
      </c>
      <c r="Z296" s="66">
        <f>IF('Smart Search'!D13=1,IFERROR(1/'Smart Search'!H13,0),0)</f>
        <v/>
      </c>
      <c r="AA296" s="66">
        <f>IF('Smart Search'!D13=1,IFERROR(1/'Smart Search'!H13,0),0)</f>
        <v/>
      </c>
      <c r="AB296" s="66">
        <f>IF('Smart Search'!E13=1,IFERROR(1/'Smart Search'!H13,0),0)</f>
        <v/>
      </c>
      <c r="AC296" s="66">
        <f>IF('Smart Search'!E13=1,IFERROR(1/'Smart Search'!H13,0),0)</f>
        <v/>
      </c>
      <c r="AD296" s="66">
        <f>IF('Smart Search'!F13=1,IFERROR(1/'Smart Search'!H13,0),0)</f>
        <v/>
      </c>
      <c r="AE296" s="66">
        <f>IF('Smart Search'!F13=1,IFERROR(1/'Smart Search'!H13,0),0)</f>
        <v/>
      </c>
      <c r="AF296" s="66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66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66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66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66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66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66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66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66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66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66">
        <f>AF296*V296</f>
        <v/>
      </c>
      <c r="AQ296" s="66">
        <f>AG296*W296</f>
        <v/>
      </c>
      <c r="AR296" s="66">
        <f>AH296*X296</f>
        <v/>
      </c>
      <c r="AS296" s="66">
        <f>AI296*Y296</f>
        <v/>
      </c>
      <c r="AT296" s="66">
        <f>AJ296*Z296</f>
        <v/>
      </c>
      <c r="AU296" s="66">
        <f>AK296*AA296</f>
        <v/>
      </c>
      <c r="AV296" s="66">
        <f>AL296*AB296</f>
        <v/>
      </c>
      <c r="AW296" s="66">
        <f>AM296*AC296</f>
        <v/>
      </c>
      <c r="AX296" s="66">
        <f>AN296*AD296</f>
        <v/>
      </c>
      <c r="AY296" s="66">
        <f>AO296*AE296</f>
        <v/>
      </c>
      <c r="AZ296" s="66">
        <f>INDEX(Projects[Automation Equipment],295)&amp;""</f>
        <v/>
      </c>
      <c r="BA296" s="66">
        <f>IF(OR(A296="",'Smart Search'!H13=0),"",MAX(0,BE296*BF296*MAX(0,1-BG296)))</f>
        <v/>
      </c>
      <c r="BB296" s="66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66">
        <f>IF('Smart Search'!G13=1,IFERROR(1/'Smart Search'!H13,0),0)</f>
        <v/>
      </c>
      <c r="BD296" s="66">
        <f>BB296*BC296</f>
        <v/>
      </c>
      <c r="BE296" s="66">
        <f>AP296+AQ296+AR296+AS296+AT296+AU296+AV296+AW296+AX296+AY296+BD296</f>
        <v/>
      </c>
      <c r="BF296" s="5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5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5">
        <f>IF(AND(A296&lt;&gt;"",OR('Smart Search'!$L$5="",'Smart Search'!$L$5="All",TRIM(BZ296)=TRIM('Smart Search'!$L$5)),OR(TRIM('Smart Search'!$L$6)="",TRIM('Smart Search'!$L$6)="All",ISNUMBER(SEARCH(SUBSTITUTE(SUBSTITUTE(SUBSTITUTE(TRIM('Smart Search'!$L$6),"~","~~"),"*","~*"),"?","~?"),CA296))),OR('Smart Search'!$L$7="",AND(CB296&lt;&gt;0,CB296='Smart Search'!$L$7)),OR('Smart Search'!$L$8="",'Smart Search'!$L$8="All",TRIM(CC296)=TRIM('Smart Search'!$L$8))),IF(BA296="","",BA296+ROW()*0.0000000001),"")</f>
        <v/>
      </c>
      <c r="BI296" s="5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5">
        <f>IF(A296="","",N(INDEX(Projects[Mech Inst],295)))</f>
        <v/>
      </c>
      <c r="BK296" s="5">
        <f>IF(A296="","",N(INDEX(Projects[Elec Inst],295)))</f>
        <v/>
      </c>
      <c r="BL296" s="5">
        <f>IF(A296="","",N(INDEX(Projects[Project Management],295)))</f>
        <v/>
      </c>
      <c r="BM296" s="5">
        <f>IF(A296="","",N(INDEX(Projects[Systems Eng],295)))</f>
        <v/>
      </c>
      <c r="BN296" s="5">
        <f>IF(A296="","",N(INDEX(Projects[Mechanical Eng],295)))</f>
        <v/>
      </c>
      <c r="BO296" s="5">
        <f>IF(A296="","",N(INDEX(Projects[Structural Engineering],295)))</f>
        <v/>
      </c>
      <c r="BP296" s="5">
        <f>IF(A296="","",N(INDEX(Projects[Site Sup],295)))</f>
        <v/>
      </c>
      <c r="BQ296" s="5">
        <f>IF(A296="","",N(INDEX(Projects[Controls Commissioning],295)))</f>
        <v/>
      </c>
      <c r="BR296" s="5">
        <f>IF(A296="","",N(INDEX(Projects[Systems Commissioning],295)))</f>
        <v/>
      </c>
      <c r="BS296" s="5">
        <f>IF(A296="","",N(INDEX(Projects[Service Commissioning],295)))</f>
        <v/>
      </c>
      <c r="BT296" s="5">
        <f>IF(A296="","",N(INDEX(Projects[Controls Eng],295)))</f>
        <v/>
      </c>
      <c r="BU296" s="5">
        <f>IF(A296="","",N(INDEX(Projects[Controls Purchase],295)))</f>
        <v/>
      </c>
      <c r="BV296" s="5">
        <f>IF(A296="","",N(INDEX(Projects[Software Eng],295)))</f>
        <v/>
      </c>
      <c r="BW296" s="5">
        <f>IF(A296="","",N(INDEX(Projects[Misc],295)))</f>
        <v/>
      </c>
      <c r="BX296" s="5">
        <f>IF(A296="","",SUM(BJ296:BW296))</f>
        <v/>
      </c>
      <c r="BY296" s="5">
        <f>IF(A296="","",IFERROR(IF(ISNUMBER(U296),U296,VALUE(SUBSTITUTE(SUBSTITUTE(SUBSTITUTE(UPPER(TRIM(U296)),"M",""),",","")," ",""))),0))</f>
        <v/>
      </c>
      <c r="BZ296" s="5">
        <f>INDEX(Projects[Solution Type],295)&amp;""</f>
        <v/>
      </c>
      <c r="CA296" s="5">
        <f>INDEX(Projects[Client / Region],295)&amp;""</f>
        <v/>
      </c>
      <c r="CB296" s="5">
        <f>INDEX(Projects[Year],295)</f>
        <v/>
      </c>
      <c r="CC296" s="5">
        <f>INDEX(Projects[Won?],295)&amp;""</f>
        <v/>
      </c>
      <c r="CD296" s="5">
        <f>INDEX(Projects[Value (USD M)],295)</f>
        <v/>
      </c>
    </row>
    <row r="297" ht="15" customHeight="1" s="74">
      <c r="A297" s="66">
        <f>INDEX(Projects[Project ID *],296)&amp;""</f>
        <v/>
      </c>
      <c r="B297" s="66">
        <f>INDEX(Projects[Project Name *],296)&amp;""</f>
        <v/>
      </c>
      <c r="C297" s="66">
        <f>INDEX(Projects[MS Shuttles],296)</f>
        <v/>
      </c>
      <c r="D297" s="66">
        <f>INDEX(Projects[MS Tote Locations],296)</f>
        <v/>
      </c>
      <c r="E297" s="66">
        <f>INDEX(Projects[AS Robots],296)</f>
        <v/>
      </c>
      <c r="F297" s="66">
        <f>INDEX(Projects[AS Tote Locations],296)</f>
        <v/>
      </c>
      <c r="G297" s="66">
        <f>INDEX(Projects[PS Shuttles],296)</f>
        <v/>
      </c>
      <c r="H297" s="66">
        <f>INDEX(Projects[PS Pallet Locations],296)</f>
        <v/>
      </c>
      <c r="I297" s="66">
        <f>INDEX(Projects[SRM Cranes],296)</f>
        <v/>
      </c>
      <c r="J297" s="66">
        <f>INDEX(Projects[SRM Pallet Locations],296)</f>
        <v/>
      </c>
      <c r="K297" s="66">
        <f>INDEX(Projects[Case Conv (m)],296)</f>
        <v/>
      </c>
      <c r="L297" s="66">
        <f>INDEX(Projects[Pallet Conv (m)],296)</f>
        <v/>
      </c>
      <c r="M297" s="66">
        <f>INDEX(Projects[Mech Eng (wks)],296)</f>
        <v/>
      </c>
      <c r="N297" s="66">
        <f>INDEX(Projects[Controls Eng (wks)],296)</f>
        <v/>
      </c>
      <c r="O297" s="66">
        <f>INDEX(Projects[Systems Eng (wks)],296)</f>
        <v/>
      </c>
      <c r="P297" s="66">
        <f>INDEX(Projects[Software Eng (wks)],296)</f>
        <v/>
      </c>
      <c r="Q297" s="66">
        <f>INDEX(Projects[M&amp;E Installation (wks)],296)</f>
        <v/>
      </c>
      <c r="R297" s="66">
        <f>INDEX(Projects[Commissioning (wks)],296)</f>
        <v/>
      </c>
      <c r="S297" s="66">
        <f>INDEX(Projects[Total Timeline (wks)],296)</f>
        <v/>
      </c>
      <c r="T297" s="66">
        <f>INDEX(Projects[Currency],296)&amp;""</f>
        <v/>
      </c>
      <c r="U297" s="67">
        <f>INDEX(Projects[Value (M)],296)</f>
        <v/>
      </c>
      <c r="V297" s="66">
        <f>IF('Smart Search'!B13=1,IFERROR(1/'Smart Search'!H13,0),0)</f>
        <v/>
      </c>
      <c r="W297" s="66">
        <f>IF('Smart Search'!B13=1,IFERROR(1/'Smart Search'!H13,0),0)</f>
        <v/>
      </c>
      <c r="X297" s="66">
        <f>IF('Smart Search'!C13=1,IFERROR(1/'Smart Search'!H13,0),0)</f>
        <v/>
      </c>
      <c r="Y297" s="66">
        <f>IF('Smart Search'!C13=1,IFERROR(1/'Smart Search'!H13,0),0)</f>
        <v/>
      </c>
      <c r="Z297" s="66">
        <f>IF('Smart Search'!D13=1,IFERROR(1/'Smart Search'!H13,0),0)</f>
        <v/>
      </c>
      <c r="AA297" s="66">
        <f>IF('Smart Search'!D13=1,IFERROR(1/'Smart Search'!H13,0),0)</f>
        <v/>
      </c>
      <c r="AB297" s="66">
        <f>IF('Smart Search'!E13=1,IFERROR(1/'Smart Search'!H13,0),0)</f>
        <v/>
      </c>
      <c r="AC297" s="66">
        <f>IF('Smart Search'!E13=1,IFERROR(1/'Smart Search'!H13,0),0)</f>
        <v/>
      </c>
      <c r="AD297" s="66">
        <f>IF('Smart Search'!F13=1,IFERROR(1/'Smart Search'!H13,0),0)</f>
        <v/>
      </c>
      <c r="AE297" s="66">
        <f>IF('Smart Search'!F13=1,IFERROR(1/'Smart Search'!H13,0),0)</f>
        <v/>
      </c>
      <c r="AF297" s="66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66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66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66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66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66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66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66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66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66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66">
        <f>AF297*V297</f>
        <v/>
      </c>
      <c r="AQ297" s="66">
        <f>AG297*W297</f>
        <v/>
      </c>
      <c r="AR297" s="66">
        <f>AH297*X297</f>
        <v/>
      </c>
      <c r="AS297" s="66">
        <f>AI297*Y297</f>
        <v/>
      </c>
      <c r="AT297" s="66">
        <f>AJ297*Z297</f>
        <v/>
      </c>
      <c r="AU297" s="66">
        <f>AK297*AA297</f>
        <v/>
      </c>
      <c r="AV297" s="66">
        <f>AL297*AB297</f>
        <v/>
      </c>
      <c r="AW297" s="66">
        <f>AM297*AC297</f>
        <v/>
      </c>
      <c r="AX297" s="66">
        <f>AN297*AD297</f>
        <v/>
      </c>
      <c r="AY297" s="66">
        <f>AO297*AE297</f>
        <v/>
      </c>
      <c r="AZ297" s="66">
        <f>INDEX(Projects[Automation Equipment],296)&amp;""</f>
        <v/>
      </c>
      <c r="BA297" s="66">
        <f>IF(OR(A297="",'Smart Search'!H13=0),"",MAX(0,BE297*BF297*MAX(0,1-BG297)))</f>
        <v/>
      </c>
      <c r="BB297" s="66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66">
        <f>IF('Smart Search'!G13=1,IFERROR(1/'Smart Search'!H13,0),0)</f>
        <v/>
      </c>
      <c r="BD297" s="66">
        <f>BB297*BC297</f>
        <v/>
      </c>
      <c r="BE297" s="66">
        <f>AP297+AQ297+AR297+AS297+AT297+AU297+AV297+AW297+AX297+AY297+BD297</f>
        <v/>
      </c>
      <c r="BF297" s="5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5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5">
        <f>IF(AND(A297&lt;&gt;"",OR('Smart Search'!$L$5="",'Smart Search'!$L$5="All",TRIM(BZ297)=TRIM('Smart Search'!$L$5)),OR(TRIM('Smart Search'!$L$6)="",TRIM('Smart Search'!$L$6)="All",ISNUMBER(SEARCH(SUBSTITUTE(SUBSTITUTE(SUBSTITUTE(TRIM('Smart Search'!$L$6),"~","~~"),"*","~*"),"?","~?"),CA297))),OR('Smart Search'!$L$7="",AND(CB297&lt;&gt;0,CB297='Smart Search'!$L$7)),OR('Smart Search'!$L$8="",'Smart Search'!$L$8="All",TRIM(CC297)=TRIM('Smart Search'!$L$8))),IF(BA297="","",BA297+ROW()*0.0000000001),"")</f>
        <v/>
      </c>
      <c r="BI297" s="5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5">
        <f>IF(A297="","",N(INDEX(Projects[Mech Inst],296)))</f>
        <v/>
      </c>
      <c r="BK297" s="5">
        <f>IF(A297="","",N(INDEX(Projects[Elec Inst],296)))</f>
        <v/>
      </c>
      <c r="BL297" s="5">
        <f>IF(A297="","",N(INDEX(Projects[Project Management],296)))</f>
        <v/>
      </c>
      <c r="BM297" s="5">
        <f>IF(A297="","",N(INDEX(Projects[Systems Eng],296)))</f>
        <v/>
      </c>
      <c r="BN297" s="5">
        <f>IF(A297="","",N(INDEX(Projects[Mechanical Eng],296)))</f>
        <v/>
      </c>
      <c r="BO297" s="5">
        <f>IF(A297="","",N(INDEX(Projects[Structural Engineering],296)))</f>
        <v/>
      </c>
      <c r="BP297" s="5">
        <f>IF(A297="","",N(INDEX(Projects[Site Sup],296)))</f>
        <v/>
      </c>
      <c r="BQ297" s="5">
        <f>IF(A297="","",N(INDEX(Projects[Controls Commissioning],296)))</f>
        <v/>
      </c>
      <c r="BR297" s="5">
        <f>IF(A297="","",N(INDEX(Projects[Systems Commissioning],296)))</f>
        <v/>
      </c>
      <c r="BS297" s="5">
        <f>IF(A297="","",N(INDEX(Projects[Service Commissioning],296)))</f>
        <v/>
      </c>
      <c r="BT297" s="5">
        <f>IF(A297="","",N(INDEX(Projects[Controls Eng],296)))</f>
        <v/>
      </c>
      <c r="BU297" s="5">
        <f>IF(A297="","",N(INDEX(Projects[Controls Purchase],296)))</f>
        <v/>
      </c>
      <c r="BV297" s="5">
        <f>IF(A297="","",N(INDEX(Projects[Software Eng],296)))</f>
        <v/>
      </c>
      <c r="BW297" s="5">
        <f>IF(A297="","",N(INDEX(Projects[Misc],296)))</f>
        <v/>
      </c>
      <c r="BX297" s="5">
        <f>IF(A297="","",SUM(BJ297:BW297))</f>
        <v/>
      </c>
      <c r="BY297" s="5">
        <f>IF(A297="","",IFERROR(IF(ISNUMBER(U297),U297,VALUE(SUBSTITUTE(SUBSTITUTE(SUBSTITUTE(UPPER(TRIM(U297)),"M",""),",","")," ",""))),0))</f>
        <v/>
      </c>
      <c r="BZ297" s="5">
        <f>INDEX(Projects[Solution Type],296)&amp;""</f>
        <v/>
      </c>
      <c r="CA297" s="5">
        <f>INDEX(Projects[Client / Region],296)&amp;""</f>
        <v/>
      </c>
      <c r="CB297" s="5">
        <f>INDEX(Projects[Year],296)</f>
        <v/>
      </c>
      <c r="CC297" s="5">
        <f>INDEX(Projects[Won?],296)&amp;""</f>
        <v/>
      </c>
      <c r="CD297" s="5">
        <f>INDEX(Projects[Value (USD M)],296)</f>
        <v/>
      </c>
    </row>
    <row r="298" ht="15" customHeight="1" s="74">
      <c r="A298" s="66">
        <f>INDEX(Projects[Project ID *],297)&amp;""</f>
        <v/>
      </c>
      <c r="B298" s="66">
        <f>INDEX(Projects[Project Name *],297)&amp;""</f>
        <v/>
      </c>
      <c r="C298" s="66">
        <f>INDEX(Projects[MS Shuttles],297)</f>
        <v/>
      </c>
      <c r="D298" s="66">
        <f>INDEX(Projects[MS Tote Locations],297)</f>
        <v/>
      </c>
      <c r="E298" s="66">
        <f>INDEX(Projects[AS Robots],297)</f>
        <v/>
      </c>
      <c r="F298" s="66">
        <f>INDEX(Projects[AS Tote Locations],297)</f>
        <v/>
      </c>
      <c r="G298" s="66">
        <f>INDEX(Projects[PS Shuttles],297)</f>
        <v/>
      </c>
      <c r="H298" s="66">
        <f>INDEX(Projects[PS Pallet Locations],297)</f>
        <v/>
      </c>
      <c r="I298" s="66">
        <f>INDEX(Projects[SRM Cranes],297)</f>
        <v/>
      </c>
      <c r="J298" s="66">
        <f>INDEX(Projects[SRM Pallet Locations],297)</f>
        <v/>
      </c>
      <c r="K298" s="66">
        <f>INDEX(Projects[Case Conv (m)],297)</f>
        <v/>
      </c>
      <c r="L298" s="66">
        <f>INDEX(Projects[Pallet Conv (m)],297)</f>
        <v/>
      </c>
      <c r="M298" s="66">
        <f>INDEX(Projects[Mech Eng (wks)],297)</f>
        <v/>
      </c>
      <c r="N298" s="66">
        <f>INDEX(Projects[Controls Eng (wks)],297)</f>
        <v/>
      </c>
      <c r="O298" s="66">
        <f>INDEX(Projects[Systems Eng (wks)],297)</f>
        <v/>
      </c>
      <c r="P298" s="66">
        <f>INDEX(Projects[Software Eng (wks)],297)</f>
        <v/>
      </c>
      <c r="Q298" s="66">
        <f>INDEX(Projects[M&amp;E Installation (wks)],297)</f>
        <v/>
      </c>
      <c r="R298" s="66">
        <f>INDEX(Projects[Commissioning (wks)],297)</f>
        <v/>
      </c>
      <c r="S298" s="66">
        <f>INDEX(Projects[Total Timeline (wks)],297)</f>
        <v/>
      </c>
      <c r="T298" s="66">
        <f>INDEX(Projects[Currency],297)&amp;""</f>
        <v/>
      </c>
      <c r="U298" s="67">
        <f>INDEX(Projects[Value (M)],297)</f>
        <v/>
      </c>
      <c r="V298" s="66">
        <f>IF('Smart Search'!B13=1,IFERROR(1/'Smart Search'!H13,0),0)</f>
        <v/>
      </c>
      <c r="W298" s="66">
        <f>IF('Smart Search'!B13=1,IFERROR(1/'Smart Search'!H13,0),0)</f>
        <v/>
      </c>
      <c r="X298" s="66">
        <f>IF('Smart Search'!C13=1,IFERROR(1/'Smart Search'!H13,0),0)</f>
        <v/>
      </c>
      <c r="Y298" s="66">
        <f>IF('Smart Search'!C13=1,IFERROR(1/'Smart Search'!H13,0),0)</f>
        <v/>
      </c>
      <c r="Z298" s="66">
        <f>IF('Smart Search'!D13=1,IFERROR(1/'Smart Search'!H13,0),0)</f>
        <v/>
      </c>
      <c r="AA298" s="66">
        <f>IF('Smart Search'!D13=1,IFERROR(1/'Smart Search'!H13,0),0)</f>
        <v/>
      </c>
      <c r="AB298" s="66">
        <f>IF('Smart Search'!E13=1,IFERROR(1/'Smart Search'!H13,0),0)</f>
        <v/>
      </c>
      <c r="AC298" s="66">
        <f>IF('Smart Search'!E13=1,IFERROR(1/'Smart Search'!H13,0),0)</f>
        <v/>
      </c>
      <c r="AD298" s="66">
        <f>IF('Smart Search'!F13=1,IFERROR(1/'Smart Search'!H13,0),0)</f>
        <v/>
      </c>
      <c r="AE298" s="66">
        <f>IF('Smart Search'!F13=1,IFERROR(1/'Smart Search'!H13,0),0)</f>
        <v/>
      </c>
      <c r="AF298" s="66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66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66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66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66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66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66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66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66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66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66">
        <f>AF298*V298</f>
        <v/>
      </c>
      <c r="AQ298" s="66">
        <f>AG298*W298</f>
        <v/>
      </c>
      <c r="AR298" s="66">
        <f>AH298*X298</f>
        <v/>
      </c>
      <c r="AS298" s="66">
        <f>AI298*Y298</f>
        <v/>
      </c>
      <c r="AT298" s="66">
        <f>AJ298*Z298</f>
        <v/>
      </c>
      <c r="AU298" s="66">
        <f>AK298*AA298</f>
        <v/>
      </c>
      <c r="AV298" s="66">
        <f>AL298*AB298</f>
        <v/>
      </c>
      <c r="AW298" s="66">
        <f>AM298*AC298</f>
        <v/>
      </c>
      <c r="AX298" s="66">
        <f>AN298*AD298</f>
        <v/>
      </c>
      <c r="AY298" s="66">
        <f>AO298*AE298</f>
        <v/>
      </c>
      <c r="AZ298" s="66">
        <f>INDEX(Projects[Automation Equipment],297)&amp;""</f>
        <v/>
      </c>
      <c r="BA298" s="66">
        <f>IF(OR(A298="",'Smart Search'!H13=0),"",MAX(0,BE298*BF298*MAX(0,1-BG298)))</f>
        <v/>
      </c>
      <c r="BB298" s="66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66">
        <f>IF('Smart Search'!G13=1,IFERROR(1/'Smart Search'!H13,0),0)</f>
        <v/>
      </c>
      <c r="BD298" s="66">
        <f>BB298*BC298</f>
        <v/>
      </c>
      <c r="BE298" s="66">
        <f>AP298+AQ298+AR298+AS298+AT298+AU298+AV298+AW298+AX298+AY298+BD298</f>
        <v/>
      </c>
      <c r="BF298" s="5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5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5">
        <f>IF(AND(A298&lt;&gt;"",OR('Smart Search'!$L$5="",'Smart Search'!$L$5="All",TRIM(BZ298)=TRIM('Smart Search'!$L$5)),OR(TRIM('Smart Search'!$L$6)="",TRIM('Smart Search'!$L$6)="All",ISNUMBER(SEARCH(SUBSTITUTE(SUBSTITUTE(SUBSTITUTE(TRIM('Smart Search'!$L$6),"~","~~"),"*","~*"),"?","~?"),CA298))),OR('Smart Search'!$L$7="",AND(CB298&lt;&gt;0,CB298='Smart Search'!$L$7)),OR('Smart Search'!$L$8="",'Smart Search'!$L$8="All",TRIM(CC298)=TRIM('Smart Search'!$L$8))),IF(BA298="","",BA298+ROW()*0.0000000001),"")</f>
        <v/>
      </c>
      <c r="BI298" s="5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5">
        <f>IF(A298="","",N(INDEX(Projects[Mech Inst],297)))</f>
        <v/>
      </c>
      <c r="BK298" s="5">
        <f>IF(A298="","",N(INDEX(Projects[Elec Inst],297)))</f>
        <v/>
      </c>
      <c r="BL298" s="5">
        <f>IF(A298="","",N(INDEX(Projects[Project Management],297)))</f>
        <v/>
      </c>
      <c r="BM298" s="5">
        <f>IF(A298="","",N(INDEX(Projects[Systems Eng],297)))</f>
        <v/>
      </c>
      <c r="BN298" s="5">
        <f>IF(A298="","",N(INDEX(Projects[Mechanical Eng],297)))</f>
        <v/>
      </c>
      <c r="BO298" s="5">
        <f>IF(A298="","",N(INDEX(Projects[Structural Engineering],297)))</f>
        <v/>
      </c>
      <c r="BP298" s="5">
        <f>IF(A298="","",N(INDEX(Projects[Site Sup],297)))</f>
        <v/>
      </c>
      <c r="BQ298" s="5">
        <f>IF(A298="","",N(INDEX(Projects[Controls Commissioning],297)))</f>
        <v/>
      </c>
      <c r="BR298" s="5">
        <f>IF(A298="","",N(INDEX(Projects[Systems Commissioning],297)))</f>
        <v/>
      </c>
      <c r="BS298" s="5">
        <f>IF(A298="","",N(INDEX(Projects[Service Commissioning],297)))</f>
        <v/>
      </c>
      <c r="BT298" s="5">
        <f>IF(A298="","",N(INDEX(Projects[Controls Eng],297)))</f>
        <v/>
      </c>
      <c r="BU298" s="5">
        <f>IF(A298="","",N(INDEX(Projects[Controls Purchase],297)))</f>
        <v/>
      </c>
      <c r="BV298" s="5">
        <f>IF(A298="","",N(INDEX(Projects[Software Eng],297)))</f>
        <v/>
      </c>
      <c r="BW298" s="5">
        <f>IF(A298="","",N(INDEX(Projects[Misc],297)))</f>
        <v/>
      </c>
      <c r="BX298" s="5">
        <f>IF(A298="","",SUM(BJ298:BW298))</f>
        <v/>
      </c>
      <c r="BY298" s="5">
        <f>IF(A298="","",IFERROR(IF(ISNUMBER(U298),U298,VALUE(SUBSTITUTE(SUBSTITUTE(SUBSTITUTE(UPPER(TRIM(U298)),"M",""),",","")," ",""))),0))</f>
        <v/>
      </c>
      <c r="BZ298" s="5">
        <f>INDEX(Projects[Solution Type],297)&amp;""</f>
        <v/>
      </c>
      <c r="CA298" s="5">
        <f>INDEX(Projects[Client / Region],297)&amp;""</f>
        <v/>
      </c>
      <c r="CB298" s="5">
        <f>INDEX(Projects[Year],297)</f>
        <v/>
      </c>
      <c r="CC298" s="5">
        <f>INDEX(Projects[Won?],297)&amp;""</f>
        <v/>
      </c>
      <c r="CD298" s="5">
        <f>INDEX(Projects[Value (USD M)],297)</f>
        <v/>
      </c>
    </row>
    <row r="299" ht="15" customHeight="1" s="74">
      <c r="A299" s="66">
        <f>INDEX(Projects[Project ID *],298)&amp;""</f>
        <v/>
      </c>
      <c r="B299" s="66">
        <f>INDEX(Projects[Project Name *],298)&amp;""</f>
        <v/>
      </c>
      <c r="C299" s="66">
        <f>INDEX(Projects[MS Shuttles],298)</f>
        <v/>
      </c>
      <c r="D299" s="66">
        <f>INDEX(Projects[MS Tote Locations],298)</f>
        <v/>
      </c>
      <c r="E299" s="66">
        <f>INDEX(Projects[AS Robots],298)</f>
        <v/>
      </c>
      <c r="F299" s="66">
        <f>INDEX(Projects[AS Tote Locations],298)</f>
        <v/>
      </c>
      <c r="G299" s="66">
        <f>INDEX(Projects[PS Shuttles],298)</f>
        <v/>
      </c>
      <c r="H299" s="66">
        <f>INDEX(Projects[PS Pallet Locations],298)</f>
        <v/>
      </c>
      <c r="I299" s="66">
        <f>INDEX(Projects[SRM Cranes],298)</f>
        <v/>
      </c>
      <c r="J299" s="66">
        <f>INDEX(Projects[SRM Pallet Locations],298)</f>
        <v/>
      </c>
      <c r="K299" s="66">
        <f>INDEX(Projects[Case Conv (m)],298)</f>
        <v/>
      </c>
      <c r="L299" s="66">
        <f>INDEX(Projects[Pallet Conv (m)],298)</f>
        <v/>
      </c>
      <c r="M299" s="66">
        <f>INDEX(Projects[Mech Eng (wks)],298)</f>
        <v/>
      </c>
      <c r="N299" s="66">
        <f>INDEX(Projects[Controls Eng (wks)],298)</f>
        <v/>
      </c>
      <c r="O299" s="66">
        <f>INDEX(Projects[Systems Eng (wks)],298)</f>
        <v/>
      </c>
      <c r="P299" s="66">
        <f>INDEX(Projects[Software Eng (wks)],298)</f>
        <v/>
      </c>
      <c r="Q299" s="66">
        <f>INDEX(Projects[M&amp;E Installation (wks)],298)</f>
        <v/>
      </c>
      <c r="R299" s="66">
        <f>INDEX(Projects[Commissioning (wks)],298)</f>
        <v/>
      </c>
      <c r="S299" s="66">
        <f>INDEX(Projects[Total Timeline (wks)],298)</f>
        <v/>
      </c>
      <c r="T299" s="66">
        <f>INDEX(Projects[Currency],298)&amp;""</f>
        <v/>
      </c>
      <c r="U299" s="67">
        <f>INDEX(Projects[Value (M)],298)</f>
        <v/>
      </c>
      <c r="V299" s="66">
        <f>IF('Smart Search'!B13=1,IFERROR(1/'Smart Search'!H13,0),0)</f>
        <v/>
      </c>
      <c r="W299" s="66">
        <f>IF('Smart Search'!B13=1,IFERROR(1/'Smart Search'!H13,0),0)</f>
        <v/>
      </c>
      <c r="X299" s="66">
        <f>IF('Smart Search'!C13=1,IFERROR(1/'Smart Search'!H13,0),0)</f>
        <v/>
      </c>
      <c r="Y299" s="66">
        <f>IF('Smart Search'!C13=1,IFERROR(1/'Smart Search'!H13,0),0)</f>
        <v/>
      </c>
      <c r="Z299" s="66">
        <f>IF('Smart Search'!D13=1,IFERROR(1/'Smart Search'!H13,0),0)</f>
        <v/>
      </c>
      <c r="AA299" s="66">
        <f>IF('Smart Search'!D13=1,IFERROR(1/'Smart Search'!H13,0),0)</f>
        <v/>
      </c>
      <c r="AB299" s="66">
        <f>IF('Smart Search'!E13=1,IFERROR(1/'Smart Search'!H13,0),0)</f>
        <v/>
      </c>
      <c r="AC299" s="66">
        <f>IF('Smart Search'!E13=1,IFERROR(1/'Smart Search'!H13,0),0)</f>
        <v/>
      </c>
      <c r="AD299" s="66">
        <f>IF('Smart Search'!F13=1,IFERROR(1/'Smart Search'!H13,0),0)</f>
        <v/>
      </c>
      <c r="AE299" s="66">
        <f>IF('Smart Search'!F13=1,IFERROR(1/'Smart Search'!H13,0),0)</f>
        <v/>
      </c>
      <c r="AF299" s="66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66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66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66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66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66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66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66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66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66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66">
        <f>AF299*V299</f>
        <v/>
      </c>
      <c r="AQ299" s="66">
        <f>AG299*W299</f>
        <v/>
      </c>
      <c r="AR299" s="66">
        <f>AH299*X299</f>
        <v/>
      </c>
      <c r="AS299" s="66">
        <f>AI299*Y299</f>
        <v/>
      </c>
      <c r="AT299" s="66">
        <f>AJ299*Z299</f>
        <v/>
      </c>
      <c r="AU299" s="66">
        <f>AK299*AA299</f>
        <v/>
      </c>
      <c r="AV299" s="66">
        <f>AL299*AB299</f>
        <v/>
      </c>
      <c r="AW299" s="66">
        <f>AM299*AC299</f>
        <v/>
      </c>
      <c r="AX299" s="66">
        <f>AN299*AD299</f>
        <v/>
      </c>
      <c r="AY299" s="66">
        <f>AO299*AE299</f>
        <v/>
      </c>
      <c r="AZ299" s="66">
        <f>INDEX(Projects[Automation Equipment],298)&amp;""</f>
        <v/>
      </c>
      <c r="BA299" s="66">
        <f>IF(OR(A299="",'Smart Search'!H13=0),"",MAX(0,BE299*BF299*MAX(0,1-BG299)))</f>
        <v/>
      </c>
      <c r="BB299" s="66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66">
        <f>IF('Smart Search'!G13=1,IFERROR(1/'Smart Search'!H13,0),0)</f>
        <v/>
      </c>
      <c r="BD299" s="66">
        <f>BB299*BC299</f>
        <v/>
      </c>
      <c r="BE299" s="66">
        <f>AP299+AQ299+AR299+AS299+AT299+AU299+AV299+AW299+AX299+AY299+BD299</f>
        <v/>
      </c>
      <c r="BF299" s="5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5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5">
        <f>IF(AND(A299&lt;&gt;"",OR('Smart Search'!$L$5="",'Smart Search'!$L$5="All",TRIM(BZ299)=TRIM('Smart Search'!$L$5)),OR(TRIM('Smart Search'!$L$6)="",TRIM('Smart Search'!$L$6)="All",ISNUMBER(SEARCH(SUBSTITUTE(SUBSTITUTE(SUBSTITUTE(TRIM('Smart Search'!$L$6),"~","~~"),"*","~*"),"?","~?"),CA299))),OR('Smart Search'!$L$7="",AND(CB299&lt;&gt;0,CB299='Smart Search'!$L$7)),OR('Smart Search'!$L$8="",'Smart Search'!$L$8="All",TRIM(CC299)=TRIM('Smart Search'!$L$8))),IF(BA299="","",BA299+ROW()*0.0000000001),"")</f>
        <v/>
      </c>
      <c r="BI299" s="5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5">
        <f>IF(A299="","",N(INDEX(Projects[Mech Inst],298)))</f>
        <v/>
      </c>
      <c r="BK299" s="5">
        <f>IF(A299="","",N(INDEX(Projects[Elec Inst],298)))</f>
        <v/>
      </c>
      <c r="BL299" s="5">
        <f>IF(A299="","",N(INDEX(Projects[Project Management],298)))</f>
        <v/>
      </c>
      <c r="BM299" s="5">
        <f>IF(A299="","",N(INDEX(Projects[Systems Eng],298)))</f>
        <v/>
      </c>
      <c r="BN299" s="5">
        <f>IF(A299="","",N(INDEX(Projects[Mechanical Eng],298)))</f>
        <v/>
      </c>
      <c r="BO299" s="5">
        <f>IF(A299="","",N(INDEX(Projects[Structural Engineering],298)))</f>
        <v/>
      </c>
      <c r="BP299" s="5">
        <f>IF(A299="","",N(INDEX(Projects[Site Sup],298)))</f>
        <v/>
      </c>
      <c r="BQ299" s="5">
        <f>IF(A299="","",N(INDEX(Projects[Controls Commissioning],298)))</f>
        <v/>
      </c>
      <c r="BR299" s="5">
        <f>IF(A299="","",N(INDEX(Projects[Systems Commissioning],298)))</f>
        <v/>
      </c>
      <c r="BS299" s="5">
        <f>IF(A299="","",N(INDEX(Projects[Service Commissioning],298)))</f>
        <v/>
      </c>
      <c r="BT299" s="5">
        <f>IF(A299="","",N(INDEX(Projects[Controls Eng],298)))</f>
        <v/>
      </c>
      <c r="BU299" s="5">
        <f>IF(A299="","",N(INDEX(Projects[Controls Purchase],298)))</f>
        <v/>
      </c>
      <c r="BV299" s="5">
        <f>IF(A299="","",N(INDEX(Projects[Software Eng],298)))</f>
        <v/>
      </c>
      <c r="BW299" s="5">
        <f>IF(A299="","",N(INDEX(Projects[Misc],298)))</f>
        <v/>
      </c>
      <c r="BX299" s="5">
        <f>IF(A299="","",SUM(BJ299:BW299))</f>
        <v/>
      </c>
      <c r="BY299" s="5">
        <f>IF(A299="","",IFERROR(IF(ISNUMBER(U299),U299,VALUE(SUBSTITUTE(SUBSTITUTE(SUBSTITUTE(UPPER(TRIM(U299)),"M",""),",","")," ",""))),0))</f>
        <v/>
      </c>
      <c r="BZ299" s="5">
        <f>INDEX(Projects[Solution Type],298)&amp;""</f>
        <v/>
      </c>
      <c r="CA299" s="5">
        <f>INDEX(Projects[Client / Region],298)&amp;""</f>
        <v/>
      </c>
      <c r="CB299" s="5">
        <f>INDEX(Projects[Year],298)</f>
        <v/>
      </c>
      <c r="CC299" s="5">
        <f>INDEX(Projects[Won?],298)&amp;""</f>
        <v/>
      </c>
      <c r="CD299" s="5">
        <f>INDEX(Projects[Value (USD M)],298)</f>
        <v/>
      </c>
    </row>
    <row r="300" ht="15" customHeight="1" s="74">
      <c r="A300" s="66">
        <f>INDEX(Projects[Project ID *],299)&amp;""</f>
        <v/>
      </c>
      <c r="B300" s="66">
        <f>INDEX(Projects[Project Name *],299)&amp;""</f>
        <v/>
      </c>
      <c r="C300" s="66">
        <f>INDEX(Projects[MS Shuttles],299)</f>
        <v/>
      </c>
      <c r="D300" s="66">
        <f>INDEX(Projects[MS Tote Locations],299)</f>
        <v/>
      </c>
      <c r="E300" s="66">
        <f>INDEX(Projects[AS Robots],299)</f>
        <v/>
      </c>
      <c r="F300" s="66">
        <f>INDEX(Projects[AS Tote Locations],299)</f>
        <v/>
      </c>
      <c r="G300" s="66">
        <f>INDEX(Projects[PS Shuttles],299)</f>
        <v/>
      </c>
      <c r="H300" s="66">
        <f>INDEX(Projects[PS Pallet Locations],299)</f>
        <v/>
      </c>
      <c r="I300" s="66">
        <f>INDEX(Projects[SRM Cranes],299)</f>
        <v/>
      </c>
      <c r="J300" s="66">
        <f>INDEX(Projects[SRM Pallet Locations],299)</f>
        <v/>
      </c>
      <c r="K300" s="66">
        <f>INDEX(Projects[Case Conv (m)],299)</f>
        <v/>
      </c>
      <c r="L300" s="66">
        <f>INDEX(Projects[Pallet Conv (m)],299)</f>
        <v/>
      </c>
      <c r="M300" s="66">
        <f>INDEX(Projects[Mech Eng (wks)],299)</f>
        <v/>
      </c>
      <c r="N300" s="66">
        <f>INDEX(Projects[Controls Eng (wks)],299)</f>
        <v/>
      </c>
      <c r="O300" s="66">
        <f>INDEX(Projects[Systems Eng (wks)],299)</f>
        <v/>
      </c>
      <c r="P300" s="66">
        <f>INDEX(Projects[Software Eng (wks)],299)</f>
        <v/>
      </c>
      <c r="Q300" s="66">
        <f>INDEX(Projects[M&amp;E Installation (wks)],299)</f>
        <v/>
      </c>
      <c r="R300" s="66">
        <f>INDEX(Projects[Commissioning (wks)],299)</f>
        <v/>
      </c>
      <c r="S300" s="66">
        <f>INDEX(Projects[Total Timeline (wks)],299)</f>
        <v/>
      </c>
      <c r="T300" s="66">
        <f>INDEX(Projects[Currency],299)&amp;""</f>
        <v/>
      </c>
      <c r="U300" s="67">
        <f>INDEX(Projects[Value (M)],299)</f>
        <v/>
      </c>
      <c r="V300" s="66">
        <f>IF('Smart Search'!B13=1,IFERROR(1/'Smart Search'!H13,0),0)</f>
        <v/>
      </c>
      <c r="W300" s="66">
        <f>IF('Smart Search'!B13=1,IFERROR(1/'Smart Search'!H13,0),0)</f>
        <v/>
      </c>
      <c r="X300" s="66">
        <f>IF('Smart Search'!C13=1,IFERROR(1/'Smart Search'!H13,0),0)</f>
        <v/>
      </c>
      <c r="Y300" s="66">
        <f>IF('Smart Search'!C13=1,IFERROR(1/'Smart Search'!H13,0),0)</f>
        <v/>
      </c>
      <c r="Z300" s="66">
        <f>IF('Smart Search'!D13=1,IFERROR(1/'Smart Search'!H13,0),0)</f>
        <v/>
      </c>
      <c r="AA300" s="66">
        <f>IF('Smart Search'!D13=1,IFERROR(1/'Smart Search'!H13,0),0)</f>
        <v/>
      </c>
      <c r="AB300" s="66">
        <f>IF('Smart Search'!E13=1,IFERROR(1/'Smart Search'!H13,0),0)</f>
        <v/>
      </c>
      <c r="AC300" s="66">
        <f>IF('Smart Search'!E13=1,IFERROR(1/'Smart Search'!H13,0),0)</f>
        <v/>
      </c>
      <c r="AD300" s="66">
        <f>IF('Smart Search'!F13=1,IFERROR(1/'Smart Search'!H13,0),0)</f>
        <v/>
      </c>
      <c r="AE300" s="66">
        <f>IF('Smart Search'!F13=1,IFERROR(1/'Smart Search'!H13,0),0)</f>
        <v/>
      </c>
      <c r="AF300" s="66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66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66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66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66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66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66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66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66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66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66">
        <f>AF300*V300</f>
        <v/>
      </c>
      <c r="AQ300" s="66">
        <f>AG300*W300</f>
        <v/>
      </c>
      <c r="AR300" s="66">
        <f>AH300*X300</f>
        <v/>
      </c>
      <c r="AS300" s="66">
        <f>AI300*Y300</f>
        <v/>
      </c>
      <c r="AT300" s="66">
        <f>AJ300*Z300</f>
        <v/>
      </c>
      <c r="AU300" s="66">
        <f>AK300*AA300</f>
        <v/>
      </c>
      <c r="AV300" s="66">
        <f>AL300*AB300</f>
        <v/>
      </c>
      <c r="AW300" s="66">
        <f>AM300*AC300</f>
        <v/>
      </c>
      <c r="AX300" s="66">
        <f>AN300*AD300</f>
        <v/>
      </c>
      <c r="AY300" s="66">
        <f>AO300*AE300</f>
        <v/>
      </c>
      <c r="AZ300" s="66">
        <f>INDEX(Projects[Automation Equipment],299)&amp;""</f>
        <v/>
      </c>
      <c r="BA300" s="66">
        <f>IF(OR(A300="",'Smart Search'!H13=0),"",MAX(0,BE300*BF300*MAX(0,1-BG300)))</f>
        <v/>
      </c>
      <c r="BB300" s="66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66">
        <f>IF('Smart Search'!G13=1,IFERROR(1/'Smart Search'!H13,0),0)</f>
        <v/>
      </c>
      <c r="BD300" s="66">
        <f>BB300*BC300</f>
        <v/>
      </c>
      <c r="BE300" s="66">
        <f>AP300+AQ300+AR300+AS300+AT300+AU300+AV300+AW300+AX300+AY300+BD300</f>
        <v/>
      </c>
      <c r="BF300" s="5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5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5">
        <f>IF(AND(A300&lt;&gt;"",OR('Smart Search'!$L$5="",'Smart Search'!$L$5="All",TRIM(BZ300)=TRIM('Smart Search'!$L$5)),OR(TRIM('Smart Search'!$L$6)="",TRIM('Smart Search'!$L$6)="All",ISNUMBER(SEARCH(SUBSTITUTE(SUBSTITUTE(SUBSTITUTE(TRIM('Smart Search'!$L$6),"~","~~"),"*","~*"),"?","~?"),CA300))),OR('Smart Search'!$L$7="",AND(CB300&lt;&gt;0,CB300='Smart Search'!$L$7)),OR('Smart Search'!$L$8="",'Smart Search'!$L$8="All",TRIM(CC300)=TRIM('Smart Search'!$L$8))),IF(BA300="","",BA300+ROW()*0.0000000001),"")</f>
        <v/>
      </c>
      <c r="BI300" s="5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5">
        <f>IF(A300="","",N(INDEX(Projects[Mech Inst],299)))</f>
        <v/>
      </c>
      <c r="BK300" s="5">
        <f>IF(A300="","",N(INDEX(Projects[Elec Inst],299)))</f>
        <v/>
      </c>
      <c r="BL300" s="5">
        <f>IF(A300="","",N(INDEX(Projects[Project Management],299)))</f>
        <v/>
      </c>
      <c r="BM300" s="5">
        <f>IF(A300="","",N(INDEX(Projects[Systems Eng],299)))</f>
        <v/>
      </c>
      <c r="BN300" s="5">
        <f>IF(A300="","",N(INDEX(Projects[Mechanical Eng],299)))</f>
        <v/>
      </c>
      <c r="BO300" s="5">
        <f>IF(A300="","",N(INDEX(Projects[Structural Engineering],299)))</f>
        <v/>
      </c>
      <c r="BP300" s="5">
        <f>IF(A300="","",N(INDEX(Projects[Site Sup],299)))</f>
        <v/>
      </c>
      <c r="BQ300" s="5">
        <f>IF(A300="","",N(INDEX(Projects[Controls Commissioning],299)))</f>
        <v/>
      </c>
      <c r="BR300" s="5">
        <f>IF(A300="","",N(INDEX(Projects[Systems Commissioning],299)))</f>
        <v/>
      </c>
      <c r="BS300" s="5">
        <f>IF(A300="","",N(INDEX(Projects[Service Commissioning],299)))</f>
        <v/>
      </c>
      <c r="BT300" s="5">
        <f>IF(A300="","",N(INDEX(Projects[Controls Eng],299)))</f>
        <v/>
      </c>
      <c r="BU300" s="5">
        <f>IF(A300="","",N(INDEX(Projects[Controls Purchase],299)))</f>
        <v/>
      </c>
      <c r="BV300" s="5">
        <f>IF(A300="","",N(INDEX(Projects[Software Eng],299)))</f>
        <v/>
      </c>
      <c r="BW300" s="5">
        <f>IF(A300="","",N(INDEX(Projects[Misc],299)))</f>
        <v/>
      </c>
      <c r="BX300" s="5">
        <f>IF(A300="","",SUM(BJ300:BW300))</f>
        <v/>
      </c>
      <c r="BY300" s="5">
        <f>IF(A300="","",IFERROR(IF(ISNUMBER(U300),U300,VALUE(SUBSTITUTE(SUBSTITUTE(SUBSTITUTE(UPPER(TRIM(U300)),"M",""),",","")," ",""))),0))</f>
        <v/>
      </c>
      <c r="BZ300" s="5">
        <f>INDEX(Projects[Solution Type],299)&amp;""</f>
        <v/>
      </c>
      <c r="CA300" s="5">
        <f>INDEX(Projects[Client / Region],299)&amp;""</f>
        <v/>
      </c>
      <c r="CB300" s="5">
        <f>INDEX(Projects[Year],299)</f>
        <v/>
      </c>
      <c r="CC300" s="5">
        <f>INDEX(Projects[Won?],299)&amp;""</f>
        <v/>
      </c>
      <c r="CD300" s="5">
        <f>INDEX(Projects[Value (USD M)],299)</f>
        <v/>
      </c>
    </row>
    <row r="301" ht="15" customHeight="1" s="74">
      <c r="A301" s="66">
        <f>INDEX(Projects[Project ID *],300)&amp;""</f>
        <v/>
      </c>
      <c r="B301" s="66">
        <f>INDEX(Projects[Project Name *],300)&amp;""</f>
        <v/>
      </c>
      <c r="C301" s="66">
        <f>INDEX(Projects[MS Shuttles],300)</f>
        <v/>
      </c>
      <c r="D301" s="66">
        <f>INDEX(Projects[MS Tote Locations],300)</f>
        <v/>
      </c>
      <c r="E301" s="66">
        <f>INDEX(Projects[AS Robots],300)</f>
        <v/>
      </c>
      <c r="F301" s="66">
        <f>INDEX(Projects[AS Tote Locations],300)</f>
        <v/>
      </c>
      <c r="G301" s="66">
        <f>INDEX(Projects[PS Shuttles],300)</f>
        <v/>
      </c>
      <c r="H301" s="66">
        <f>INDEX(Projects[PS Pallet Locations],300)</f>
        <v/>
      </c>
      <c r="I301" s="66">
        <f>INDEX(Projects[SRM Cranes],300)</f>
        <v/>
      </c>
      <c r="J301" s="66">
        <f>INDEX(Projects[SRM Pallet Locations],300)</f>
        <v/>
      </c>
      <c r="K301" s="66">
        <f>INDEX(Projects[Case Conv (m)],300)</f>
        <v/>
      </c>
      <c r="L301" s="66">
        <f>INDEX(Projects[Pallet Conv (m)],300)</f>
        <v/>
      </c>
      <c r="M301" s="66">
        <f>INDEX(Projects[Mech Eng (wks)],300)</f>
        <v/>
      </c>
      <c r="N301" s="66">
        <f>INDEX(Projects[Controls Eng (wks)],300)</f>
        <v/>
      </c>
      <c r="O301" s="66">
        <f>INDEX(Projects[Systems Eng (wks)],300)</f>
        <v/>
      </c>
      <c r="P301" s="66">
        <f>INDEX(Projects[Software Eng (wks)],300)</f>
        <v/>
      </c>
      <c r="Q301" s="66">
        <f>INDEX(Projects[M&amp;E Installation (wks)],300)</f>
        <v/>
      </c>
      <c r="R301" s="66">
        <f>INDEX(Projects[Commissioning (wks)],300)</f>
        <v/>
      </c>
      <c r="S301" s="66">
        <f>INDEX(Projects[Total Timeline (wks)],300)</f>
        <v/>
      </c>
      <c r="T301" s="66">
        <f>INDEX(Projects[Currency],300)&amp;""</f>
        <v/>
      </c>
      <c r="U301" s="67">
        <f>INDEX(Projects[Value (M)],300)</f>
        <v/>
      </c>
      <c r="V301" s="66">
        <f>IF('Smart Search'!B13=1,IFERROR(1/'Smart Search'!H13,0),0)</f>
        <v/>
      </c>
      <c r="W301" s="66">
        <f>IF('Smart Search'!B13=1,IFERROR(1/'Smart Search'!H13,0),0)</f>
        <v/>
      </c>
      <c r="X301" s="66">
        <f>IF('Smart Search'!C13=1,IFERROR(1/'Smart Search'!H13,0),0)</f>
        <v/>
      </c>
      <c r="Y301" s="66">
        <f>IF('Smart Search'!C13=1,IFERROR(1/'Smart Search'!H13,0),0)</f>
        <v/>
      </c>
      <c r="Z301" s="66">
        <f>IF('Smart Search'!D13=1,IFERROR(1/'Smart Search'!H13,0),0)</f>
        <v/>
      </c>
      <c r="AA301" s="66">
        <f>IF('Smart Search'!D13=1,IFERROR(1/'Smart Search'!H13,0),0)</f>
        <v/>
      </c>
      <c r="AB301" s="66">
        <f>IF('Smart Search'!E13=1,IFERROR(1/'Smart Search'!H13,0),0)</f>
        <v/>
      </c>
      <c r="AC301" s="66">
        <f>IF('Smart Search'!E13=1,IFERROR(1/'Smart Search'!H13,0),0)</f>
        <v/>
      </c>
      <c r="AD301" s="66">
        <f>IF('Smart Search'!F13=1,IFERROR(1/'Smart Search'!H13,0),0)</f>
        <v/>
      </c>
      <c r="AE301" s="66">
        <f>IF('Smart Search'!F13=1,IFERROR(1/'Smart Search'!H13,0),0)</f>
        <v/>
      </c>
      <c r="AF301" s="66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66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66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66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66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66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66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66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66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66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66">
        <f>AF301*V301</f>
        <v/>
      </c>
      <c r="AQ301" s="66">
        <f>AG301*W301</f>
        <v/>
      </c>
      <c r="AR301" s="66">
        <f>AH301*X301</f>
        <v/>
      </c>
      <c r="AS301" s="66">
        <f>AI301*Y301</f>
        <v/>
      </c>
      <c r="AT301" s="66">
        <f>AJ301*Z301</f>
        <v/>
      </c>
      <c r="AU301" s="66">
        <f>AK301*AA301</f>
        <v/>
      </c>
      <c r="AV301" s="66">
        <f>AL301*AB301</f>
        <v/>
      </c>
      <c r="AW301" s="66">
        <f>AM301*AC301</f>
        <v/>
      </c>
      <c r="AX301" s="66">
        <f>AN301*AD301</f>
        <v/>
      </c>
      <c r="AY301" s="66">
        <f>AO301*AE301</f>
        <v/>
      </c>
      <c r="AZ301" s="66">
        <f>INDEX(Projects[Automation Equipment],300)&amp;""</f>
        <v/>
      </c>
      <c r="BA301" s="66">
        <f>IF(OR(A301="",'Smart Search'!H13=0),"",MAX(0,BE301*BF301*MAX(0,1-BG301)))</f>
        <v/>
      </c>
      <c r="BB301" s="66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66">
        <f>IF('Smart Search'!G13=1,IFERROR(1/'Smart Search'!H13,0),0)</f>
        <v/>
      </c>
      <c r="BD301" s="66">
        <f>BB301*BC301</f>
        <v/>
      </c>
      <c r="BE301" s="66">
        <f>AP301+AQ301+AR301+AS301+AT301+AU301+AV301+AW301+AX301+AY301+BD301</f>
        <v/>
      </c>
      <c r="BF301" s="5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5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5">
        <f>IF(AND(A301&lt;&gt;"",OR('Smart Search'!$L$5="",'Smart Search'!$L$5="All",TRIM(BZ301)=TRIM('Smart Search'!$L$5)),OR(TRIM('Smart Search'!$L$6)="",TRIM('Smart Search'!$L$6)="All",ISNUMBER(SEARCH(SUBSTITUTE(SUBSTITUTE(SUBSTITUTE(TRIM('Smart Search'!$L$6),"~","~~"),"*","~*"),"?","~?"),CA301))),OR('Smart Search'!$L$7="",AND(CB301&lt;&gt;0,CB301='Smart Search'!$L$7)),OR('Smart Search'!$L$8="",'Smart Search'!$L$8="All",TRIM(CC301)=TRIM('Smart Search'!$L$8))),IF(BA301="","",BA301+ROW()*0.0000000001),"")</f>
        <v/>
      </c>
      <c r="BI301" s="5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5">
        <f>IF(A301="","",N(INDEX(Projects[Mech Inst],300)))</f>
        <v/>
      </c>
      <c r="BK301" s="5">
        <f>IF(A301="","",N(INDEX(Projects[Elec Inst],300)))</f>
        <v/>
      </c>
      <c r="BL301" s="5">
        <f>IF(A301="","",N(INDEX(Projects[Project Management],300)))</f>
        <v/>
      </c>
      <c r="BM301" s="5">
        <f>IF(A301="","",N(INDEX(Projects[Systems Eng],300)))</f>
        <v/>
      </c>
      <c r="BN301" s="5">
        <f>IF(A301="","",N(INDEX(Projects[Mechanical Eng],300)))</f>
        <v/>
      </c>
      <c r="BO301" s="5">
        <f>IF(A301="","",N(INDEX(Projects[Structural Engineering],300)))</f>
        <v/>
      </c>
      <c r="BP301" s="5">
        <f>IF(A301="","",N(INDEX(Projects[Site Sup],300)))</f>
        <v/>
      </c>
      <c r="BQ301" s="5">
        <f>IF(A301="","",N(INDEX(Projects[Controls Commissioning],300)))</f>
        <v/>
      </c>
      <c r="BR301" s="5">
        <f>IF(A301="","",N(INDEX(Projects[Systems Commissioning],300)))</f>
        <v/>
      </c>
      <c r="BS301" s="5">
        <f>IF(A301="","",N(INDEX(Projects[Service Commissioning],300)))</f>
        <v/>
      </c>
      <c r="BT301" s="5">
        <f>IF(A301="","",N(INDEX(Projects[Controls Eng],300)))</f>
        <v/>
      </c>
      <c r="BU301" s="5">
        <f>IF(A301="","",N(INDEX(Projects[Controls Purchase],300)))</f>
        <v/>
      </c>
      <c r="BV301" s="5">
        <f>IF(A301="","",N(INDEX(Projects[Software Eng],300)))</f>
        <v/>
      </c>
      <c r="BW301" s="5">
        <f>IF(A301="","",N(INDEX(Projects[Misc],300)))</f>
        <v/>
      </c>
      <c r="BX301" s="5">
        <f>IF(A301="","",SUM(BJ301:BW301))</f>
        <v/>
      </c>
      <c r="BY301" s="5">
        <f>IF(A301="","",IFERROR(IF(ISNUMBER(U301),U301,VALUE(SUBSTITUTE(SUBSTITUTE(SUBSTITUTE(UPPER(TRIM(U301)),"M",""),",","")," ",""))),0))</f>
        <v/>
      </c>
      <c r="BZ301" s="5">
        <f>INDEX(Projects[Solution Type],300)&amp;""</f>
        <v/>
      </c>
      <c r="CA301" s="5">
        <f>INDEX(Projects[Client / Region],300)&amp;""</f>
        <v/>
      </c>
      <c r="CB301" s="5">
        <f>INDEX(Projects[Year],300)</f>
        <v/>
      </c>
      <c r="CC301" s="5">
        <f>INDEX(Projects[Won?],300)&amp;""</f>
        <v/>
      </c>
      <c r="CD301" s="5">
        <f>INDEX(Projects[Value (USD M)],300)</f>
        <v/>
      </c>
    </row>
    <row r="302" ht="15" customHeight="1" s="74">
      <c r="A302" s="66">
        <f>INDEX(Projects[Project ID *],301)&amp;""</f>
        <v/>
      </c>
      <c r="B302" s="66">
        <f>INDEX(Projects[Project Name *],301)&amp;""</f>
        <v/>
      </c>
      <c r="C302" s="66">
        <f>INDEX(Projects[MS Shuttles],301)</f>
        <v/>
      </c>
      <c r="D302" s="66">
        <f>INDEX(Projects[MS Tote Locations],301)</f>
        <v/>
      </c>
      <c r="E302" s="66">
        <f>INDEX(Projects[AS Robots],301)</f>
        <v/>
      </c>
      <c r="F302" s="66">
        <f>INDEX(Projects[AS Tote Locations],301)</f>
        <v/>
      </c>
      <c r="G302" s="66">
        <f>INDEX(Projects[PS Shuttles],301)</f>
        <v/>
      </c>
      <c r="H302" s="66">
        <f>INDEX(Projects[PS Pallet Locations],301)</f>
        <v/>
      </c>
      <c r="I302" s="66">
        <f>INDEX(Projects[SRM Cranes],301)</f>
        <v/>
      </c>
      <c r="J302" s="66">
        <f>INDEX(Projects[SRM Pallet Locations],301)</f>
        <v/>
      </c>
      <c r="K302" s="66">
        <f>INDEX(Projects[Case Conv (m)],301)</f>
        <v/>
      </c>
      <c r="L302" s="66">
        <f>INDEX(Projects[Pallet Conv (m)],301)</f>
        <v/>
      </c>
      <c r="M302" s="66">
        <f>INDEX(Projects[Mech Eng (wks)],301)</f>
        <v/>
      </c>
      <c r="N302" s="66">
        <f>INDEX(Projects[Controls Eng (wks)],301)</f>
        <v/>
      </c>
      <c r="O302" s="66">
        <f>INDEX(Projects[Systems Eng (wks)],301)</f>
        <v/>
      </c>
      <c r="P302" s="66">
        <f>INDEX(Projects[Software Eng (wks)],301)</f>
        <v/>
      </c>
      <c r="Q302" s="66">
        <f>INDEX(Projects[M&amp;E Installation (wks)],301)</f>
        <v/>
      </c>
      <c r="R302" s="66">
        <f>INDEX(Projects[Commissioning (wks)],301)</f>
        <v/>
      </c>
      <c r="S302" s="66">
        <f>INDEX(Projects[Total Timeline (wks)],301)</f>
        <v/>
      </c>
      <c r="T302" s="66">
        <f>INDEX(Projects[Currency],301)&amp;""</f>
        <v/>
      </c>
      <c r="U302" s="67">
        <f>INDEX(Projects[Value (M)],301)</f>
        <v/>
      </c>
      <c r="V302" s="66">
        <f>IF('Smart Search'!B13=1,IFERROR(1/'Smart Search'!H13,0),0)</f>
        <v/>
      </c>
      <c r="W302" s="66">
        <f>IF('Smart Search'!B13=1,IFERROR(1/'Smart Search'!H13,0),0)</f>
        <v/>
      </c>
      <c r="X302" s="66">
        <f>IF('Smart Search'!C13=1,IFERROR(1/'Smart Search'!H13,0),0)</f>
        <v/>
      </c>
      <c r="Y302" s="66">
        <f>IF('Smart Search'!C13=1,IFERROR(1/'Smart Search'!H13,0),0)</f>
        <v/>
      </c>
      <c r="Z302" s="66">
        <f>IF('Smart Search'!D13=1,IFERROR(1/'Smart Search'!H13,0),0)</f>
        <v/>
      </c>
      <c r="AA302" s="66">
        <f>IF('Smart Search'!D13=1,IFERROR(1/'Smart Search'!H13,0),0)</f>
        <v/>
      </c>
      <c r="AB302" s="66">
        <f>IF('Smart Search'!E13=1,IFERROR(1/'Smart Search'!H13,0),0)</f>
        <v/>
      </c>
      <c r="AC302" s="66">
        <f>IF('Smart Search'!E13=1,IFERROR(1/'Smart Search'!H13,0),0)</f>
        <v/>
      </c>
      <c r="AD302" s="66">
        <f>IF('Smart Search'!F13=1,IFERROR(1/'Smart Search'!H13,0),0)</f>
        <v/>
      </c>
      <c r="AE302" s="66">
        <f>IF('Smart Search'!F13=1,IFERROR(1/'Smart Search'!H13,0),0)</f>
        <v/>
      </c>
      <c r="AF302" s="66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66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66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66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66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66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66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66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66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66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66">
        <f>AF302*V302</f>
        <v/>
      </c>
      <c r="AQ302" s="66">
        <f>AG302*W302</f>
        <v/>
      </c>
      <c r="AR302" s="66">
        <f>AH302*X302</f>
        <v/>
      </c>
      <c r="AS302" s="66">
        <f>AI302*Y302</f>
        <v/>
      </c>
      <c r="AT302" s="66">
        <f>AJ302*Z302</f>
        <v/>
      </c>
      <c r="AU302" s="66">
        <f>AK302*AA302</f>
        <v/>
      </c>
      <c r="AV302" s="66">
        <f>AL302*AB302</f>
        <v/>
      </c>
      <c r="AW302" s="66">
        <f>AM302*AC302</f>
        <v/>
      </c>
      <c r="AX302" s="66">
        <f>AN302*AD302</f>
        <v/>
      </c>
      <c r="AY302" s="66">
        <f>AO302*AE302</f>
        <v/>
      </c>
      <c r="AZ302" s="66">
        <f>INDEX(Projects[Automation Equipment],301)&amp;""</f>
        <v/>
      </c>
      <c r="BA302" s="66">
        <f>IF(OR(A302="",'Smart Search'!H13=0),"",MAX(0,BE302*BF302*MAX(0,1-BG302)))</f>
        <v/>
      </c>
      <c r="BB302" s="66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66">
        <f>IF('Smart Search'!G13=1,IFERROR(1/'Smart Search'!H13,0),0)</f>
        <v/>
      </c>
      <c r="BD302" s="66">
        <f>BB302*BC302</f>
        <v/>
      </c>
      <c r="BE302" s="66">
        <f>AP302+AQ302+AR302+AS302+AT302+AU302+AV302+AW302+AX302+AY302+BD302</f>
        <v/>
      </c>
      <c r="BF302" s="5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5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5">
        <f>IF(AND(A302&lt;&gt;"",OR('Smart Search'!$L$5="",'Smart Search'!$L$5="All",TRIM(BZ302)=TRIM('Smart Search'!$L$5)),OR(TRIM('Smart Search'!$L$6)="",TRIM('Smart Search'!$L$6)="All",ISNUMBER(SEARCH(SUBSTITUTE(SUBSTITUTE(SUBSTITUTE(TRIM('Smart Search'!$L$6),"~","~~"),"*","~*"),"?","~?"),CA302))),OR('Smart Search'!$L$7="",AND(CB302&lt;&gt;0,CB302='Smart Search'!$L$7)),OR('Smart Search'!$L$8="",'Smart Search'!$L$8="All",TRIM(CC302)=TRIM('Smart Search'!$L$8))),IF(BA302="","",BA302+ROW()*0.0000000001),"")</f>
        <v/>
      </c>
      <c r="BI302" s="5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5">
        <f>IF(A302="","",N(INDEX(Projects[Mech Inst],301)))</f>
        <v/>
      </c>
      <c r="BK302" s="5">
        <f>IF(A302="","",N(INDEX(Projects[Elec Inst],301)))</f>
        <v/>
      </c>
      <c r="BL302" s="5">
        <f>IF(A302="","",N(INDEX(Projects[Project Management],301)))</f>
        <v/>
      </c>
      <c r="BM302" s="5">
        <f>IF(A302="","",N(INDEX(Projects[Systems Eng],301)))</f>
        <v/>
      </c>
      <c r="BN302" s="5">
        <f>IF(A302="","",N(INDEX(Projects[Mechanical Eng],301)))</f>
        <v/>
      </c>
      <c r="BO302" s="5">
        <f>IF(A302="","",N(INDEX(Projects[Structural Engineering],301)))</f>
        <v/>
      </c>
      <c r="BP302" s="5">
        <f>IF(A302="","",N(INDEX(Projects[Site Sup],301)))</f>
        <v/>
      </c>
      <c r="BQ302" s="5">
        <f>IF(A302="","",N(INDEX(Projects[Controls Commissioning],301)))</f>
        <v/>
      </c>
      <c r="BR302" s="5">
        <f>IF(A302="","",N(INDEX(Projects[Systems Commissioning],301)))</f>
        <v/>
      </c>
      <c r="BS302" s="5">
        <f>IF(A302="","",N(INDEX(Projects[Service Commissioning],301)))</f>
        <v/>
      </c>
      <c r="BT302" s="5">
        <f>IF(A302="","",N(INDEX(Projects[Controls Eng],301)))</f>
        <v/>
      </c>
      <c r="BU302" s="5">
        <f>IF(A302="","",N(INDEX(Projects[Controls Purchase],301)))</f>
        <v/>
      </c>
      <c r="BV302" s="5">
        <f>IF(A302="","",N(INDEX(Projects[Software Eng],301)))</f>
        <v/>
      </c>
      <c r="BW302" s="5">
        <f>IF(A302="","",N(INDEX(Projects[Misc],301)))</f>
        <v/>
      </c>
      <c r="BX302" s="5">
        <f>IF(A302="","",SUM(BJ302:BW302))</f>
        <v/>
      </c>
      <c r="BY302" s="5">
        <f>IF(A302="","",IFERROR(IF(ISNUMBER(U302),U302,VALUE(SUBSTITUTE(SUBSTITUTE(SUBSTITUTE(UPPER(TRIM(U302)),"M",""),",","")," ",""))),0))</f>
        <v/>
      </c>
      <c r="BZ302" s="5">
        <f>INDEX(Projects[Solution Type],301)&amp;""</f>
        <v/>
      </c>
      <c r="CA302" s="5">
        <f>INDEX(Projects[Client / Region],301)&amp;""</f>
        <v/>
      </c>
      <c r="CB302" s="5">
        <f>INDEX(Projects[Year],301)</f>
        <v/>
      </c>
      <c r="CC302" s="5">
        <f>INDEX(Projects[Won?],301)&amp;""</f>
        <v/>
      </c>
      <c r="CD302" s="5">
        <f>INDEX(Projects[Value (USD M)],301)</f>
        <v/>
      </c>
    </row>
    <row r="303" ht="15" customHeight="1" s="74">
      <c r="A303" s="66">
        <f>INDEX(Projects[Project ID *],302)&amp;""</f>
        <v/>
      </c>
      <c r="B303" s="66">
        <f>INDEX(Projects[Project Name *],302)&amp;""</f>
        <v/>
      </c>
      <c r="C303" s="66">
        <f>INDEX(Projects[MS Shuttles],302)</f>
        <v/>
      </c>
      <c r="D303" s="66">
        <f>INDEX(Projects[MS Tote Locations],302)</f>
        <v/>
      </c>
      <c r="E303" s="66">
        <f>INDEX(Projects[AS Robots],302)</f>
        <v/>
      </c>
      <c r="F303" s="66">
        <f>INDEX(Projects[AS Tote Locations],302)</f>
        <v/>
      </c>
      <c r="G303" s="66">
        <f>INDEX(Projects[PS Shuttles],302)</f>
        <v/>
      </c>
      <c r="H303" s="66">
        <f>INDEX(Projects[PS Pallet Locations],302)</f>
        <v/>
      </c>
      <c r="I303" s="66">
        <f>INDEX(Projects[SRM Cranes],302)</f>
        <v/>
      </c>
      <c r="J303" s="66">
        <f>INDEX(Projects[SRM Pallet Locations],302)</f>
        <v/>
      </c>
      <c r="K303" s="66">
        <f>INDEX(Projects[Case Conv (m)],302)</f>
        <v/>
      </c>
      <c r="L303" s="66">
        <f>INDEX(Projects[Pallet Conv (m)],302)</f>
        <v/>
      </c>
      <c r="M303" s="66">
        <f>INDEX(Projects[Mech Eng (wks)],302)</f>
        <v/>
      </c>
      <c r="N303" s="66">
        <f>INDEX(Projects[Controls Eng (wks)],302)</f>
        <v/>
      </c>
      <c r="O303" s="66">
        <f>INDEX(Projects[Systems Eng (wks)],302)</f>
        <v/>
      </c>
      <c r="P303" s="66">
        <f>INDEX(Projects[Software Eng (wks)],302)</f>
        <v/>
      </c>
      <c r="Q303" s="66">
        <f>INDEX(Projects[M&amp;E Installation (wks)],302)</f>
        <v/>
      </c>
      <c r="R303" s="66">
        <f>INDEX(Projects[Commissioning (wks)],302)</f>
        <v/>
      </c>
      <c r="S303" s="66">
        <f>INDEX(Projects[Total Timeline (wks)],302)</f>
        <v/>
      </c>
      <c r="T303" s="66">
        <f>INDEX(Projects[Currency],302)&amp;""</f>
        <v/>
      </c>
      <c r="U303" s="67">
        <f>INDEX(Projects[Value (M)],302)</f>
        <v/>
      </c>
      <c r="V303" s="66">
        <f>IF('Smart Search'!B13=1,IFERROR(1/'Smart Search'!H13,0),0)</f>
        <v/>
      </c>
      <c r="W303" s="66">
        <f>IF('Smart Search'!B13=1,IFERROR(1/'Smart Search'!H13,0),0)</f>
        <v/>
      </c>
      <c r="X303" s="66">
        <f>IF('Smart Search'!C13=1,IFERROR(1/'Smart Search'!H13,0),0)</f>
        <v/>
      </c>
      <c r="Y303" s="66">
        <f>IF('Smart Search'!C13=1,IFERROR(1/'Smart Search'!H13,0),0)</f>
        <v/>
      </c>
      <c r="Z303" s="66">
        <f>IF('Smart Search'!D13=1,IFERROR(1/'Smart Search'!H13,0),0)</f>
        <v/>
      </c>
      <c r="AA303" s="66">
        <f>IF('Smart Search'!D13=1,IFERROR(1/'Smart Search'!H13,0),0)</f>
        <v/>
      </c>
      <c r="AB303" s="66">
        <f>IF('Smart Search'!E13=1,IFERROR(1/'Smart Search'!H13,0),0)</f>
        <v/>
      </c>
      <c r="AC303" s="66">
        <f>IF('Smart Search'!E13=1,IFERROR(1/'Smart Search'!H13,0),0)</f>
        <v/>
      </c>
      <c r="AD303" s="66">
        <f>IF('Smart Search'!F13=1,IFERROR(1/'Smart Search'!H13,0),0)</f>
        <v/>
      </c>
      <c r="AE303" s="66">
        <f>IF('Smart Search'!F13=1,IFERROR(1/'Smart Search'!H13,0),0)</f>
        <v/>
      </c>
      <c r="AF303" s="66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66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66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66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66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66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66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66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66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66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66">
        <f>AF303*V303</f>
        <v/>
      </c>
      <c r="AQ303" s="66">
        <f>AG303*W303</f>
        <v/>
      </c>
      <c r="AR303" s="66">
        <f>AH303*X303</f>
        <v/>
      </c>
      <c r="AS303" s="66">
        <f>AI303*Y303</f>
        <v/>
      </c>
      <c r="AT303" s="66">
        <f>AJ303*Z303</f>
        <v/>
      </c>
      <c r="AU303" s="66">
        <f>AK303*AA303</f>
        <v/>
      </c>
      <c r="AV303" s="66">
        <f>AL303*AB303</f>
        <v/>
      </c>
      <c r="AW303" s="66">
        <f>AM303*AC303</f>
        <v/>
      </c>
      <c r="AX303" s="66">
        <f>AN303*AD303</f>
        <v/>
      </c>
      <c r="AY303" s="66">
        <f>AO303*AE303</f>
        <v/>
      </c>
      <c r="AZ303" s="66">
        <f>INDEX(Projects[Automation Equipment],302)&amp;""</f>
        <v/>
      </c>
      <c r="BA303" s="66">
        <f>IF(OR(A303="",'Smart Search'!H13=0),"",MAX(0,BE303*BF303*MAX(0,1-BG303)))</f>
        <v/>
      </c>
      <c r="BB303" s="66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66">
        <f>IF('Smart Search'!G13=1,IFERROR(1/'Smart Search'!H13,0),0)</f>
        <v/>
      </c>
      <c r="BD303" s="66">
        <f>BB303*BC303</f>
        <v/>
      </c>
      <c r="BE303" s="66">
        <f>AP303+AQ303+AR303+AS303+AT303+AU303+AV303+AW303+AX303+AY303+BD303</f>
        <v/>
      </c>
      <c r="BF303" s="5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5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5">
        <f>IF(AND(A303&lt;&gt;"",OR('Smart Search'!$L$5="",'Smart Search'!$L$5="All",TRIM(BZ303)=TRIM('Smart Search'!$L$5)),OR(TRIM('Smart Search'!$L$6)="",TRIM('Smart Search'!$L$6)="All",ISNUMBER(SEARCH(SUBSTITUTE(SUBSTITUTE(SUBSTITUTE(TRIM('Smart Search'!$L$6),"~","~~"),"*","~*"),"?","~?"),CA303))),OR('Smart Search'!$L$7="",AND(CB303&lt;&gt;0,CB303='Smart Search'!$L$7)),OR('Smart Search'!$L$8="",'Smart Search'!$L$8="All",TRIM(CC303)=TRIM('Smart Search'!$L$8))),IF(BA303="","",BA303+ROW()*0.0000000001),"")</f>
        <v/>
      </c>
      <c r="BI303" s="5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5">
        <f>IF(A303="","",N(INDEX(Projects[Mech Inst],302)))</f>
        <v/>
      </c>
      <c r="BK303" s="5">
        <f>IF(A303="","",N(INDEX(Projects[Elec Inst],302)))</f>
        <v/>
      </c>
      <c r="BL303" s="5">
        <f>IF(A303="","",N(INDEX(Projects[Project Management],302)))</f>
        <v/>
      </c>
      <c r="BM303" s="5">
        <f>IF(A303="","",N(INDEX(Projects[Systems Eng],302)))</f>
        <v/>
      </c>
      <c r="BN303" s="5">
        <f>IF(A303="","",N(INDEX(Projects[Mechanical Eng],302)))</f>
        <v/>
      </c>
      <c r="BO303" s="5">
        <f>IF(A303="","",N(INDEX(Projects[Structural Engineering],302)))</f>
        <v/>
      </c>
      <c r="BP303" s="5">
        <f>IF(A303="","",N(INDEX(Projects[Site Sup],302)))</f>
        <v/>
      </c>
      <c r="BQ303" s="5">
        <f>IF(A303="","",N(INDEX(Projects[Controls Commissioning],302)))</f>
        <v/>
      </c>
      <c r="BR303" s="5">
        <f>IF(A303="","",N(INDEX(Projects[Systems Commissioning],302)))</f>
        <v/>
      </c>
      <c r="BS303" s="5">
        <f>IF(A303="","",N(INDEX(Projects[Service Commissioning],302)))</f>
        <v/>
      </c>
      <c r="BT303" s="5">
        <f>IF(A303="","",N(INDEX(Projects[Controls Eng],302)))</f>
        <v/>
      </c>
      <c r="BU303" s="5">
        <f>IF(A303="","",N(INDEX(Projects[Controls Purchase],302)))</f>
        <v/>
      </c>
      <c r="BV303" s="5">
        <f>IF(A303="","",N(INDEX(Projects[Software Eng],302)))</f>
        <v/>
      </c>
      <c r="BW303" s="5">
        <f>IF(A303="","",N(INDEX(Projects[Misc],302)))</f>
        <v/>
      </c>
      <c r="BX303" s="5">
        <f>IF(A303="","",SUM(BJ303:BW303))</f>
        <v/>
      </c>
      <c r="BY303" s="5">
        <f>IF(A303="","",IFERROR(IF(ISNUMBER(U303),U303,VALUE(SUBSTITUTE(SUBSTITUTE(SUBSTITUTE(UPPER(TRIM(U303)),"M",""),",","")," ",""))),0))</f>
        <v/>
      </c>
      <c r="BZ303" s="5">
        <f>INDEX(Projects[Solution Type],302)&amp;""</f>
        <v/>
      </c>
      <c r="CA303" s="5">
        <f>INDEX(Projects[Client / Region],302)&amp;""</f>
        <v/>
      </c>
      <c r="CB303" s="5">
        <f>INDEX(Projects[Year],302)</f>
        <v/>
      </c>
      <c r="CC303" s="5">
        <f>INDEX(Projects[Won?],302)&amp;""</f>
        <v/>
      </c>
      <c r="CD303" s="5">
        <f>INDEX(Projects[Value (USD M)],302)</f>
        <v/>
      </c>
    </row>
    <row r="304" ht="15" customHeight="1" s="74">
      <c r="A304" s="66">
        <f>INDEX(Projects[Project ID *],303)&amp;""</f>
        <v/>
      </c>
      <c r="B304" s="66">
        <f>INDEX(Projects[Project Name *],303)&amp;""</f>
        <v/>
      </c>
      <c r="C304" s="66">
        <f>INDEX(Projects[MS Shuttles],303)</f>
        <v/>
      </c>
      <c r="D304" s="66">
        <f>INDEX(Projects[MS Tote Locations],303)</f>
        <v/>
      </c>
      <c r="E304" s="66">
        <f>INDEX(Projects[AS Robots],303)</f>
        <v/>
      </c>
      <c r="F304" s="66">
        <f>INDEX(Projects[AS Tote Locations],303)</f>
        <v/>
      </c>
      <c r="G304" s="66">
        <f>INDEX(Projects[PS Shuttles],303)</f>
        <v/>
      </c>
      <c r="H304" s="66">
        <f>INDEX(Projects[PS Pallet Locations],303)</f>
        <v/>
      </c>
      <c r="I304" s="66">
        <f>INDEX(Projects[SRM Cranes],303)</f>
        <v/>
      </c>
      <c r="J304" s="66">
        <f>INDEX(Projects[SRM Pallet Locations],303)</f>
        <v/>
      </c>
      <c r="K304" s="66">
        <f>INDEX(Projects[Case Conv (m)],303)</f>
        <v/>
      </c>
      <c r="L304" s="66">
        <f>INDEX(Projects[Pallet Conv (m)],303)</f>
        <v/>
      </c>
      <c r="M304" s="66">
        <f>INDEX(Projects[Mech Eng (wks)],303)</f>
        <v/>
      </c>
      <c r="N304" s="66">
        <f>INDEX(Projects[Controls Eng (wks)],303)</f>
        <v/>
      </c>
      <c r="O304" s="66">
        <f>INDEX(Projects[Systems Eng (wks)],303)</f>
        <v/>
      </c>
      <c r="P304" s="66">
        <f>INDEX(Projects[Software Eng (wks)],303)</f>
        <v/>
      </c>
      <c r="Q304" s="66">
        <f>INDEX(Projects[M&amp;E Installation (wks)],303)</f>
        <v/>
      </c>
      <c r="R304" s="66">
        <f>INDEX(Projects[Commissioning (wks)],303)</f>
        <v/>
      </c>
      <c r="S304" s="66">
        <f>INDEX(Projects[Total Timeline (wks)],303)</f>
        <v/>
      </c>
      <c r="T304" s="66">
        <f>INDEX(Projects[Currency],303)&amp;""</f>
        <v/>
      </c>
      <c r="U304" s="67">
        <f>INDEX(Projects[Value (M)],303)</f>
        <v/>
      </c>
      <c r="V304" s="66">
        <f>IF('Smart Search'!B13=1,IFERROR(1/'Smart Search'!H13,0),0)</f>
        <v/>
      </c>
      <c r="W304" s="66">
        <f>IF('Smart Search'!B13=1,IFERROR(1/'Smart Search'!H13,0),0)</f>
        <v/>
      </c>
      <c r="X304" s="66">
        <f>IF('Smart Search'!C13=1,IFERROR(1/'Smart Search'!H13,0),0)</f>
        <v/>
      </c>
      <c r="Y304" s="66">
        <f>IF('Smart Search'!C13=1,IFERROR(1/'Smart Search'!H13,0),0)</f>
        <v/>
      </c>
      <c r="Z304" s="66">
        <f>IF('Smart Search'!D13=1,IFERROR(1/'Smart Search'!H13,0),0)</f>
        <v/>
      </c>
      <c r="AA304" s="66">
        <f>IF('Smart Search'!D13=1,IFERROR(1/'Smart Search'!H13,0),0)</f>
        <v/>
      </c>
      <c r="AB304" s="66">
        <f>IF('Smart Search'!E13=1,IFERROR(1/'Smart Search'!H13,0),0)</f>
        <v/>
      </c>
      <c r="AC304" s="66">
        <f>IF('Smart Search'!E13=1,IFERROR(1/'Smart Search'!H13,0),0)</f>
        <v/>
      </c>
      <c r="AD304" s="66">
        <f>IF('Smart Search'!F13=1,IFERROR(1/'Smart Search'!H13,0),0)</f>
        <v/>
      </c>
      <c r="AE304" s="66">
        <f>IF('Smart Search'!F13=1,IFERROR(1/'Smart Search'!H13,0),0)</f>
        <v/>
      </c>
      <c r="AF304" s="66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66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66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66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66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66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66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66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66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66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66">
        <f>AF304*V304</f>
        <v/>
      </c>
      <c r="AQ304" s="66">
        <f>AG304*W304</f>
        <v/>
      </c>
      <c r="AR304" s="66">
        <f>AH304*X304</f>
        <v/>
      </c>
      <c r="AS304" s="66">
        <f>AI304*Y304</f>
        <v/>
      </c>
      <c r="AT304" s="66">
        <f>AJ304*Z304</f>
        <v/>
      </c>
      <c r="AU304" s="66">
        <f>AK304*AA304</f>
        <v/>
      </c>
      <c r="AV304" s="66">
        <f>AL304*AB304</f>
        <v/>
      </c>
      <c r="AW304" s="66">
        <f>AM304*AC304</f>
        <v/>
      </c>
      <c r="AX304" s="66">
        <f>AN304*AD304</f>
        <v/>
      </c>
      <c r="AY304" s="66">
        <f>AO304*AE304</f>
        <v/>
      </c>
      <c r="AZ304" s="66">
        <f>INDEX(Projects[Automation Equipment],303)&amp;""</f>
        <v/>
      </c>
      <c r="BA304" s="66">
        <f>IF(OR(A304="",'Smart Search'!H13=0),"",MAX(0,BE304*BF304*MAX(0,1-BG304)))</f>
        <v/>
      </c>
      <c r="BB304" s="66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66">
        <f>IF('Smart Search'!G13=1,IFERROR(1/'Smart Search'!H13,0),0)</f>
        <v/>
      </c>
      <c r="BD304" s="66">
        <f>BB304*BC304</f>
        <v/>
      </c>
      <c r="BE304" s="66">
        <f>AP304+AQ304+AR304+AS304+AT304+AU304+AV304+AW304+AX304+AY304+BD304</f>
        <v/>
      </c>
      <c r="BF304" s="5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5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5">
        <f>IF(AND(A304&lt;&gt;"",OR('Smart Search'!$L$5="",'Smart Search'!$L$5="All",TRIM(BZ304)=TRIM('Smart Search'!$L$5)),OR(TRIM('Smart Search'!$L$6)="",TRIM('Smart Search'!$L$6)="All",ISNUMBER(SEARCH(SUBSTITUTE(SUBSTITUTE(SUBSTITUTE(TRIM('Smart Search'!$L$6),"~","~~"),"*","~*"),"?","~?"),CA304))),OR('Smart Search'!$L$7="",AND(CB304&lt;&gt;0,CB304='Smart Search'!$L$7)),OR('Smart Search'!$L$8="",'Smart Search'!$L$8="All",TRIM(CC304)=TRIM('Smart Search'!$L$8))),IF(BA304="","",BA304+ROW()*0.0000000001),"")</f>
        <v/>
      </c>
      <c r="BI304" s="5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5">
        <f>IF(A304="","",N(INDEX(Projects[Mech Inst],303)))</f>
        <v/>
      </c>
      <c r="BK304" s="5">
        <f>IF(A304="","",N(INDEX(Projects[Elec Inst],303)))</f>
        <v/>
      </c>
      <c r="BL304" s="5">
        <f>IF(A304="","",N(INDEX(Projects[Project Management],303)))</f>
        <v/>
      </c>
      <c r="BM304" s="5">
        <f>IF(A304="","",N(INDEX(Projects[Systems Eng],303)))</f>
        <v/>
      </c>
      <c r="BN304" s="5">
        <f>IF(A304="","",N(INDEX(Projects[Mechanical Eng],303)))</f>
        <v/>
      </c>
      <c r="BO304" s="5">
        <f>IF(A304="","",N(INDEX(Projects[Structural Engineering],303)))</f>
        <v/>
      </c>
      <c r="BP304" s="5">
        <f>IF(A304="","",N(INDEX(Projects[Site Sup],303)))</f>
        <v/>
      </c>
      <c r="BQ304" s="5">
        <f>IF(A304="","",N(INDEX(Projects[Controls Commissioning],303)))</f>
        <v/>
      </c>
      <c r="BR304" s="5">
        <f>IF(A304="","",N(INDEX(Projects[Systems Commissioning],303)))</f>
        <v/>
      </c>
      <c r="BS304" s="5">
        <f>IF(A304="","",N(INDEX(Projects[Service Commissioning],303)))</f>
        <v/>
      </c>
      <c r="BT304" s="5">
        <f>IF(A304="","",N(INDEX(Projects[Controls Eng],303)))</f>
        <v/>
      </c>
      <c r="BU304" s="5">
        <f>IF(A304="","",N(INDEX(Projects[Controls Purchase],303)))</f>
        <v/>
      </c>
      <c r="BV304" s="5">
        <f>IF(A304="","",N(INDEX(Projects[Software Eng],303)))</f>
        <v/>
      </c>
      <c r="BW304" s="5">
        <f>IF(A304="","",N(INDEX(Projects[Misc],303)))</f>
        <v/>
      </c>
      <c r="BX304" s="5">
        <f>IF(A304="","",SUM(BJ304:BW304))</f>
        <v/>
      </c>
      <c r="BY304" s="5">
        <f>IF(A304="","",IFERROR(IF(ISNUMBER(U304),U304,VALUE(SUBSTITUTE(SUBSTITUTE(SUBSTITUTE(UPPER(TRIM(U304)),"M",""),",","")," ",""))),0))</f>
        <v/>
      </c>
      <c r="BZ304" s="5">
        <f>INDEX(Projects[Solution Type],303)&amp;""</f>
        <v/>
      </c>
      <c r="CA304" s="5">
        <f>INDEX(Projects[Client / Region],303)&amp;""</f>
        <v/>
      </c>
      <c r="CB304" s="5">
        <f>INDEX(Projects[Year],303)</f>
        <v/>
      </c>
      <c r="CC304" s="5">
        <f>INDEX(Projects[Won?],303)&amp;""</f>
        <v/>
      </c>
      <c r="CD304" s="5">
        <f>INDEX(Projects[Value (USD M)],303)</f>
        <v/>
      </c>
    </row>
    <row r="305" ht="15" customHeight="1" s="74">
      <c r="A305" s="66">
        <f>INDEX(Projects[Project ID *],304)&amp;""</f>
        <v/>
      </c>
      <c r="B305" s="66">
        <f>INDEX(Projects[Project Name *],304)&amp;""</f>
        <v/>
      </c>
      <c r="C305" s="66">
        <f>INDEX(Projects[MS Shuttles],304)</f>
        <v/>
      </c>
      <c r="D305" s="66">
        <f>INDEX(Projects[MS Tote Locations],304)</f>
        <v/>
      </c>
      <c r="E305" s="66">
        <f>INDEX(Projects[AS Robots],304)</f>
        <v/>
      </c>
      <c r="F305" s="66">
        <f>INDEX(Projects[AS Tote Locations],304)</f>
        <v/>
      </c>
      <c r="G305" s="66">
        <f>INDEX(Projects[PS Shuttles],304)</f>
        <v/>
      </c>
      <c r="H305" s="66">
        <f>INDEX(Projects[PS Pallet Locations],304)</f>
        <v/>
      </c>
      <c r="I305" s="66">
        <f>INDEX(Projects[SRM Cranes],304)</f>
        <v/>
      </c>
      <c r="J305" s="66">
        <f>INDEX(Projects[SRM Pallet Locations],304)</f>
        <v/>
      </c>
      <c r="K305" s="66">
        <f>INDEX(Projects[Case Conv (m)],304)</f>
        <v/>
      </c>
      <c r="L305" s="66">
        <f>INDEX(Projects[Pallet Conv (m)],304)</f>
        <v/>
      </c>
      <c r="M305" s="66">
        <f>INDEX(Projects[Mech Eng (wks)],304)</f>
        <v/>
      </c>
      <c r="N305" s="66">
        <f>INDEX(Projects[Controls Eng (wks)],304)</f>
        <v/>
      </c>
      <c r="O305" s="66">
        <f>INDEX(Projects[Systems Eng (wks)],304)</f>
        <v/>
      </c>
      <c r="P305" s="66">
        <f>INDEX(Projects[Software Eng (wks)],304)</f>
        <v/>
      </c>
      <c r="Q305" s="66">
        <f>INDEX(Projects[M&amp;E Installation (wks)],304)</f>
        <v/>
      </c>
      <c r="R305" s="66">
        <f>INDEX(Projects[Commissioning (wks)],304)</f>
        <v/>
      </c>
      <c r="S305" s="66">
        <f>INDEX(Projects[Total Timeline (wks)],304)</f>
        <v/>
      </c>
      <c r="T305" s="66">
        <f>INDEX(Projects[Currency],304)&amp;""</f>
        <v/>
      </c>
      <c r="U305" s="67">
        <f>INDEX(Projects[Value (M)],304)</f>
        <v/>
      </c>
      <c r="V305" s="66">
        <f>IF('Smart Search'!B13=1,IFERROR(1/'Smart Search'!H13,0),0)</f>
        <v/>
      </c>
      <c r="W305" s="66">
        <f>IF('Smart Search'!B13=1,IFERROR(1/'Smart Search'!H13,0),0)</f>
        <v/>
      </c>
      <c r="X305" s="66">
        <f>IF('Smart Search'!C13=1,IFERROR(1/'Smart Search'!H13,0),0)</f>
        <v/>
      </c>
      <c r="Y305" s="66">
        <f>IF('Smart Search'!C13=1,IFERROR(1/'Smart Search'!H13,0),0)</f>
        <v/>
      </c>
      <c r="Z305" s="66">
        <f>IF('Smart Search'!D13=1,IFERROR(1/'Smart Search'!H13,0),0)</f>
        <v/>
      </c>
      <c r="AA305" s="66">
        <f>IF('Smart Search'!D13=1,IFERROR(1/'Smart Search'!H13,0),0)</f>
        <v/>
      </c>
      <c r="AB305" s="66">
        <f>IF('Smart Search'!E13=1,IFERROR(1/'Smart Search'!H13,0),0)</f>
        <v/>
      </c>
      <c r="AC305" s="66">
        <f>IF('Smart Search'!E13=1,IFERROR(1/'Smart Search'!H13,0),0)</f>
        <v/>
      </c>
      <c r="AD305" s="66">
        <f>IF('Smart Search'!F13=1,IFERROR(1/'Smart Search'!H13,0),0)</f>
        <v/>
      </c>
      <c r="AE305" s="66">
        <f>IF('Smart Search'!F13=1,IFERROR(1/'Smart Search'!H13,0),0)</f>
        <v/>
      </c>
      <c r="AF305" s="66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66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66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66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66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66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66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66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66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66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66">
        <f>AF305*V305</f>
        <v/>
      </c>
      <c r="AQ305" s="66">
        <f>AG305*W305</f>
        <v/>
      </c>
      <c r="AR305" s="66">
        <f>AH305*X305</f>
        <v/>
      </c>
      <c r="AS305" s="66">
        <f>AI305*Y305</f>
        <v/>
      </c>
      <c r="AT305" s="66">
        <f>AJ305*Z305</f>
        <v/>
      </c>
      <c r="AU305" s="66">
        <f>AK305*AA305</f>
        <v/>
      </c>
      <c r="AV305" s="66">
        <f>AL305*AB305</f>
        <v/>
      </c>
      <c r="AW305" s="66">
        <f>AM305*AC305</f>
        <v/>
      </c>
      <c r="AX305" s="66">
        <f>AN305*AD305</f>
        <v/>
      </c>
      <c r="AY305" s="66">
        <f>AO305*AE305</f>
        <v/>
      </c>
      <c r="AZ305" s="66">
        <f>INDEX(Projects[Automation Equipment],304)&amp;""</f>
        <v/>
      </c>
      <c r="BA305" s="66">
        <f>IF(OR(A305="",'Smart Search'!H13=0),"",MAX(0,BE305*BF305*MAX(0,1-BG305)))</f>
        <v/>
      </c>
      <c r="BB305" s="66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66">
        <f>IF('Smart Search'!G13=1,IFERROR(1/'Smart Search'!H13,0),0)</f>
        <v/>
      </c>
      <c r="BD305" s="66">
        <f>BB305*BC305</f>
        <v/>
      </c>
      <c r="BE305" s="66">
        <f>AP305+AQ305+AR305+AS305+AT305+AU305+AV305+AW305+AX305+AY305+BD305</f>
        <v/>
      </c>
      <c r="BF305" s="5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5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5">
        <f>IF(AND(A305&lt;&gt;"",OR('Smart Search'!$L$5="",'Smart Search'!$L$5="All",TRIM(BZ305)=TRIM('Smart Search'!$L$5)),OR(TRIM('Smart Search'!$L$6)="",TRIM('Smart Search'!$L$6)="All",ISNUMBER(SEARCH(SUBSTITUTE(SUBSTITUTE(SUBSTITUTE(TRIM('Smart Search'!$L$6),"~","~~"),"*","~*"),"?","~?"),CA305))),OR('Smart Search'!$L$7="",AND(CB305&lt;&gt;0,CB305='Smart Search'!$L$7)),OR('Smart Search'!$L$8="",'Smart Search'!$L$8="All",TRIM(CC305)=TRIM('Smart Search'!$L$8))),IF(BA305="","",BA305+ROW()*0.0000000001),"")</f>
        <v/>
      </c>
      <c r="BI305" s="5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5">
        <f>IF(A305="","",N(INDEX(Projects[Mech Inst],304)))</f>
        <v/>
      </c>
      <c r="BK305" s="5">
        <f>IF(A305="","",N(INDEX(Projects[Elec Inst],304)))</f>
        <v/>
      </c>
      <c r="BL305" s="5">
        <f>IF(A305="","",N(INDEX(Projects[Project Management],304)))</f>
        <v/>
      </c>
      <c r="BM305" s="5">
        <f>IF(A305="","",N(INDEX(Projects[Systems Eng],304)))</f>
        <v/>
      </c>
      <c r="BN305" s="5">
        <f>IF(A305="","",N(INDEX(Projects[Mechanical Eng],304)))</f>
        <v/>
      </c>
      <c r="BO305" s="5">
        <f>IF(A305="","",N(INDEX(Projects[Structural Engineering],304)))</f>
        <v/>
      </c>
      <c r="BP305" s="5">
        <f>IF(A305="","",N(INDEX(Projects[Site Sup],304)))</f>
        <v/>
      </c>
      <c r="BQ305" s="5">
        <f>IF(A305="","",N(INDEX(Projects[Controls Commissioning],304)))</f>
        <v/>
      </c>
      <c r="BR305" s="5">
        <f>IF(A305="","",N(INDEX(Projects[Systems Commissioning],304)))</f>
        <v/>
      </c>
      <c r="BS305" s="5">
        <f>IF(A305="","",N(INDEX(Projects[Service Commissioning],304)))</f>
        <v/>
      </c>
      <c r="BT305" s="5">
        <f>IF(A305="","",N(INDEX(Projects[Controls Eng],304)))</f>
        <v/>
      </c>
      <c r="BU305" s="5">
        <f>IF(A305="","",N(INDEX(Projects[Controls Purchase],304)))</f>
        <v/>
      </c>
      <c r="BV305" s="5">
        <f>IF(A305="","",N(INDEX(Projects[Software Eng],304)))</f>
        <v/>
      </c>
      <c r="BW305" s="5">
        <f>IF(A305="","",N(INDEX(Projects[Misc],304)))</f>
        <v/>
      </c>
      <c r="BX305" s="5">
        <f>IF(A305="","",SUM(BJ305:BW305))</f>
        <v/>
      </c>
      <c r="BY305" s="5">
        <f>IF(A305="","",IFERROR(IF(ISNUMBER(U305),U305,VALUE(SUBSTITUTE(SUBSTITUTE(SUBSTITUTE(UPPER(TRIM(U305)),"M",""),",","")," ",""))),0))</f>
        <v/>
      </c>
      <c r="BZ305" s="5">
        <f>INDEX(Projects[Solution Type],304)&amp;""</f>
        <v/>
      </c>
      <c r="CA305" s="5">
        <f>INDEX(Projects[Client / Region],304)&amp;""</f>
        <v/>
      </c>
      <c r="CB305" s="5">
        <f>INDEX(Projects[Year],304)</f>
        <v/>
      </c>
      <c r="CC305" s="5">
        <f>INDEX(Projects[Won?],304)&amp;""</f>
        <v/>
      </c>
      <c r="CD305" s="5">
        <f>INDEX(Projects[Value (USD M)],304)</f>
        <v/>
      </c>
    </row>
    <row r="306" ht="15" customHeight="1" s="74">
      <c r="A306" s="66">
        <f>INDEX(Projects[Project ID *],305)&amp;""</f>
        <v/>
      </c>
      <c r="B306" s="66">
        <f>INDEX(Projects[Project Name *],305)&amp;""</f>
        <v/>
      </c>
      <c r="C306" s="66">
        <f>INDEX(Projects[MS Shuttles],305)</f>
        <v/>
      </c>
      <c r="D306" s="66">
        <f>INDEX(Projects[MS Tote Locations],305)</f>
        <v/>
      </c>
      <c r="E306" s="66">
        <f>INDEX(Projects[AS Robots],305)</f>
        <v/>
      </c>
      <c r="F306" s="66">
        <f>INDEX(Projects[AS Tote Locations],305)</f>
        <v/>
      </c>
      <c r="G306" s="66">
        <f>INDEX(Projects[PS Shuttles],305)</f>
        <v/>
      </c>
      <c r="H306" s="66">
        <f>INDEX(Projects[PS Pallet Locations],305)</f>
        <v/>
      </c>
      <c r="I306" s="66">
        <f>INDEX(Projects[SRM Cranes],305)</f>
        <v/>
      </c>
      <c r="J306" s="66">
        <f>INDEX(Projects[SRM Pallet Locations],305)</f>
        <v/>
      </c>
      <c r="K306" s="66">
        <f>INDEX(Projects[Case Conv (m)],305)</f>
        <v/>
      </c>
      <c r="L306" s="66">
        <f>INDEX(Projects[Pallet Conv (m)],305)</f>
        <v/>
      </c>
      <c r="M306" s="66">
        <f>INDEX(Projects[Mech Eng (wks)],305)</f>
        <v/>
      </c>
      <c r="N306" s="66">
        <f>INDEX(Projects[Controls Eng (wks)],305)</f>
        <v/>
      </c>
      <c r="O306" s="66">
        <f>INDEX(Projects[Systems Eng (wks)],305)</f>
        <v/>
      </c>
      <c r="P306" s="66">
        <f>INDEX(Projects[Software Eng (wks)],305)</f>
        <v/>
      </c>
      <c r="Q306" s="66">
        <f>INDEX(Projects[M&amp;E Installation (wks)],305)</f>
        <v/>
      </c>
      <c r="R306" s="66">
        <f>INDEX(Projects[Commissioning (wks)],305)</f>
        <v/>
      </c>
      <c r="S306" s="66">
        <f>INDEX(Projects[Total Timeline (wks)],305)</f>
        <v/>
      </c>
      <c r="T306" s="66">
        <f>INDEX(Projects[Currency],305)&amp;""</f>
        <v/>
      </c>
      <c r="U306" s="67">
        <f>INDEX(Projects[Value (M)],305)</f>
        <v/>
      </c>
      <c r="V306" s="66">
        <f>IF('Smart Search'!B13=1,IFERROR(1/'Smart Search'!H13,0),0)</f>
        <v/>
      </c>
      <c r="W306" s="66">
        <f>IF('Smart Search'!B13=1,IFERROR(1/'Smart Search'!H13,0),0)</f>
        <v/>
      </c>
      <c r="X306" s="66">
        <f>IF('Smart Search'!C13=1,IFERROR(1/'Smart Search'!H13,0),0)</f>
        <v/>
      </c>
      <c r="Y306" s="66">
        <f>IF('Smart Search'!C13=1,IFERROR(1/'Smart Search'!H13,0),0)</f>
        <v/>
      </c>
      <c r="Z306" s="66">
        <f>IF('Smart Search'!D13=1,IFERROR(1/'Smart Search'!H13,0),0)</f>
        <v/>
      </c>
      <c r="AA306" s="66">
        <f>IF('Smart Search'!D13=1,IFERROR(1/'Smart Search'!H13,0),0)</f>
        <v/>
      </c>
      <c r="AB306" s="66">
        <f>IF('Smart Search'!E13=1,IFERROR(1/'Smart Search'!H13,0),0)</f>
        <v/>
      </c>
      <c r="AC306" s="66">
        <f>IF('Smart Search'!E13=1,IFERROR(1/'Smart Search'!H13,0),0)</f>
        <v/>
      </c>
      <c r="AD306" s="66">
        <f>IF('Smart Search'!F13=1,IFERROR(1/'Smart Search'!H13,0),0)</f>
        <v/>
      </c>
      <c r="AE306" s="66">
        <f>IF('Smart Search'!F13=1,IFERROR(1/'Smart Search'!H13,0),0)</f>
        <v/>
      </c>
      <c r="AF306" s="66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66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66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66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66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66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66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66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66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66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66">
        <f>AF306*V306</f>
        <v/>
      </c>
      <c r="AQ306" s="66">
        <f>AG306*W306</f>
        <v/>
      </c>
      <c r="AR306" s="66">
        <f>AH306*X306</f>
        <v/>
      </c>
      <c r="AS306" s="66">
        <f>AI306*Y306</f>
        <v/>
      </c>
      <c r="AT306" s="66">
        <f>AJ306*Z306</f>
        <v/>
      </c>
      <c r="AU306" s="66">
        <f>AK306*AA306</f>
        <v/>
      </c>
      <c r="AV306" s="66">
        <f>AL306*AB306</f>
        <v/>
      </c>
      <c r="AW306" s="66">
        <f>AM306*AC306</f>
        <v/>
      </c>
      <c r="AX306" s="66">
        <f>AN306*AD306</f>
        <v/>
      </c>
      <c r="AY306" s="66">
        <f>AO306*AE306</f>
        <v/>
      </c>
      <c r="AZ306" s="66">
        <f>INDEX(Projects[Automation Equipment],305)&amp;""</f>
        <v/>
      </c>
      <c r="BA306" s="66">
        <f>IF(OR(A306="",'Smart Search'!H13=0),"",MAX(0,BE306*BF306*MAX(0,1-BG306)))</f>
        <v/>
      </c>
      <c r="BB306" s="66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66">
        <f>IF('Smart Search'!G13=1,IFERROR(1/'Smart Search'!H13,0),0)</f>
        <v/>
      </c>
      <c r="BD306" s="66">
        <f>BB306*BC306</f>
        <v/>
      </c>
      <c r="BE306" s="66">
        <f>AP306+AQ306+AR306+AS306+AT306+AU306+AV306+AW306+AX306+AY306+BD306</f>
        <v/>
      </c>
      <c r="BF306" s="5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5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5">
        <f>IF(AND(A306&lt;&gt;"",OR('Smart Search'!$L$5="",'Smart Search'!$L$5="All",TRIM(BZ306)=TRIM('Smart Search'!$L$5)),OR(TRIM('Smart Search'!$L$6)="",TRIM('Smart Search'!$L$6)="All",ISNUMBER(SEARCH(SUBSTITUTE(SUBSTITUTE(SUBSTITUTE(TRIM('Smart Search'!$L$6),"~","~~"),"*","~*"),"?","~?"),CA306))),OR('Smart Search'!$L$7="",AND(CB306&lt;&gt;0,CB306='Smart Search'!$L$7)),OR('Smart Search'!$L$8="",'Smart Search'!$L$8="All",TRIM(CC306)=TRIM('Smart Search'!$L$8))),IF(BA306="","",BA306+ROW()*0.0000000001),"")</f>
        <v/>
      </c>
      <c r="BI306" s="5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5">
        <f>IF(A306="","",N(INDEX(Projects[Mech Inst],305)))</f>
        <v/>
      </c>
      <c r="BK306" s="5">
        <f>IF(A306="","",N(INDEX(Projects[Elec Inst],305)))</f>
        <v/>
      </c>
      <c r="BL306" s="5">
        <f>IF(A306="","",N(INDEX(Projects[Project Management],305)))</f>
        <v/>
      </c>
      <c r="BM306" s="5">
        <f>IF(A306="","",N(INDEX(Projects[Systems Eng],305)))</f>
        <v/>
      </c>
      <c r="BN306" s="5">
        <f>IF(A306="","",N(INDEX(Projects[Mechanical Eng],305)))</f>
        <v/>
      </c>
      <c r="BO306" s="5">
        <f>IF(A306="","",N(INDEX(Projects[Structural Engineering],305)))</f>
        <v/>
      </c>
      <c r="BP306" s="5">
        <f>IF(A306="","",N(INDEX(Projects[Site Sup],305)))</f>
        <v/>
      </c>
      <c r="BQ306" s="5">
        <f>IF(A306="","",N(INDEX(Projects[Controls Commissioning],305)))</f>
        <v/>
      </c>
      <c r="BR306" s="5">
        <f>IF(A306="","",N(INDEX(Projects[Systems Commissioning],305)))</f>
        <v/>
      </c>
      <c r="BS306" s="5">
        <f>IF(A306="","",N(INDEX(Projects[Service Commissioning],305)))</f>
        <v/>
      </c>
      <c r="BT306" s="5">
        <f>IF(A306="","",N(INDEX(Projects[Controls Eng],305)))</f>
        <v/>
      </c>
      <c r="BU306" s="5">
        <f>IF(A306="","",N(INDEX(Projects[Controls Purchase],305)))</f>
        <v/>
      </c>
      <c r="BV306" s="5">
        <f>IF(A306="","",N(INDEX(Projects[Software Eng],305)))</f>
        <v/>
      </c>
      <c r="BW306" s="5">
        <f>IF(A306="","",N(INDEX(Projects[Misc],305)))</f>
        <v/>
      </c>
      <c r="BX306" s="5">
        <f>IF(A306="","",SUM(BJ306:BW306))</f>
        <v/>
      </c>
      <c r="BY306" s="5">
        <f>IF(A306="","",IFERROR(IF(ISNUMBER(U306),U306,VALUE(SUBSTITUTE(SUBSTITUTE(SUBSTITUTE(UPPER(TRIM(U306)),"M",""),",","")," ",""))),0))</f>
        <v/>
      </c>
      <c r="BZ306" s="5">
        <f>INDEX(Projects[Solution Type],305)&amp;""</f>
        <v/>
      </c>
      <c r="CA306" s="5">
        <f>INDEX(Projects[Client / Region],305)&amp;""</f>
        <v/>
      </c>
      <c r="CB306" s="5">
        <f>INDEX(Projects[Year],305)</f>
        <v/>
      </c>
      <c r="CC306" s="5">
        <f>INDEX(Projects[Won?],305)&amp;""</f>
        <v/>
      </c>
      <c r="CD306" s="5">
        <f>INDEX(Projects[Value (USD M)],305)</f>
        <v/>
      </c>
    </row>
    <row r="307" ht="15" customHeight="1" s="74">
      <c r="A307" s="66">
        <f>INDEX(Projects[Project ID *],306)&amp;""</f>
        <v/>
      </c>
      <c r="B307" s="66">
        <f>INDEX(Projects[Project Name *],306)&amp;""</f>
        <v/>
      </c>
      <c r="C307" s="66">
        <f>INDEX(Projects[MS Shuttles],306)</f>
        <v/>
      </c>
      <c r="D307" s="66">
        <f>INDEX(Projects[MS Tote Locations],306)</f>
        <v/>
      </c>
      <c r="E307" s="66">
        <f>INDEX(Projects[AS Robots],306)</f>
        <v/>
      </c>
      <c r="F307" s="66">
        <f>INDEX(Projects[AS Tote Locations],306)</f>
        <v/>
      </c>
      <c r="G307" s="66">
        <f>INDEX(Projects[PS Shuttles],306)</f>
        <v/>
      </c>
      <c r="H307" s="66">
        <f>INDEX(Projects[PS Pallet Locations],306)</f>
        <v/>
      </c>
      <c r="I307" s="66">
        <f>INDEX(Projects[SRM Cranes],306)</f>
        <v/>
      </c>
      <c r="J307" s="66">
        <f>INDEX(Projects[SRM Pallet Locations],306)</f>
        <v/>
      </c>
      <c r="K307" s="66">
        <f>INDEX(Projects[Case Conv (m)],306)</f>
        <v/>
      </c>
      <c r="L307" s="66">
        <f>INDEX(Projects[Pallet Conv (m)],306)</f>
        <v/>
      </c>
      <c r="M307" s="66">
        <f>INDEX(Projects[Mech Eng (wks)],306)</f>
        <v/>
      </c>
      <c r="N307" s="66">
        <f>INDEX(Projects[Controls Eng (wks)],306)</f>
        <v/>
      </c>
      <c r="O307" s="66">
        <f>INDEX(Projects[Systems Eng (wks)],306)</f>
        <v/>
      </c>
      <c r="P307" s="66">
        <f>INDEX(Projects[Software Eng (wks)],306)</f>
        <v/>
      </c>
      <c r="Q307" s="66">
        <f>INDEX(Projects[M&amp;E Installation (wks)],306)</f>
        <v/>
      </c>
      <c r="R307" s="66">
        <f>INDEX(Projects[Commissioning (wks)],306)</f>
        <v/>
      </c>
      <c r="S307" s="66">
        <f>INDEX(Projects[Total Timeline (wks)],306)</f>
        <v/>
      </c>
      <c r="T307" s="66">
        <f>INDEX(Projects[Currency],306)&amp;""</f>
        <v/>
      </c>
      <c r="U307" s="67">
        <f>INDEX(Projects[Value (M)],306)</f>
        <v/>
      </c>
      <c r="V307" s="66">
        <f>IF('Smart Search'!B13=1,IFERROR(1/'Smart Search'!H13,0),0)</f>
        <v/>
      </c>
      <c r="W307" s="66">
        <f>IF('Smart Search'!B13=1,IFERROR(1/'Smart Search'!H13,0),0)</f>
        <v/>
      </c>
      <c r="X307" s="66">
        <f>IF('Smart Search'!C13=1,IFERROR(1/'Smart Search'!H13,0),0)</f>
        <v/>
      </c>
      <c r="Y307" s="66">
        <f>IF('Smart Search'!C13=1,IFERROR(1/'Smart Search'!H13,0),0)</f>
        <v/>
      </c>
      <c r="Z307" s="66">
        <f>IF('Smart Search'!D13=1,IFERROR(1/'Smart Search'!H13,0),0)</f>
        <v/>
      </c>
      <c r="AA307" s="66">
        <f>IF('Smart Search'!D13=1,IFERROR(1/'Smart Search'!H13,0),0)</f>
        <v/>
      </c>
      <c r="AB307" s="66">
        <f>IF('Smart Search'!E13=1,IFERROR(1/'Smart Search'!H13,0),0)</f>
        <v/>
      </c>
      <c r="AC307" s="66">
        <f>IF('Smart Search'!E13=1,IFERROR(1/'Smart Search'!H13,0),0)</f>
        <v/>
      </c>
      <c r="AD307" s="66">
        <f>IF('Smart Search'!F13=1,IFERROR(1/'Smart Search'!H13,0),0)</f>
        <v/>
      </c>
      <c r="AE307" s="66">
        <f>IF('Smart Search'!F13=1,IFERROR(1/'Smart Search'!H13,0),0)</f>
        <v/>
      </c>
      <c r="AF307" s="66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66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66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66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66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66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66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66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66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66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66">
        <f>AF307*V307</f>
        <v/>
      </c>
      <c r="AQ307" s="66">
        <f>AG307*W307</f>
        <v/>
      </c>
      <c r="AR307" s="66">
        <f>AH307*X307</f>
        <v/>
      </c>
      <c r="AS307" s="66">
        <f>AI307*Y307</f>
        <v/>
      </c>
      <c r="AT307" s="66">
        <f>AJ307*Z307</f>
        <v/>
      </c>
      <c r="AU307" s="66">
        <f>AK307*AA307</f>
        <v/>
      </c>
      <c r="AV307" s="66">
        <f>AL307*AB307</f>
        <v/>
      </c>
      <c r="AW307" s="66">
        <f>AM307*AC307</f>
        <v/>
      </c>
      <c r="AX307" s="66">
        <f>AN307*AD307</f>
        <v/>
      </c>
      <c r="AY307" s="66">
        <f>AO307*AE307</f>
        <v/>
      </c>
      <c r="AZ307" s="66">
        <f>INDEX(Projects[Automation Equipment],306)&amp;""</f>
        <v/>
      </c>
      <c r="BA307" s="66">
        <f>IF(OR(A307="",'Smart Search'!H13=0),"",MAX(0,BE307*BF307*MAX(0,1-BG307)))</f>
        <v/>
      </c>
      <c r="BB307" s="66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66">
        <f>IF('Smart Search'!G13=1,IFERROR(1/'Smart Search'!H13,0),0)</f>
        <v/>
      </c>
      <c r="BD307" s="66">
        <f>BB307*BC307</f>
        <v/>
      </c>
      <c r="BE307" s="66">
        <f>AP307+AQ307+AR307+AS307+AT307+AU307+AV307+AW307+AX307+AY307+BD307</f>
        <v/>
      </c>
      <c r="BF307" s="5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5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5">
        <f>IF(AND(A307&lt;&gt;"",OR('Smart Search'!$L$5="",'Smart Search'!$L$5="All",TRIM(BZ307)=TRIM('Smart Search'!$L$5)),OR(TRIM('Smart Search'!$L$6)="",TRIM('Smart Search'!$L$6)="All",ISNUMBER(SEARCH(SUBSTITUTE(SUBSTITUTE(SUBSTITUTE(TRIM('Smart Search'!$L$6),"~","~~"),"*","~*"),"?","~?"),CA307))),OR('Smart Search'!$L$7="",AND(CB307&lt;&gt;0,CB307='Smart Search'!$L$7)),OR('Smart Search'!$L$8="",'Smart Search'!$L$8="All",TRIM(CC307)=TRIM('Smart Search'!$L$8))),IF(BA307="","",BA307+ROW()*0.0000000001),"")</f>
        <v/>
      </c>
      <c r="BI307" s="5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5">
        <f>IF(A307="","",N(INDEX(Projects[Mech Inst],306)))</f>
        <v/>
      </c>
      <c r="BK307" s="5">
        <f>IF(A307="","",N(INDEX(Projects[Elec Inst],306)))</f>
        <v/>
      </c>
      <c r="BL307" s="5">
        <f>IF(A307="","",N(INDEX(Projects[Project Management],306)))</f>
        <v/>
      </c>
      <c r="BM307" s="5">
        <f>IF(A307="","",N(INDEX(Projects[Systems Eng],306)))</f>
        <v/>
      </c>
      <c r="BN307" s="5">
        <f>IF(A307="","",N(INDEX(Projects[Mechanical Eng],306)))</f>
        <v/>
      </c>
      <c r="BO307" s="5">
        <f>IF(A307="","",N(INDEX(Projects[Structural Engineering],306)))</f>
        <v/>
      </c>
      <c r="BP307" s="5">
        <f>IF(A307="","",N(INDEX(Projects[Site Sup],306)))</f>
        <v/>
      </c>
      <c r="BQ307" s="5">
        <f>IF(A307="","",N(INDEX(Projects[Controls Commissioning],306)))</f>
        <v/>
      </c>
      <c r="BR307" s="5">
        <f>IF(A307="","",N(INDEX(Projects[Systems Commissioning],306)))</f>
        <v/>
      </c>
      <c r="BS307" s="5">
        <f>IF(A307="","",N(INDEX(Projects[Service Commissioning],306)))</f>
        <v/>
      </c>
      <c r="BT307" s="5">
        <f>IF(A307="","",N(INDEX(Projects[Controls Eng],306)))</f>
        <v/>
      </c>
      <c r="BU307" s="5">
        <f>IF(A307="","",N(INDEX(Projects[Controls Purchase],306)))</f>
        <v/>
      </c>
      <c r="BV307" s="5">
        <f>IF(A307="","",N(INDEX(Projects[Software Eng],306)))</f>
        <v/>
      </c>
      <c r="BW307" s="5">
        <f>IF(A307="","",N(INDEX(Projects[Misc],306)))</f>
        <v/>
      </c>
      <c r="BX307" s="5">
        <f>IF(A307="","",SUM(BJ307:BW307))</f>
        <v/>
      </c>
      <c r="BY307" s="5">
        <f>IF(A307="","",IFERROR(IF(ISNUMBER(U307),U307,VALUE(SUBSTITUTE(SUBSTITUTE(SUBSTITUTE(UPPER(TRIM(U307)),"M",""),",","")," ",""))),0))</f>
        <v/>
      </c>
      <c r="BZ307" s="5">
        <f>INDEX(Projects[Solution Type],306)&amp;""</f>
        <v/>
      </c>
      <c r="CA307" s="5">
        <f>INDEX(Projects[Client / Region],306)&amp;""</f>
        <v/>
      </c>
      <c r="CB307" s="5">
        <f>INDEX(Projects[Year],306)</f>
        <v/>
      </c>
      <c r="CC307" s="5">
        <f>INDEX(Projects[Won?],306)&amp;""</f>
        <v/>
      </c>
      <c r="CD307" s="5">
        <f>INDEX(Projects[Value (USD M)],306)</f>
        <v/>
      </c>
    </row>
    <row r="308" ht="15" customHeight="1" s="74">
      <c r="A308" s="66">
        <f>INDEX(Projects[Project ID *],307)&amp;""</f>
        <v/>
      </c>
      <c r="B308" s="66">
        <f>INDEX(Projects[Project Name *],307)&amp;""</f>
        <v/>
      </c>
      <c r="C308" s="66">
        <f>INDEX(Projects[MS Shuttles],307)</f>
        <v/>
      </c>
      <c r="D308" s="66">
        <f>INDEX(Projects[MS Tote Locations],307)</f>
        <v/>
      </c>
      <c r="E308" s="66">
        <f>INDEX(Projects[AS Robots],307)</f>
        <v/>
      </c>
      <c r="F308" s="66">
        <f>INDEX(Projects[AS Tote Locations],307)</f>
        <v/>
      </c>
      <c r="G308" s="66">
        <f>INDEX(Projects[PS Shuttles],307)</f>
        <v/>
      </c>
      <c r="H308" s="66">
        <f>INDEX(Projects[PS Pallet Locations],307)</f>
        <v/>
      </c>
      <c r="I308" s="66">
        <f>INDEX(Projects[SRM Cranes],307)</f>
        <v/>
      </c>
      <c r="J308" s="66">
        <f>INDEX(Projects[SRM Pallet Locations],307)</f>
        <v/>
      </c>
      <c r="K308" s="66">
        <f>INDEX(Projects[Case Conv (m)],307)</f>
        <v/>
      </c>
      <c r="L308" s="66">
        <f>INDEX(Projects[Pallet Conv (m)],307)</f>
        <v/>
      </c>
      <c r="M308" s="66">
        <f>INDEX(Projects[Mech Eng (wks)],307)</f>
        <v/>
      </c>
      <c r="N308" s="66">
        <f>INDEX(Projects[Controls Eng (wks)],307)</f>
        <v/>
      </c>
      <c r="O308" s="66">
        <f>INDEX(Projects[Systems Eng (wks)],307)</f>
        <v/>
      </c>
      <c r="P308" s="66">
        <f>INDEX(Projects[Software Eng (wks)],307)</f>
        <v/>
      </c>
      <c r="Q308" s="66">
        <f>INDEX(Projects[M&amp;E Installation (wks)],307)</f>
        <v/>
      </c>
      <c r="R308" s="66">
        <f>INDEX(Projects[Commissioning (wks)],307)</f>
        <v/>
      </c>
      <c r="S308" s="66">
        <f>INDEX(Projects[Total Timeline (wks)],307)</f>
        <v/>
      </c>
      <c r="T308" s="66">
        <f>INDEX(Projects[Currency],307)&amp;""</f>
        <v/>
      </c>
      <c r="U308" s="67">
        <f>INDEX(Projects[Value (M)],307)</f>
        <v/>
      </c>
      <c r="V308" s="66">
        <f>IF('Smart Search'!B13=1,IFERROR(1/'Smart Search'!H13,0),0)</f>
        <v/>
      </c>
      <c r="W308" s="66">
        <f>IF('Smart Search'!B13=1,IFERROR(1/'Smart Search'!H13,0),0)</f>
        <v/>
      </c>
      <c r="X308" s="66">
        <f>IF('Smart Search'!C13=1,IFERROR(1/'Smart Search'!H13,0),0)</f>
        <v/>
      </c>
      <c r="Y308" s="66">
        <f>IF('Smart Search'!C13=1,IFERROR(1/'Smart Search'!H13,0),0)</f>
        <v/>
      </c>
      <c r="Z308" s="66">
        <f>IF('Smart Search'!D13=1,IFERROR(1/'Smart Search'!H13,0),0)</f>
        <v/>
      </c>
      <c r="AA308" s="66">
        <f>IF('Smart Search'!D13=1,IFERROR(1/'Smart Search'!H13,0),0)</f>
        <v/>
      </c>
      <c r="AB308" s="66">
        <f>IF('Smart Search'!E13=1,IFERROR(1/'Smart Search'!H13,0),0)</f>
        <v/>
      </c>
      <c r="AC308" s="66">
        <f>IF('Smart Search'!E13=1,IFERROR(1/'Smart Search'!H13,0),0)</f>
        <v/>
      </c>
      <c r="AD308" s="66">
        <f>IF('Smart Search'!F13=1,IFERROR(1/'Smart Search'!H13,0),0)</f>
        <v/>
      </c>
      <c r="AE308" s="66">
        <f>IF('Smart Search'!F13=1,IFERROR(1/'Smart Search'!H13,0),0)</f>
        <v/>
      </c>
      <c r="AF308" s="66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66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66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66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66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66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66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66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66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66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66">
        <f>AF308*V308</f>
        <v/>
      </c>
      <c r="AQ308" s="66">
        <f>AG308*W308</f>
        <v/>
      </c>
      <c r="AR308" s="66">
        <f>AH308*X308</f>
        <v/>
      </c>
      <c r="AS308" s="66">
        <f>AI308*Y308</f>
        <v/>
      </c>
      <c r="AT308" s="66">
        <f>AJ308*Z308</f>
        <v/>
      </c>
      <c r="AU308" s="66">
        <f>AK308*AA308</f>
        <v/>
      </c>
      <c r="AV308" s="66">
        <f>AL308*AB308</f>
        <v/>
      </c>
      <c r="AW308" s="66">
        <f>AM308*AC308</f>
        <v/>
      </c>
      <c r="AX308" s="66">
        <f>AN308*AD308</f>
        <v/>
      </c>
      <c r="AY308" s="66">
        <f>AO308*AE308</f>
        <v/>
      </c>
      <c r="AZ308" s="66">
        <f>INDEX(Projects[Automation Equipment],307)&amp;""</f>
        <v/>
      </c>
      <c r="BA308" s="66">
        <f>IF(OR(A308="",'Smart Search'!H13=0),"",MAX(0,BE308*BF308*MAX(0,1-BG308)))</f>
        <v/>
      </c>
      <c r="BB308" s="66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66">
        <f>IF('Smart Search'!G13=1,IFERROR(1/'Smart Search'!H13,0),0)</f>
        <v/>
      </c>
      <c r="BD308" s="66">
        <f>BB308*BC308</f>
        <v/>
      </c>
      <c r="BE308" s="66">
        <f>AP308+AQ308+AR308+AS308+AT308+AU308+AV308+AW308+AX308+AY308+BD308</f>
        <v/>
      </c>
      <c r="BF308" s="5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5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5">
        <f>IF(AND(A308&lt;&gt;"",OR('Smart Search'!$L$5="",'Smart Search'!$L$5="All",TRIM(BZ308)=TRIM('Smart Search'!$L$5)),OR(TRIM('Smart Search'!$L$6)="",TRIM('Smart Search'!$L$6)="All",ISNUMBER(SEARCH(SUBSTITUTE(SUBSTITUTE(SUBSTITUTE(TRIM('Smart Search'!$L$6),"~","~~"),"*","~*"),"?","~?"),CA308))),OR('Smart Search'!$L$7="",AND(CB308&lt;&gt;0,CB308='Smart Search'!$L$7)),OR('Smart Search'!$L$8="",'Smart Search'!$L$8="All",TRIM(CC308)=TRIM('Smart Search'!$L$8))),IF(BA308="","",BA308+ROW()*0.0000000001),"")</f>
        <v/>
      </c>
      <c r="BI308" s="5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5">
        <f>IF(A308="","",N(INDEX(Projects[Mech Inst],307)))</f>
        <v/>
      </c>
      <c r="BK308" s="5">
        <f>IF(A308="","",N(INDEX(Projects[Elec Inst],307)))</f>
        <v/>
      </c>
      <c r="BL308" s="5">
        <f>IF(A308="","",N(INDEX(Projects[Project Management],307)))</f>
        <v/>
      </c>
      <c r="BM308" s="5">
        <f>IF(A308="","",N(INDEX(Projects[Systems Eng],307)))</f>
        <v/>
      </c>
      <c r="BN308" s="5">
        <f>IF(A308="","",N(INDEX(Projects[Mechanical Eng],307)))</f>
        <v/>
      </c>
      <c r="BO308" s="5">
        <f>IF(A308="","",N(INDEX(Projects[Structural Engineering],307)))</f>
        <v/>
      </c>
      <c r="BP308" s="5">
        <f>IF(A308="","",N(INDEX(Projects[Site Sup],307)))</f>
        <v/>
      </c>
      <c r="BQ308" s="5">
        <f>IF(A308="","",N(INDEX(Projects[Controls Commissioning],307)))</f>
        <v/>
      </c>
      <c r="BR308" s="5">
        <f>IF(A308="","",N(INDEX(Projects[Systems Commissioning],307)))</f>
        <v/>
      </c>
      <c r="BS308" s="5">
        <f>IF(A308="","",N(INDEX(Projects[Service Commissioning],307)))</f>
        <v/>
      </c>
      <c r="BT308" s="5">
        <f>IF(A308="","",N(INDEX(Projects[Controls Eng],307)))</f>
        <v/>
      </c>
      <c r="BU308" s="5">
        <f>IF(A308="","",N(INDEX(Projects[Controls Purchase],307)))</f>
        <v/>
      </c>
      <c r="BV308" s="5">
        <f>IF(A308="","",N(INDEX(Projects[Software Eng],307)))</f>
        <v/>
      </c>
      <c r="BW308" s="5">
        <f>IF(A308="","",N(INDEX(Projects[Misc],307)))</f>
        <v/>
      </c>
      <c r="BX308" s="5">
        <f>IF(A308="","",SUM(BJ308:BW308))</f>
        <v/>
      </c>
      <c r="BY308" s="5">
        <f>IF(A308="","",IFERROR(IF(ISNUMBER(U308),U308,VALUE(SUBSTITUTE(SUBSTITUTE(SUBSTITUTE(UPPER(TRIM(U308)),"M",""),",","")," ",""))),0))</f>
        <v/>
      </c>
      <c r="BZ308" s="5">
        <f>INDEX(Projects[Solution Type],307)&amp;""</f>
        <v/>
      </c>
      <c r="CA308" s="5">
        <f>INDEX(Projects[Client / Region],307)&amp;""</f>
        <v/>
      </c>
      <c r="CB308" s="5">
        <f>INDEX(Projects[Year],307)</f>
        <v/>
      </c>
      <c r="CC308" s="5">
        <f>INDEX(Projects[Won?],307)&amp;""</f>
        <v/>
      </c>
      <c r="CD308" s="5">
        <f>INDEX(Projects[Value (USD M)],307)</f>
        <v/>
      </c>
    </row>
    <row r="309" ht="15" customHeight="1" s="74">
      <c r="A309" s="66">
        <f>INDEX(Projects[Project ID *],308)&amp;""</f>
        <v/>
      </c>
      <c r="B309" s="66">
        <f>INDEX(Projects[Project Name *],308)&amp;""</f>
        <v/>
      </c>
      <c r="C309" s="66">
        <f>INDEX(Projects[MS Shuttles],308)</f>
        <v/>
      </c>
      <c r="D309" s="66">
        <f>INDEX(Projects[MS Tote Locations],308)</f>
        <v/>
      </c>
      <c r="E309" s="66">
        <f>INDEX(Projects[AS Robots],308)</f>
        <v/>
      </c>
      <c r="F309" s="66">
        <f>INDEX(Projects[AS Tote Locations],308)</f>
        <v/>
      </c>
      <c r="G309" s="66">
        <f>INDEX(Projects[PS Shuttles],308)</f>
        <v/>
      </c>
      <c r="H309" s="66">
        <f>INDEX(Projects[PS Pallet Locations],308)</f>
        <v/>
      </c>
      <c r="I309" s="66">
        <f>INDEX(Projects[SRM Cranes],308)</f>
        <v/>
      </c>
      <c r="J309" s="66">
        <f>INDEX(Projects[SRM Pallet Locations],308)</f>
        <v/>
      </c>
      <c r="K309" s="66">
        <f>INDEX(Projects[Case Conv (m)],308)</f>
        <v/>
      </c>
      <c r="L309" s="66">
        <f>INDEX(Projects[Pallet Conv (m)],308)</f>
        <v/>
      </c>
      <c r="M309" s="66">
        <f>INDEX(Projects[Mech Eng (wks)],308)</f>
        <v/>
      </c>
      <c r="N309" s="66">
        <f>INDEX(Projects[Controls Eng (wks)],308)</f>
        <v/>
      </c>
      <c r="O309" s="66">
        <f>INDEX(Projects[Systems Eng (wks)],308)</f>
        <v/>
      </c>
      <c r="P309" s="66">
        <f>INDEX(Projects[Software Eng (wks)],308)</f>
        <v/>
      </c>
      <c r="Q309" s="66">
        <f>INDEX(Projects[M&amp;E Installation (wks)],308)</f>
        <v/>
      </c>
      <c r="R309" s="66">
        <f>INDEX(Projects[Commissioning (wks)],308)</f>
        <v/>
      </c>
      <c r="S309" s="66">
        <f>INDEX(Projects[Total Timeline (wks)],308)</f>
        <v/>
      </c>
      <c r="T309" s="66">
        <f>INDEX(Projects[Currency],308)&amp;""</f>
        <v/>
      </c>
      <c r="U309" s="67">
        <f>INDEX(Projects[Value (M)],308)</f>
        <v/>
      </c>
      <c r="V309" s="66">
        <f>IF('Smart Search'!B13=1,IFERROR(1/'Smart Search'!H13,0),0)</f>
        <v/>
      </c>
      <c r="W309" s="66">
        <f>IF('Smart Search'!B13=1,IFERROR(1/'Smart Search'!H13,0),0)</f>
        <v/>
      </c>
      <c r="X309" s="66">
        <f>IF('Smart Search'!C13=1,IFERROR(1/'Smart Search'!H13,0),0)</f>
        <v/>
      </c>
      <c r="Y309" s="66">
        <f>IF('Smart Search'!C13=1,IFERROR(1/'Smart Search'!H13,0),0)</f>
        <v/>
      </c>
      <c r="Z309" s="66">
        <f>IF('Smart Search'!D13=1,IFERROR(1/'Smart Search'!H13,0),0)</f>
        <v/>
      </c>
      <c r="AA309" s="66">
        <f>IF('Smart Search'!D13=1,IFERROR(1/'Smart Search'!H13,0),0)</f>
        <v/>
      </c>
      <c r="AB309" s="66">
        <f>IF('Smart Search'!E13=1,IFERROR(1/'Smart Search'!H13,0),0)</f>
        <v/>
      </c>
      <c r="AC309" s="66">
        <f>IF('Smart Search'!E13=1,IFERROR(1/'Smart Search'!H13,0),0)</f>
        <v/>
      </c>
      <c r="AD309" s="66">
        <f>IF('Smart Search'!F13=1,IFERROR(1/'Smart Search'!H13,0),0)</f>
        <v/>
      </c>
      <c r="AE309" s="66">
        <f>IF('Smart Search'!F13=1,IFERROR(1/'Smart Search'!H13,0),0)</f>
        <v/>
      </c>
      <c r="AF309" s="66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66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66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66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66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66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66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66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66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66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66">
        <f>AF309*V309</f>
        <v/>
      </c>
      <c r="AQ309" s="66">
        <f>AG309*W309</f>
        <v/>
      </c>
      <c r="AR309" s="66">
        <f>AH309*X309</f>
        <v/>
      </c>
      <c r="AS309" s="66">
        <f>AI309*Y309</f>
        <v/>
      </c>
      <c r="AT309" s="66">
        <f>AJ309*Z309</f>
        <v/>
      </c>
      <c r="AU309" s="66">
        <f>AK309*AA309</f>
        <v/>
      </c>
      <c r="AV309" s="66">
        <f>AL309*AB309</f>
        <v/>
      </c>
      <c r="AW309" s="66">
        <f>AM309*AC309</f>
        <v/>
      </c>
      <c r="AX309" s="66">
        <f>AN309*AD309</f>
        <v/>
      </c>
      <c r="AY309" s="66">
        <f>AO309*AE309</f>
        <v/>
      </c>
      <c r="AZ309" s="66">
        <f>INDEX(Projects[Automation Equipment],308)&amp;""</f>
        <v/>
      </c>
      <c r="BA309" s="66">
        <f>IF(OR(A309="",'Smart Search'!H13=0),"",MAX(0,BE309*BF309*MAX(0,1-BG309)))</f>
        <v/>
      </c>
      <c r="BB309" s="66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66">
        <f>IF('Smart Search'!G13=1,IFERROR(1/'Smart Search'!H13,0),0)</f>
        <v/>
      </c>
      <c r="BD309" s="66">
        <f>BB309*BC309</f>
        <v/>
      </c>
      <c r="BE309" s="66">
        <f>AP309+AQ309+AR309+AS309+AT309+AU309+AV309+AW309+AX309+AY309+BD309</f>
        <v/>
      </c>
      <c r="BF309" s="5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5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5">
        <f>IF(AND(A309&lt;&gt;"",OR('Smart Search'!$L$5="",'Smart Search'!$L$5="All",TRIM(BZ309)=TRIM('Smart Search'!$L$5)),OR(TRIM('Smart Search'!$L$6)="",TRIM('Smart Search'!$L$6)="All",ISNUMBER(SEARCH(SUBSTITUTE(SUBSTITUTE(SUBSTITUTE(TRIM('Smart Search'!$L$6),"~","~~"),"*","~*"),"?","~?"),CA309))),OR('Smart Search'!$L$7="",AND(CB309&lt;&gt;0,CB309='Smart Search'!$L$7)),OR('Smart Search'!$L$8="",'Smart Search'!$L$8="All",TRIM(CC309)=TRIM('Smart Search'!$L$8))),IF(BA309="","",BA309+ROW()*0.0000000001),"")</f>
        <v/>
      </c>
      <c r="BI309" s="5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5">
        <f>IF(A309="","",N(INDEX(Projects[Mech Inst],308)))</f>
        <v/>
      </c>
      <c r="BK309" s="5">
        <f>IF(A309="","",N(INDEX(Projects[Elec Inst],308)))</f>
        <v/>
      </c>
      <c r="BL309" s="5">
        <f>IF(A309="","",N(INDEX(Projects[Project Management],308)))</f>
        <v/>
      </c>
      <c r="BM309" s="5">
        <f>IF(A309="","",N(INDEX(Projects[Systems Eng],308)))</f>
        <v/>
      </c>
      <c r="BN309" s="5">
        <f>IF(A309="","",N(INDEX(Projects[Mechanical Eng],308)))</f>
        <v/>
      </c>
      <c r="BO309" s="5">
        <f>IF(A309="","",N(INDEX(Projects[Structural Engineering],308)))</f>
        <v/>
      </c>
      <c r="BP309" s="5">
        <f>IF(A309="","",N(INDEX(Projects[Site Sup],308)))</f>
        <v/>
      </c>
      <c r="BQ309" s="5">
        <f>IF(A309="","",N(INDEX(Projects[Controls Commissioning],308)))</f>
        <v/>
      </c>
      <c r="BR309" s="5">
        <f>IF(A309="","",N(INDEX(Projects[Systems Commissioning],308)))</f>
        <v/>
      </c>
      <c r="BS309" s="5">
        <f>IF(A309="","",N(INDEX(Projects[Service Commissioning],308)))</f>
        <v/>
      </c>
      <c r="BT309" s="5">
        <f>IF(A309="","",N(INDEX(Projects[Controls Eng],308)))</f>
        <v/>
      </c>
      <c r="BU309" s="5">
        <f>IF(A309="","",N(INDEX(Projects[Controls Purchase],308)))</f>
        <v/>
      </c>
      <c r="BV309" s="5">
        <f>IF(A309="","",N(INDEX(Projects[Software Eng],308)))</f>
        <v/>
      </c>
      <c r="BW309" s="5">
        <f>IF(A309="","",N(INDEX(Projects[Misc],308)))</f>
        <v/>
      </c>
      <c r="BX309" s="5">
        <f>IF(A309="","",SUM(BJ309:BW309))</f>
        <v/>
      </c>
      <c r="BY309" s="5">
        <f>IF(A309="","",IFERROR(IF(ISNUMBER(U309),U309,VALUE(SUBSTITUTE(SUBSTITUTE(SUBSTITUTE(UPPER(TRIM(U309)),"M",""),",","")," ",""))),0))</f>
        <v/>
      </c>
      <c r="BZ309" s="5">
        <f>INDEX(Projects[Solution Type],308)&amp;""</f>
        <v/>
      </c>
      <c r="CA309" s="5">
        <f>INDEX(Projects[Client / Region],308)&amp;""</f>
        <v/>
      </c>
      <c r="CB309" s="5">
        <f>INDEX(Projects[Year],308)</f>
        <v/>
      </c>
      <c r="CC309" s="5">
        <f>INDEX(Projects[Won?],308)&amp;""</f>
        <v/>
      </c>
      <c r="CD309" s="5">
        <f>INDEX(Projects[Value (USD M)],308)</f>
        <v/>
      </c>
    </row>
    <row r="310" ht="15" customHeight="1" s="74">
      <c r="A310" s="66">
        <f>INDEX(Projects[Project ID *],309)&amp;""</f>
        <v/>
      </c>
      <c r="B310" s="66">
        <f>INDEX(Projects[Project Name *],309)&amp;""</f>
        <v/>
      </c>
      <c r="C310" s="66">
        <f>INDEX(Projects[MS Shuttles],309)</f>
        <v/>
      </c>
      <c r="D310" s="66">
        <f>INDEX(Projects[MS Tote Locations],309)</f>
        <v/>
      </c>
      <c r="E310" s="66">
        <f>INDEX(Projects[AS Robots],309)</f>
        <v/>
      </c>
      <c r="F310" s="66">
        <f>INDEX(Projects[AS Tote Locations],309)</f>
        <v/>
      </c>
      <c r="G310" s="66">
        <f>INDEX(Projects[PS Shuttles],309)</f>
        <v/>
      </c>
      <c r="H310" s="66">
        <f>INDEX(Projects[PS Pallet Locations],309)</f>
        <v/>
      </c>
      <c r="I310" s="66">
        <f>INDEX(Projects[SRM Cranes],309)</f>
        <v/>
      </c>
      <c r="J310" s="66">
        <f>INDEX(Projects[SRM Pallet Locations],309)</f>
        <v/>
      </c>
      <c r="K310" s="66">
        <f>INDEX(Projects[Case Conv (m)],309)</f>
        <v/>
      </c>
      <c r="L310" s="66">
        <f>INDEX(Projects[Pallet Conv (m)],309)</f>
        <v/>
      </c>
      <c r="M310" s="66">
        <f>INDEX(Projects[Mech Eng (wks)],309)</f>
        <v/>
      </c>
      <c r="N310" s="66">
        <f>INDEX(Projects[Controls Eng (wks)],309)</f>
        <v/>
      </c>
      <c r="O310" s="66">
        <f>INDEX(Projects[Systems Eng (wks)],309)</f>
        <v/>
      </c>
      <c r="P310" s="66">
        <f>INDEX(Projects[Software Eng (wks)],309)</f>
        <v/>
      </c>
      <c r="Q310" s="66">
        <f>INDEX(Projects[M&amp;E Installation (wks)],309)</f>
        <v/>
      </c>
      <c r="R310" s="66">
        <f>INDEX(Projects[Commissioning (wks)],309)</f>
        <v/>
      </c>
      <c r="S310" s="66">
        <f>INDEX(Projects[Total Timeline (wks)],309)</f>
        <v/>
      </c>
      <c r="T310" s="66">
        <f>INDEX(Projects[Currency],309)&amp;""</f>
        <v/>
      </c>
      <c r="U310" s="67">
        <f>INDEX(Projects[Value (M)],309)</f>
        <v/>
      </c>
      <c r="V310" s="66">
        <f>IF('Smart Search'!B13=1,IFERROR(1/'Smart Search'!H13,0),0)</f>
        <v/>
      </c>
      <c r="W310" s="66">
        <f>IF('Smart Search'!B13=1,IFERROR(1/'Smart Search'!H13,0),0)</f>
        <v/>
      </c>
      <c r="X310" s="66">
        <f>IF('Smart Search'!C13=1,IFERROR(1/'Smart Search'!H13,0),0)</f>
        <v/>
      </c>
      <c r="Y310" s="66">
        <f>IF('Smart Search'!C13=1,IFERROR(1/'Smart Search'!H13,0),0)</f>
        <v/>
      </c>
      <c r="Z310" s="66">
        <f>IF('Smart Search'!D13=1,IFERROR(1/'Smart Search'!H13,0),0)</f>
        <v/>
      </c>
      <c r="AA310" s="66">
        <f>IF('Smart Search'!D13=1,IFERROR(1/'Smart Search'!H13,0),0)</f>
        <v/>
      </c>
      <c r="AB310" s="66">
        <f>IF('Smart Search'!E13=1,IFERROR(1/'Smart Search'!H13,0),0)</f>
        <v/>
      </c>
      <c r="AC310" s="66">
        <f>IF('Smart Search'!E13=1,IFERROR(1/'Smart Search'!H13,0),0)</f>
        <v/>
      </c>
      <c r="AD310" s="66">
        <f>IF('Smart Search'!F13=1,IFERROR(1/'Smart Search'!H13,0),0)</f>
        <v/>
      </c>
      <c r="AE310" s="66">
        <f>IF('Smart Search'!F13=1,IFERROR(1/'Smart Search'!H13,0),0)</f>
        <v/>
      </c>
      <c r="AF310" s="66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66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66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66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66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66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66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66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66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66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66">
        <f>AF310*V310</f>
        <v/>
      </c>
      <c r="AQ310" s="66">
        <f>AG310*W310</f>
        <v/>
      </c>
      <c r="AR310" s="66">
        <f>AH310*X310</f>
        <v/>
      </c>
      <c r="AS310" s="66">
        <f>AI310*Y310</f>
        <v/>
      </c>
      <c r="AT310" s="66">
        <f>AJ310*Z310</f>
        <v/>
      </c>
      <c r="AU310" s="66">
        <f>AK310*AA310</f>
        <v/>
      </c>
      <c r="AV310" s="66">
        <f>AL310*AB310</f>
        <v/>
      </c>
      <c r="AW310" s="66">
        <f>AM310*AC310</f>
        <v/>
      </c>
      <c r="AX310" s="66">
        <f>AN310*AD310</f>
        <v/>
      </c>
      <c r="AY310" s="66">
        <f>AO310*AE310</f>
        <v/>
      </c>
      <c r="AZ310" s="66">
        <f>INDEX(Projects[Automation Equipment],309)&amp;""</f>
        <v/>
      </c>
      <c r="BA310" s="66">
        <f>IF(OR(A310="",'Smart Search'!H13=0),"",MAX(0,BE310*BF310*MAX(0,1-BG310)))</f>
        <v/>
      </c>
      <c r="BB310" s="66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66">
        <f>IF('Smart Search'!G13=1,IFERROR(1/'Smart Search'!H13,0),0)</f>
        <v/>
      </c>
      <c r="BD310" s="66">
        <f>BB310*BC310</f>
        <v/>
      </c>
      <c r="BE310" s="66">
        <f>AP310+AQ310+AR310+AS310+AT310+AU310+AV310+AW310+AX310+AY310+BD310</f>
        <v/>
      </c>
      <c r="BF310" s="5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5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5">
        <f>IF(AND(A310&lt;&gt;"",OR('Smart Search'!$L$5="",'Smart Search'!$L$5="All",TRIM(BZ310)=TRIM('Smart Search'!$L$5)),OR(TRIM('Smart Search'!$L$6)="",TRIM('Smart Search'!$L$6)="All",ISNUMBER(SEARCH(SUBSTITUTE(SUBSTITUTE(SUBSTITUTE(TRIM('Smart Search'!$L$6),"~","~~"),"*","~*"),"?","~?"),CA310))),OR('Smart Search'!$L$7="",AND(CB310&lt;&gt;0,CB310='Smart Search'!$L$7)),OR('Smart Search'!$L$8="",'Smart Search'!$L$8="All",TRIM(CC310)=TRIM('Smart Search'!$L$8))),IF(BA310="","",BA310+ROW()*0.0000000001),"")</f>
        <v/>
      </c>
      <c r="BI310" s="5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5">
        <f>IF(A310="","",N(INDEX(Projects[Mech Inst],309)))</f>
        <v/>
      </c>
      <c r="BK310" s="5">
        <f>IF(A310="","",N(INDEX(Projects[Elec Inst],309)))</f>
        <v/>
      </c>
      <c r="BL310" s="5">
        <f>IF(A310="","",N(INDEX(Projects[Project Management],309)))</f>
        <v/>
      </c>
      <c r="BM310" s="5">
        <f>IF(A310="","",N(INDEX(Projects[Systems Eng],309)))</f>
        <v/>
      </c>
      <c r="BN310" s="5">
        <f>IF(A310="","",N(INDEX(Projects[Mechanical Eng],309)))</f>
        <v/>
      </c>
      <c r="BO310" s="5">
        <f>IF(A310="","",N(INDEX(Projects[Structural Engineering],309)))</f>
        <v/>
      </c>
      <c r="BP310" s="5">
        <f>IF(A310="","",N(INDEX(Projects[Site Sup],309)))</f>
        <v/>
      </c>
      <c r="BQ310" s="5">
        <f>IF(A310="","",N(INDEX(Projects[Controls Commissioning],309)))</f>
        <v/>
      </c>
      <c r="BR310" s="5">
        <f>IF(A310="","",N(INDEX(Projects[Systems Commissioning],309)))</f>
        <v/>
      </c>
      <c r="BS310" s="5">
        <f>IF(A310="","",N(INDEX(Projects[Service Commissioning],309)))</f>
        <v/>
      </c>
      <c r="BT310" s="5">
        <f>IF(A310="","",N(INDEX(Projects[Controls Eng],309)))</f>
        <v/>
      </c>
      <c r="BU310" s="5">
        <f>IF(A310="","",N(INDEX(Projects[Controls Purchase],309)))</f>
        <v/>
      </c>
      <c r="BV310" s="5">
        <f>IF(A310="","",N(INDEX(Projects[Software Eng],309)))</f>
        <v/>
      </c>
      <c r="BW310" s="5">
        <f>IF(A310="","",N(INDEX(Projects[Misc],309)))</f>
        <v/>
      </c>
      <c r="BX310" s="5">
        <f>IF(A310="","",SUM(BJ310:BW310))</f>
        <v/>
      </c>
      <c r="BY310" s="5">
        <f>IF(A310="","",IFERROR(IF(ISNUMBER(U310),U310,VALUE(SUBSTITUTE(SUBSTITUTE(SUBSTITUTE(UPPER(TRIM(U310)),"M",""),",","")," ",""))),0))</f>
        <v/>
      </c>
      <c r="BZ310" s="5">
        <f>INDEX(Projects[Solution Type],309)&amp;""</f>
        <v/>
      </c>
      <c r="CA310" s="5">
        <f>INDEX(Projects[Client / Region],309)&amp;""</f>
        <v/>
      </c>
      <c r="CB310" s="5">
        <f>INDEX(Projects[Year],309)</f>
        <v/>
      </c>
      <c r="CC310" s="5">
        <f>INDEX(Projects[Won?],309)&amp;""</f>
        <v/>
      </c>
      <c r="CD310" s="5">
        <f>INDEX(Projects[Value (USD M)],309)</f>
        <v/>
      </c>
    </row>
    <row r="311" ht="15" customHeight="1" s="74">
      <c r="A311" s="66">
        <f>INDEX(Projects[Project ID *],310)&amp;""</f>
        <v/>
      </c>
      <c r="B311" s="66">
        <f>INDEX(Projects[Project Name *],310)&amp;""</f>
        <v/>
      </c>
      <c r="C311" s="66">
        <f>INDEX(Projects[MS Shuttles],310)</f>
        <v/>
      </c>
      <c r="D311" s="66">
        <f>INDEX(Projects[MS Tote Locations],310)</f>
        <v/>
      </c>
      <c r="E311" s="66">
        <f>INDEX(Projects[AS Robots],310)</f>
        <v/>
      </c>
      <c r="F311" s="66">
        <f>INDEX(Projects[AS Tote Locations],310)</f>
        <v/>
      </c>
      <c r="G311" s="66">
        <f>INDEX(Projects[PS Shuttles],310)</f>
        <v/>
      </c>
      <c r="H311" s="66">
        <f>INDEX(Projects[PS Pallet Locations],310)</f>
        <v/>
      </c>
      <c r="I311" s="66">
        <f>INDEX(Projects[SRM Cranes],310)</f>
        <v/>
      </c>
      <c r="J311" s="66">
        <f>INDEX(Projects[SRM Pallet Locations],310)</f>
        <v/>
      </c>
      <c r="K311" s="66">
        <f>INDEX(Projects[Case Conv (m)],310)</f>
        <v/>
      </c>
      <c r="L311" s="66">
        <f>INDEX(Projects[Pallet Conv (m)],310)</f>
        <v/>
      </c>
      <c r="M311" s="66">
        <f>INDEX(Projects[Mech Eng (wks)],310)</f>
        <v/>
      </c>
      <c r="N311" s="66">
        <f>INDEX(Projects[Controls Eng (wks)],310)</f>
        <v/>
      </c>
      <c r="O311" s="66">
        <f>INDEX(Projects[Systems Eng (wks)],310)</f>
        <v/>
      </c>
      <c r="P311" s="66">
        <f>INDEX(Projects[Software Eng (wks)],310)</f>
        <v/>
      </c>
      <c r="Q311" s="66">
        <f>INDEX(Projects[M&amp;E Installation (wks)],310)</f>
        <v/>
      </c>
      <c r="R311" s="66">
        <f>INDEX(Projects[Commissioning (wks)],310)</f>
        <v/>
      </c>
      <c r="S311" s="66">
        <f>INDEX(Projects[Total Timeline (wks)],310)</f>
        <v/>
      </c>
      <c r="T311" s="66">
        <f>INDEX(Projects[Currency],310)&amp;""</f>
        <v/>
      </c>
      <c r="U311" s="67">
        <f>INDEX(Projects[Value (M)],310)</f>
        <v/>
      </c>
      <c r="V311" s="66">
        <f>IF('Smart Search'!B13=1,IFERROR(1/'Smart Search'!H13,0),0)</f>
        <v/>
      </c>
      <c r="W311" s="66">
        <f>IF('Smart Search'!B13=1,IFERROR(1/'Smart Search'!H13,0),0)</f>
        <v/>
      </c>
      <c r="X311" s="66">
        <f>IF('Smart Search'!C13=1,IFERROR(1/'Smart Search'!H13,0),0)</f>
        <v/>
      </c>
      <c r="Y311" s="66">
        <f>IF('Smart Search'!C13=1,IFERROR(1/'Smart Search'!H13,0),0)</f>
        <v/>
      </c>
      <c r="Z311" s="66">
        <f>IF('Smart Search'!D13=1,IFERROR(1/'Smart Search'!H13,0),0)</f>
        <v/>
      </c>
      <c r="AA311" s="66">
        <f>IF('Smart Search'!D13=1,IFERROR(1/'Smart Search'!H13,0),0)</f>
        <v/>
      </c>
      <c r="AB311" s="66">
        <f>IF('Smart Search'!E13=1,IFERROR(1/'Smart Search'!H13,0),0)</f>
        <v/>
      </c>
      <c r="AC311" s="66">
        <f>IF('Smart Search'!E13=1,IFERROR(1/'Smart Search'!H13,0),0)</f>
        <v/>
      </c>
      <c r="AD311" s="66">
        <f>IF('Smart Search'!F13=1,IFERROR(1/'Smart Search'!H13,0),0)</f>
        <v/>
      </c>
      <c r="AE311" s="66">
        <f>IF('Smart Search'!F13=1,IFERROR(1/'Smart Search'!H13,0),0)</f>
        <v/>
      </c>
      <c r="AF311" s="66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66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66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66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66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66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66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66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66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66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66">
        <f>AF311*V311</f>
        <v/>
      </c>
      <c r="AQ311" s="66">
        <f>AG311*W311</f>
        <v/>
      </c>
      <c r="AR311" s="66">
        <f>AH311*X311</f>
        <v/>
      </c>
      <c r="AS311" s="66">
        <f>AI311*Y311</f>
        <v/>
      </c>
      <c r="AT311" s="66">
        <f>AJ311*Z311</f>
        <v/>
      </c>
      <c r="AU311" s="66">
        <f>AK311*AA311</f>
        <v/>
      </c>
      <c r="AV311" s="66">
        <f>AL311*AB311</f>
        <v/>
      </c>
      <c r="AW311" s="66">
        <f>AM311*AC311</f>
        <v/>
      </c>
      <c r="AX311" s="66">
        <f>AN311*AD311</f>
        <v/>
      </c>
      <c r="AY311" s="66">
        <f>AO311*AE311</f>
        <v/>
      </c>
      <c r="AZ311" s="66">
        <f>INDEX(Projects[Automation Equipment],310)&amp;""</f>
        <v/>
      </c>
      <c r="BA311" s="66">
        <f>IF(OR(A311="",'Smart Search'!H13=0),"",MAX(0,BE311*BF311*MAX(0,1-BG311)))</f>
        <v/>
      </c>
      <c r="BB311" s="66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66">
        <f>IF('Smart Search'!G13=1,IFERROR(1/'Smart Search'!H13,0),0)</f>
        <v/>
      </c>
      <c r="BD311" s="66">
        <f>BB311*BC311</f>
        <v/>
      </c>
      <c r="BE311" s="66">
        <f>AP311+AQ311+AR311+AS311+AT311+AU311+AV311+AW311+AX311+AY311+BD311</f>
        <v/>
      </c>
      <c r="BF311" s="5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5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5">
        <f>IF(AND(A311&lt;&gt;"",OR('Smart Search'!$L$5="",'Smart Search'!$L$5="All",TRIM(BZ311)=TRIM('Smart Search'!$L$5)),OR(TRIM('Smart Search'!$L$6)="",TRIM('Smart Search'!$L$6)="All",ISNUMBER(SEARCH(SUBSTITUTE(SUBSTITUTE(SUBSTITUTE(TRIM('Smart Search'!$L$6),"~","~~"),"*","~*"),"?","~?"),CA311))),OR('Smart Search'!$L$7="",AND(CB311&lt;&gt;0,CB311='Smart Search'!$L$7)),OR('Smart Search'!$L$8="",'Smart Search'!$L$8="All",TRIM(CC311)=TRIM('Smart Search'!$L$8))),IF(BA311="","",BA311+ROW()*0.0000000001),"")</f>
        <v/>
      </c>
      <c r="BI311" s="5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5">
        <f>IF(A311="","",N(INDEX(Projects[Mech Inst],310)))</f>
        <v/>
      </c>
      <c r="BK311" s="5">
        <f>IF(A311="","",N(INDEX(Projects[Elec Inst],310)))</f>
        <v/>
      </c>
      <c r="BL311" s="5">
        <f>IF(A311="","",N(INDEX(Projects[Project Management],310)))</f>
        <v/>
      </c>
      <c r="BM311" s="5">
        <f>IF(A311="","",N(INDEX(Projects[Systems Eng],310)))</f>
        <v/>
      </c>
      <c r="BN311" s="5">
        <f>IF(A311="","",N(INDEX(Projects[Mechanical Eng],310)))</f>
        <v/>
      </c>
      <c r="BO311" s="5">
        <f>IF(A311="","",N(INDEX(Projects[Structural Engineering],310)))</f>
        <v/>
      </c>
      <c r="BP311" s="5">
        <f>IF(A311="","",N(INDEX(Projects[Site Sup],310)))</f>
        <v/>
      </c>
      <c r="BQ311" s="5">
        <f>IF(A311="","",N(INDEX(Projects[Controls Commissioning],310)))</f>
        <v/>
      </c>
      <c r="BR311" s="5">
        <f>IF(A311="","",N(INDEX(Projects[Systems Commissioning],310)))</f>
        <v/>
      </c>
      <c r="BS311" s="5">
        <f>IF(A311="","",N(INDEX(Projects[Service Commissioning],310)))</f>
        <v/>
      </c>
      <c r="BT311" s="5">
        <f>IF(A311="","",N(INDEX(Projects[Controls Eng],310)))</f>
        <v/>
      </c>
      <c r="BU311" s="5">
        <f>IF(A311="","",N(INDEX(Projects[Controls Purchase],310)))</f>
        <v/>
      </c>
      <c r="BV311" s="5">
        <f>IF(A311="","",N(INDEX(Projects[Software Eng],310)))</f>
        <v/>
      </c>
      <c r="BW311" s="5">
        <f>IF(A311="","",N(INDEX(Projects[Misc],310)))</f>
        <v/>
      </c>
      <c r="BX311" s="5">
        <f>IF(A311="","",SUM(BJ311:BW311))</f>
        <v/>
      </c>
      <c r="BY311" s="5">
        <f>IF(A311="","",IFERROR(IF(ISNUMBER(U311),U311,VALUE(SUBSTITUTE(SUBSTITUTE(SUBSTITUTE(UPPER(TRIM(U311)),"M",""),",","")," ",""))),0))</f>
        <v/>
      </c>
      <c r="BZ311" s="5">
        <f>INDEX(Projects[Solution Type],310)&amp;""</f>
        <v/>
      </c>
      <c r="CA311" s="5">
        <f>INDEX(Projects[Client / Region],310)&amp;""</f>
        <v/>
      </c>
      <c r="CB311" s="5">
        <f>INDEX(Projects[Year],310)</f>
        <v/>
      </c>
      <c r="CC311" s="5">
        <f>INDEX(Projects[Won?],310)&amp;""</f>
        <v/>
      </c>
      <c r="CD311" s="5">
        <f>INDEX(Projects[Value (USD M)],310)</f>
        <v/>
      </c>
    </row>
    <row r="312" ht="15" customHeight="1" s="74">
      <c r="A312" s="66">
        <f>INDEX(Projects[Project ID *],311)&amp;""</f>
        <v/>
      </c>
      <c r="B312" s="66">
        <f>INDEX(Projects[Project Name *],311)&amp;""</f>
        <v/>
      </c>
      <c r="C312" s="66">
        <f>INDEX(Projects[MS Shuttles],311)</f>
        <v/>
      </c>
      <c r="D312" s="66">
        <f>INDEX(Projects[MS Tote Locations],311)</f>
        <v/>
      </c>
      <c r="E312" s="66">
        <f>INDEX(Projects[AS Robots],311)</f>
        <v/>
      </c>
      <c r="F312" s="66">
        <f>INDEX(Projects[AS Tote Locations],311)</f>
        <v/>
      </c>
      <c r="G312" s="66">
        <f>INDEX(Projects[PS Shuttles],311)</f>
        <v/>
      </c>
      <c r="H312" s="66">
        <f>INDEX(Projects[PS Pallet Locations],311)</f>
        <v/>
      </c>
      <c r="I312" s="66">
        <f>INDEX(Projects[SRM Cranes],311)</f>
        <v/>
      </c>
      <c r="J312" s="66">
        <f>INDEX(Projects[SRM Pallet Locations],311)</f>
        <v/>
      </c>
      <c r="K312" s="66">
        <f>INDEX(Projects[Case Conv (m)],311)</f>
        <v/>
      </c>
      <c r="L312" s="66">
        <f>INDEX(Projects[Pallet Conv (m)],311)</f>
        <v/>
      </c>
      <c r="M312" s="66">
        <f>INDEX(Projects[Mech Eng (wks)],311)</f>
        <v/>
      </c>
      <c r="N312" s="66">
        <f>INDEX(Projects[Controls Eng (wks)],311)</f>
        <v/>
      </c>
      <c r="O312" s="66">
        <f>INDEX(Projects[Systems Eng (wks)],311)</f>
        <v/>
      </c>
      <c r="P312" s="66">
        <f>INDEX(Projects[Software Eng (wks)],311)</f>
        <v/>
      </c>
      <c r="Q312" s="66">
        <f>INDEX(Projects[M&amp;E Installation (wks)],311)</f>
        <v/>
      </c>
      <c r="R312" s="66">
        <f>INDEX(Projects[Commissioning (wks)],311)</f>
        <v/>
      </c>
      <c r="S312" s="66">
        <f>INDEX(Projects[Total Timeline (wks)],311)</f>
        <v/>
      </c>
      <c r="T312" s="66">
        <f>INDEX(Projects[Currency],311)&amp;""</f>
        <v/>
      </c>
      <c r="U312" s="67">
        <f>INDEX(Projects[Value (M)],311)</f>
        <v/>
      </c>
      <c r="V312" s="66">
        <f>IF('Smart Search'!B13=1,IFERROR(1/'Smart Search'!H13,0),0)</f>
        <v/>
      </c>
      <c r="W312" s="66">
        <f>IF('Smart Search'!B13=1,IFERROR(1/'Smart Search'!H13,0),0)</f>
        <v/>
      </c>
      <c r="X312" s="66">
        <f>IF('Smart Search'!C13=1,IFERROR(1/'Smart Search'!H13,0),0)</f>
        <v/>
      </c>
      <c r="Y312" s="66">
        <f>IF('Smart Search'!C13=1,IFERROR(1/'Smart Search'!H13,0),0)</f>
        <v/>
      </c>
      <c r="Z312" s="66">
        <f>IF('Smart Search'!D13=1,IFERROR(1/'Smart Search'!H13,0),0)</f>
        <v/>
      </c>
      <c r="AA312" s="66">
        <f>IF('Smart Search'!D13=1,IFERROR(1/'Smart Search'!H13,0),0)</f>
        <v/>
      </c>
      <c r="AB312" s="66">
        <f>IF('Smart Search'!E13=1,IFERROR(1/'Smart Search'!H13,0),0)</f>
        <v/>
      </c>
      <c r="AC312" s="66">
        <f>IF('Smart Search'!E13=1,IFERROR(1/'Smart Search'!H13,0),0)</f>
        <v/>
      </c>
      <c r="AD312" s="66">
        <f>IF('Smart Search'!F13=1,IFERROR(1/'Smart Search'!H13,0),0)</f>
        <v/>
      </c>
      <c r="AE312" s="66">
        <f>IF('Smart Search'!F13=1,IFERROR(1/'Smart Search'!H13,0),0)</f>
        <v/>
      </c>
      <c r="AF312" s="66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66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66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66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66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66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66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66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66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66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66">
        <f>AF312*V312</f>
        <v/>
      </c>
      <c r="AQ312" s="66">
        <f>AG312*W312</f>
        <v/>
      </c>
      <c r="AR312" s="66">
        <f>AH312*X312</f>
        <v/>
      </c>
      <c r="AS312" s="66">
        <f>AI312*Y312</f>
        <v/>
      </c>
      <c r="AT312" s="66">
        <f>AJ312*Z312</f>
        <v/>
      </c>
      <c r="AU312" s="66">
        <f>AK312*AA312</f>
        <v/>
      </c>
      <c r="AV312" s="66">
        <f>AL312*AB312</f>
        <v/>
      </c>
      <c r="AW312" s="66">
        <f>AM312*AC312</f>
        <v/>
      </c>
      <c r="AX312" s="66">
        <f>AN312*AD312</f>
        <v/>
      </c>
      <c r="AY312" s="66">
        <f>AO312*AE312</f>
        <v/>
      </c>
      <c r="AZ312" s="66">
        <f>INDEX(Projects[Automation Equipment],311)&amp;""</f>
        <v/>
      </c>
      <c r="BA312" s="66">
        <f>IF(OR(A312="",'Smart Search'!H13=0),"",MAX(0,BE312*BF312*MAX(0,1-BG312)))</f>
        <v/>
      </c>
      <c r="BB312" s="66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66">
        <f>IF('Smart Search'!G13=1,IFERROR(1/'Smart Search'!H13,0),0)</f>
        <v/>
      </c>
      <c r="BD312" s="66">
        <f>BB312*BC312</f>
        <v/>
      </c>
      <c r="BE312" s="66">
        <f>AP312+AQ312+AR312+AS312+AT312+AU312+AV312+AW312+AX312+AY312+BD312</f>
        <v/>
      </c>
      <c r="BF312" s="5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5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5">
        <f>IF(AND(A312&lt;&gt;"",OR('Smart Search'!$L$5="",'Smart Search'!$L$5="All",TRIM(BZ312)=TRIM('Smart Search'!$L$5)),OR(TRIM('Smart Search'!$L$6)="",TRIM('Smart Search'!$L$6)="All",ISNUMBER(SEARCH(SUBSTITUTE(SUBSTITUTE(SUBSTITUTE(TRIM('Smart Search'!$L$6),"~","~~"),"*","~*"),"?","~?"),CA312))),OR('Smart Search'!$L$7="",AND(CB312&lt;&gt;0,CB312='Smart Search'!$L$7)),OR('Smart Search'!$L$8="",'Smart Search'!$L$8="All",TRIM(CC312)=TRIM('Smart Search'!$L$8))),IF(BA312="","",BA312+ROW()*0.0000000001),"")</f>
        <v/>
      </c>
      <c r="BI312" s="5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5">
        <f>IF(A312="","",N(INDEX(Projects[Mech Inst],311)))</f>
        <v/>
      </c>
      <c r="BK312" s="5">
        <f>IF(A312="","",N(INDEX(Projects[Elec Inst],311)))</f>
        <v/>
      </c>
      <c r="BL312" s="5">
        <f>IF(A312="","",N(INDEX(Projects[Project Management],311)))</f>
        <v/>
      </c>
      <c r="BM312" s="5">
        <f>IF(A312="","",N(INDEX(Projects[Systems Eng],311)))</f>
        <v/>
      </c>
      <c r="BN312" s="5">
        <f>IF(A312="","",N(INDEX(Projects[Mechanical Eng],311)))</f>
        <v/>
      </c>
      <c r="BO312" s="5">
        <f>IF(A312="","",N(INDEX(Projects[Structural Engineering],311)))</f>
        <v/>
      </c>
      <c r="BP312" s="5">
        <f>IF(A312="","",N(INDEX(Projects[Site Sup],311)))</f>
        <v/>
      </c>
      <c r="BQ312" s="5">
        <f>IF(A312="","",N(INDEX(Projects[Controls Commissioning],311)))</f>
        <v/>
      </c>
      <c r="BR312" s="5">
        <f>IF(A312="","",N(INDEX(Projects[Systems Commissioning],311)))</f>
        <v/>
      </c>
      <c r="BS312" s="5">
        <f>IF(A312="","",N(INDEX(Projects[Service Commissioning],311)))</f>
        <v/>
      </c>
      <c r="BT312" s="5">
        <f>IF(A312="","",N(INDEX(Projects[Controls Eng],311)))</f>
        <v/>
      </c>
      <c r="BU312" s="5">
        <f>IF(A312="","",N(INDEX(Projects[Controls Purchase],311)))</f>
        <v/>
      </c>
      <c r="BV312" s="5">
        <f>IF(A312="","",N(INDEX(Projects[Software Eng],311)))</f>
        <v/>
      </c>
      <c r="BW312" s="5">
        <f>IF(A312="","",N(INDEX(Projects[Misc],311)))</f>
        <v/>
      </c>
      <c r="BX312" s="5">
        <f>IF(A312="","",SUM(BJ312:BW312))</f>
        <v/>
      </c>
      <c r="BY312" s="5">
        <f>IF(A312="","",IFERROR(IF(ISNUMBER(U312),U312,VALUE(SUBSTITUTE(SUBSTITUTE(SUBSTITUTE(UPPER(TRIM(U312)),"M",""),",","")," ",""))),0))</f>
        <v/>
      </c>
      <c r="BZ312" s="5">
        <f>INDEX(Projects[Solution Type],311)&amp;""</f>
        <v/>
      </c>
      <c r="CA312" s="5">
        <f>INDEX(Projects[Client / Region],311)&amp;""</f>
        <v/>
      </c>
      <c r="CB312" s="5">
        <f>INDEX(Projects[Year],311)</f>
        <v/>
      </c>
      <c r="CC312" s="5">
        <f>INDEX(Projects[Won?],311)&amp;""</f>
        <v/>
      </c>
      <c r="CD312" s="5">
        <f>INDEX(Projects[Value (USD M)],311)</f>
        <v/>
      </c>
    </row>
    <row r="313" ht="15" customHeight="1" s="74">
      <c r="A313" s="66">
        <f>INDEX(Projects[Project ID *],312)&amp;""</f>
        <v/>
      </c>
      <c r="B313" s="66">
        <f>INDEX(Projects[Project Name *],312)&amp;""</f>
        <v/>
      </c>
      <c r="C313" s="66">
        <f>INDEX(Projects[MS Shuttles],312)</f>
        <v/>
      </c>
      <c r="D313" s="66">
        <f>INDEX(Projects[MS Tote Locations],312)</f>
        <v/>
      </c>
      <c r="E313" s="66">
        <f>INDEX(Projects[AS Robots],312)</f>
        <v/>
      </c>
      <c r="F313" s="66">
        <f>INDEX(Projects[AS Tote Locations],312)</f>
        <v/>
      </c>
      <c r="G313" s="66">
        <f>INDEX(Projects[PS Shuttles],312)</f>
        <v/>
      </c>
      <c r="H313" s="66">
        <f>INDEX(Projects[PS Pallet Locations],312)</f>
        <v/>
      </c>
      <c r="I313" s="66">
        <f>INDEX(Projects[SRM Cranes],312)</f>
        <v/>
      </c>
      <c r="J313" s="66">
        <f>INDEX(Projects[SRM Pallet Locations],312)</f>
        <v/>
      </c>
      <c r="K313" s="66">
        <f>INDEX(Projects[Case Conv (m)],312)</f>
        <v/>
      </c>
      <c r="L313" s="66">
        <f>INDEX(Projects[Pallet Conv (m)],312)</f>
        <v/>
      </c>
      <c r="M313" s="66">
        <f>INDEX(Projects[Mech Eng (wks)],312)</f>
        <v/>
      </c>
      <c r="N313" s="66">
        <f>INDEX(Projects[Controls Eng (wks)],312)</f>
        <v/>
      </c>
      <c r="O313" s="66">
        <f>INDEX(Projects[Systems Eng (wks)],312)</f>
        <v/>
      </c>
      <c r="P313" s="66">
        <f>INDEX(Projects[Software Eng (wks)],312)</f>
        <v/>
      </c>
      <c r="Q313" s="66">
        <f>INDEX(Projects[M&amp;E Installation (wks)],312)</f>
        <v/>
      </c>
      <c r="R313" s="66">
        <f>INDEX(Projects[Commissioning (wks)],312)</f>
        <v/>
      </c>
      <c r="S313" s="66">
        <f>INDEX(Projects[Total Timeline (wks)],312)</f>
        <v/>
      </c>
      <c r="T313" s="66">
        <f>INDEX(Projects[Currency],312)&amp;""</f>
        <v/>
      </c>
      <c r="U313" s="67">
        <f>INDEX(Projects[Value (M)],312)</f>
        <v/>
      </c>
      <c r="V313" s="66">
        <f>IF('Smart Search'!B13=1,IFERROR(1/'Smart Search'!H13,0),0)</f>
        <v/>
      </c>
      <c r="W313" s="66">
        <f>IF('Smart Search'!B13=1,IFERROR(1/'Smart Search'!H13,0),0)</f>
        <v/>
      </c>
      <c r="X313" s="66">
        <f>IF('Smart Search'!C13=1,IFERROR(1/'Smart Search'!H13,0),0)</f>
        <v/>
      </c>
      <c r="Y313" s="66">
        <f>IF('Smart Search'!C13=1,IFERROR(1/'Smart Search'!H13,0),0)</f>
        <v/>
      </c>
      <c r="Z313" s="66">
        <f>IF('Smart Search'!D13=1,IFERROR(1/'Smart Search'!H13,0),0)</f>
        <v/>
      </c>
      <c r="AA313" s="66">
        <f>IF('Smart Search'!D13=1,IFERROR(1/'Smart Search'!H13,0),0)</f>
        <v/>
      </c>
      <c r="AB313" s="66">
        <f>IF('Smart Search'!E13=1,IFERROR(1/'Smart Search'!H13,0),0)</f>
        <v/>
      </c>
      <c r="AC313" s="66">
        <f>IF('Smart Search'!E13=1,IFERROR(1/'Smart Search'!H13,0),0)</f>
        <v/>
      </c>
      <c r="AD313" s="66">
        <f>IF('Smart Search'!F13=1,IFERROR(1/'Smart Search'!H13,0),0)</f>
        <v/>
      </c>
      <c r="AE313" s="66">
        <f>IF('Smart Search'!F13=1,IFERROR(1/'Smart Search'!H13,0),0)</f>
        <v/>
      </c>
      <c r="AF313" s="66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66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66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66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66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66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66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66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66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66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66">
        <f>AF313*V313</f>
        <v/>
      </c>
      <c r="AQ313" s="66">
        <f>AG313*W313</f>
        <v/>
      </c>
      <c r="AR313" s="66">
        <f>AH313*X313</f>
        <v/>
      </c>
      <c r="AS313" s="66">
        <f>AI313*Y313</f>
        <v/>
      </c>
      <c r="AT313" s="66">
        <f>AJ313*Z313</f>
        <v/>
      </c>
      <c r="AU313" s="66">
        <f>AK313*AA313</f>
        <v/>
      </c>
      <c r="AV313" s="66">
        <f>AL313*AB313</f>
        <v/>
      </c>
      <c r="AW313" s="66">
        <f>AM313*AC313</f>
        <v/>
      </c>
      <c r="AX313" s="66">
        <f>AN313*AD313</f>
        <v/>
      </c>
      <c r="AY313" s="66">
        <f>AO313*AE313</f>
        <v/>
      </c>
      <c r="AZ313" s="66">
        <f>INDEX(Projects[Automation Equipment],312)&amp;""</f>
        <v/>
      </c>
      <c r="BA313" s="66">
        <f>IF(OR(A313="",'Smart Search'!H13=0),"",MAX(0,BE313*BF313*MAX(0,1-BG313)))</f>
        <v/>
      </c>
      <c r="BB313" s="66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66">
        <f>IF('Smart Search'!G13=1,IFERROR(1/'Smart Search'!H13,0),0)</f>
        <v/>
      </c>
      <c r="BD313" s="66">
        <f>BB313*BC313</f>
        <v/>
      </c>
      <c r="BE313" s="66">
        <f>AP313+AQ313+AR313+AS313+AT313+AU313+AV313+AW313+AX313+AY313+BD313</f>
        <v/>
      </c>
      <c r="BF313" s="5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5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5">
        <f>IF(AND(A313&lt;&gt;"",OR('Smart Search'!$L$5="",'Smart Search'!$L$5="All",TRIM(BZ313)=TRIM('Smart Search'!$L$5)),OR(TRIM('Smart Search'!$L$6)="",TRIM('Smart Search'!$L$6)="All",ISNUMBER(SEARCH(SUBSTITUTE(SUBSTITUTE(SUBSTITUTE(TRIM('Smart Search'!$L$6),"~","~~"),"*","~*"),"?","~?"),CA313))),OR('Smart Search'!$L$7="",AND(CB313&lt;&gt;0,CB313='Smart Search'!$L$7)),OR('Smart Search'!$L$8="",'Smart Search'!$L$8="All",TRIM(CC313)=TRIM('Smart Search'!$L$8))),IF(BA313="","",BA313+ROW()*0.0000000001),"")</f>
        <v/>
      </c>
      <c r="BI313" s="5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5">
        <f>IF(A313="","",N(INDEX(Projects[Mech Inst],312)))</f>
        <v/>
      </c>
      <c r="BK313" s="5">
        <f>IF(A313="","",N(INDEX(Projects[Elec Inst],312)))</f>
        <v/>
      </c>
      <c r="BL313" s="5">
        <f>IF(A313="","",N(INDEX(Projects[Project Management],312)))</f>
        <v/>
      </c>
      <c r="BM313" s="5">
        <f>IF(A313="","",N(INDEX(Projects[Systems Eng],312)))</f>
        <v/>
      </c>
      <c r="BN313" s="5">
        <f>IF(A313="","",N(INDEX(Projects[Mechanical Eng],312)))</f>
        <v/>
      </c>
      <c r="BO313" s="5">
        <f>IF(A313="","",N(INDEX(Projects[Structural Engineering],312)))</f>
        <v/>
      </c>
      <c r="BP313" s="5">
        <f>IF(A313="","",N(INDEX(Projects[Site Sup],312)))</f>
        <v/>
      </c>
      <c r="BQ313" s="5">
        <f>IF(A313="","",N(INDEX(Projects[Controls Commissioning],312)))</f>
        <v/>
      </c>
      <c r="BR313" s="5">
        <f>IF(A313="","",N(INDEX(Projects[Systems Commissioning],312)))</f>
        <v/>
      </c>
      <c r="BS313" s="5">
        <f>IF(A313="","",N(INDEX(Projects[Service Commissioning],312)))</f>
        <v/>
      </c>
      <c r="BT313" s="5">
        <f>IF(A313="","",N(INDEX(Projects[Controls Eng],312)))</f>
        <v/>
      </c>
      <c r="BU313" s="5">
        <f>IF(A313="","",N(INDEX(Projects[Controls Purchase],312)))</f>
        <v/>
      </c>
      <c r="BV313" s="5">
        <f>IF(A313="","",N(INDEX(Projects[Software Eng],312)))</f>
        <v/>
      </c>
      <c r="BW313" s="5">
        <f>IF(A313="","",N(INDEX(Projects[Misc],312)))</f>
        <v/>
      </c>
      <c r="BX313" s="5">
        <f>IF(A313="","",SUM(BJ313:BW313))</f>
        <v/>
      </c>
      <c r="BY313" s="5">
        <f>IF(A313="","",IFERROR(IF(ISNUMBER(U313),U313,VALUE(SUBSTITUTE(SUBSTITUTE(SUBSTITUTE(UPPER(TRIM(U313)),"M",""),",","")," ",""))),0))</f>
        <v/>
      </c>
      <c r="BZ313" s="5">
        <f>INDEX(Projects[Solution Type],312)&amp;""</f>
        <v/>
      </c>
      <c r="CA313" s="5">
        <f>INDEX(Projects[Client / Region],312)&amp;""</f>
        <v/>
      </c>
      <c r="CB313" s="5">
        <f>INDEX(Projects[Year],312)</f>
        <v/>
      </c>
      <c r="CC313" s="5">
        <f>INDEX(Projects[Won?],312)&amp;""</f>
        <v/>
      </c>
      <c r="CD313" s="5">
        <f>INDEX(Projects[Value (USD M)],312)</f>
        <v/>
      </c>
    </row>
    <row r="314" ht="15" customHeight="1" s="74">
      <c r="A314" s="66">
        <f>INDEX(Projects[Project ID *],313)&amp;""</f>
        <v/>
      </c>
      <c r="B314" s="66">
        <f>INDEX(Projects[Project Name *],313)&amp;""</f>
        <v/>
      </c>
      <c r="C314" s="66">
        <f>INDEX(Projects[MS Shuttles],313)</f>
        <v/>
      </c>
      <c r="D314" s="66">
        <f>INDEX(Projects[MS Tote Locations],313)</f>
        <v/>
      </c>
      <c r="E314" s="66">
        <f>INDEX(Projects[AS Robots],313)</f>
        <v/>
      </c>
      <c r="F314" s="66">
        <f>INDEX(Projects[AS Tote Locations],313)</f>
        <v/>
      </c>
      <c r="G314" s="66">
        <f>INDEX(Projects[PS Shuttles],313)</f>
        <v/>
      </c>
      <c r="H314" s="66">
        <f>INDEX(Projects[PS Pallet Locations],313)</f>
        <v/>
      </c>
      <c r="I314" s="66">
        <f>INDEX(Projects[SRM Cranes],313)</f>
        <v/>
      </c>
      <c r="J314" s="66">
        <f>INDEX(Projects[SRM Pallet Locations],313)</f>
        <v/>
      </c>
      <c r="K314" s="66">
        <f>INDEX(Projects[Case Conv (m)],313)</f>
        <v/>
      </c>
      <c r="L314" s="66">
        <f>INDEX(Projects[Pallet Conv (m)],313)</f>
        <v/>
      </c>
      <c r="M314" s="66">
        <f>INDEX(Projects[Mech Eng (wks)],313)</f>
        <v/>
      </c>
      <c r="N314" s="66">
        <f>INDEX(Projects[Controls Eng (wks)],313)</f>
        <v/>
      </c>
      <c r="O314" s="66">
        <f>INDEX(Projects[Systems Eng (wks)],313)</f>
        <v/>
      </c>
      <c r="P314" s="66">
        <f>INDEX(Projects[Software Eng (wks)],313)</f>
        <v/>
      </c>
      <c r="Q314" s="66">
        <f>INDEX(Projects[M&amp;E Installation (wks)],313)</f>
        <v/>
      </c>
      <c r="R314" s="66">
        <f>INDEX(Projects[Commissioning (wks)],313)</f>
        <v/>
      </c>
      <c r="S314" s="66">
        <f>INDEX(Projects[Total Timeline (wks)],313)</f>
        <v/>
      </c>
      <c r="T314" s="66">
        <f>INDEX(Projects[Currency],313)&amp;""</f>
        <v/>
      </c>
      <c r="U314" s="67">
        <f>INDEX(Projects[Value (M)],313)</f>
        <v/>
      </c>
      <c r="V314" s="66">
        <f>IF('Smart Search'!B13=1,IFERROR(1/'Smart Search'!H13,0),0)</f>
        <v/>
      </c>
      <c r="W314" s="66">
        <f>IF('Smart Search'!B13=1,IFERROR(1/'Smart Search'!H13,0),0)</f>
        <v/>
      </c>
      <c r="X314" s="66">
        <f>IF('Smart Search'!C13=1,IFERROR(1/'Smart Search'!H13,0),0)</f>
        <v/>
      </c>
      <c r="Y314" s="66">
        <f>IF('Smart Search'!C13=1,IFERROR(1/'Smart Search'!H13,0),0)</f>
        <v/>
      </c>
      <c r="Z314" s="66">
        <f>IF('Smart Search'!D13=1,IFERROR(1/'Smart Search'!H13,0),0)</f>
        <v/>
      </c>
      <c r="AA314" s="66">
        <f>IF('Smart Search'!D13=1,IFERROR(1/'Smart Search'!H13,0),0)</f>
        <v/>
      </c>
      <c r="AB314" s="66">
        <f>IF('Smart Search'!E13=1,IFERROR(1/'Smart Search'!H13,0),0)</f>
        <v/>
      </c>
      <c r="AC314" s="66">
        <f>IF('Smart Search'!E13=1,IFERROR(1/'Smart Search'!H13,0),0)</f>
        <v/>
      </c>
      <c r="AD314" s="66">
        <f>IF('Smart Search'!F13=1,IFERROR(1/'Smart Search'!H13,0),0)</f>
        <v/>
      </c>
      <c r="AE314" s="66">
        <f>IF('Smart Search'!F13=1,IFERROR(1/'Smart Search'!H13,0),0)</f>
        <v/>
      </c>
      <c r="AF314" s="66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66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66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66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66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66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66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66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66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66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66">
        <f>AF314*V314</f>
        <v/>
      </c>
      <c r="AQ314" s="66">
        <f>AG314*W314</f>
        <v/>
      </c>
      <c r="AR314" s="66">
        <f>AH314*X314</f>
        <v/>
      </c>
      <c r="AS314" s="66">
        <f>AI314*Y314</f>
        <v/>
      </c>
      <c r="AT314" s="66">
        <f>AJ314*Z314</f>
        <v/>
      </c>
      <c r="AU314" s="66">
        <f>AK314*AA314</f>
        <v/>
      </c>
      <c r="AV314" s="66">
        <f>AL314*AB314</f>
        <v/>
      </c>
      <c r="AW314" s="66">
        <f>AM314*AC314</f>
        <v/>
      </c>
      <c r="AX314" s="66">
        <f>AN314*AD314</f>
        <v/>
      </c>
      <c r="AY314" s="66">
        <f>AO314*AE314</f>
        <v/>
      </c>
      <c r="AZ314" s="66">
        <f>INDEX(Projects[Automation Equipment],313)&amp;""</f>
        <v/>
      </c>
      <c r="BA314" s="66">
        <f>IF(OR(A314="",'Smart Search'!H13=0),"",MAX(0,BE314*BF314*MAX(0,1-BG314)))</f>
        <v/>
      </c>
      <c r="BB314" s="66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66">
        <f>IF('Smart Search'!G13=1,IFERROR(1/'Smart Search'!H13,0),0)</f>
        <v/>
      </c>
      <c r="BD314" s="66">
        <f>BB314*BC314</f>
        <v/>
      </c>
      <c r="BE314" s="66">
        <f>AP314+AQ314+AR314+AS314+AT314+AU314+AV314+AW314+AX314+AY314+BD314</f>
        <v/>
      </c>
      <c r="BF314" s="5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5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5">
        <f>IF(AND(A314&lt;&gt;"",OR('Smart Search'!$L$5="",'Smart Search'!$L$5="All",TRIM(BZ314)=TRIM('Smart Search'!$L$5)),OR(TRIM('Smart Search'!$L$6)="",TRIM('Smart Search'!$L$6)="All",ISNUMBER(SEARCH(SUBSTITUTE(SUBSTITUTE(SUBSTITUTE(TRIM('Smart Search'!$L$6),"~","~~"),"*","~*"),"?","~?"),CA314))),OR('Smart Search'!$L$7="",AND(CB314&lt;&gt;0,CB314='Smart Search'!$L$7)),OR('Smart Search'!$L$8="",'Smart Search'!$L$8="All",TRIM(CC314)=TRIM('Smart Search'!$L$8))),IF(BA314="","",BA314+ROW()*0.0000000001),"")</f>
        <v/>
      </c>
      <c r="BI314" s="5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5">
        <f>IF(A314="","",N(INDEX(Projects[Mech Inst],313)))</f>
        <v/>
      </c>
      <c r="BK314" s="5">
        <f>IF(A314="","",N(INDEX(Projects[Elec Inst],313)))</f>
        <v/>
      </c>
      <c r="BL314" s="5">
        <f>IF(A314="","",N(INDEX(Projects[Project Management],313)))</f>
        <v/>
      </c>
      <c r="BM314" s="5">
        <f>IF(A314="","",N(INDEX(Projects[Systems Eng],313)))</f>
        <v/>
      </c>
      <c r="BN314" s="5">
        <f>IF(A314="","",N(INDEX(Projects[Mechanical Eng],313)))</f>
        <v/>
      </c>
      <c r="BO314" s="5">
        <f>IF(A314="","",N(INDEX(Projects[Structural Engineering],313)))</f>
        <v/>
      </c>
      <c r="BP314" s="5">
        <f>IF(A314="","",N(INDEX(Projects[Site Sup],313)))</f>
        <v/>
      </c>
      <c r="BQ314" s="5">
        <f>IF(A314="","",N(INDEX(Projects[Controls Commissioning],313)))</f>
        <v/>
      </c>
      <c r="BR314" s="5">
        <f>IF(A314="","",N(INDEX(Projects[Systems Commissioning],313)))</f>
        <v/>
      </c>
      <c r="BS314" s="5">
        <f>IF(A314="","",N(INDEX(Projects[Service Commissioning],313)))</f>
        <v/>
      </c>
      <c r="BT314" s="5">
        <f>IF(A314="","",N(INDEX(Projects[Controls Eng],313)))</f>
        <v/>
      </c>
      <c r="BU314" s="5">
        <f>IF(A314="","",N(INDEX(Projects[Controls Purchase],313)))</f>
        <v/>
      </c>
      <c r="BV314" s="5">
        <f>IF(A314="","",N(INDEX(Projects[Software Eng],313)))</f>
        <v/>
      </c>
      <c r="BW314" s="5">
        <f>IF(A314="","",N(INDEX(Projects[Misc],313)))</f>
        <v/>
      </c>
      <c r="BX314" s="5">
        <f>IF(A314="","",SUM(BJ314:BW314))</f>
        <v/>
      </c>
      <c r="BY314" s="5">
        <f>IF(A314="","",IFERROR(IF(ISNUMBER(U314),U314,VALUE(SUBSTITUTE(SUBSTITUTE(SUBSTITUTE(UPPER(TRIM(U314)),"M",""),",","")," ",""))),0))</f>
        <v/>
      </c>
      <c r="BZ314" s="5">
        <f>INDEX(Projects[Solution Type],313)&amp;""</f>
        <v/>
      </c>
      <c r="CA314" s="5">
        <f>INDEX(Projects[Client / Region],313)&amp;""</f>
        <v/>
      </c>
      <c r="CB314" s="5">
        <f>INDEX(Projects[Year],313)</f>
        <v/>
      </c>
      <c r="CC314" s="5">
        <f>INDEX(Projects[Won?],313)&amp;""</f>
        <v/>
      </c>
      <c r="CD314" s="5">
        <f>INDEX(Projects[Value (USD M)],313)</f>
        <v/>
      </c>
    </row>
    <row r="315" ht="15" customHeight="1" s="74">
      <c r="A315" s="66">
        <f>INDEX(Projects[Project ID *],314)&amp;""</f>
        <v/>
      </c>
      <c r="B315" s="66">
        <f>INDEX(Projects[Project Name *],314)&amp;""</f>
        <v/>
      </c>
      <c r="C315" s="66">
        <f>INDEX(Projects[MS Shuttles],314)</f>
        <v/>
      </c>
      <c r="D315" s="66">
        <f>INDEX(Projects[MS Tote Locations],314)</f>
        <v/>
      </c>
      <c r="E315" s="66">
        <f>INDEX(Projects[AS Robots],314)</f>
        <v/>
      </c>
      <c r="F315" s="66">
        <f>INDEX(Projects[AS Tote Locations],314)</f>
        <v/>
      </c>
      <c r="G315" s="66">
        <f>INDEX(Projects[PS Shuttles],314)</f>
        <v/>
      </c>
      <c r="H315" s="66">
        <f>INDEX(Projects[PS Pallet Locations],314)</f>
        <v/>
      </c>
      <c r="I315" s="66">
        <f>INDEX(Projects[SRM Cranes],314)</f>
        <v/>
      </c>
      <c r="J315" s="66">
        <f>INDEX(Projects[SRM Pallet Locations],314)</f>
        <v/>
      </c>
      <c r="K315" s="66">
        <f>INDEX(Projects[Case Conv (m)],314)</f>
        <v/>
      </c>
      <c r="L315" s="66">
        <f>INDEX(Projects[Pallet Conv (m)],314)</f>
        <v/>
      </c>
      <c r="M315" s="66">
        <f>INDEX(Projects[Mech Eng (wks)],314)</f>
        <v/>
      </c>
      <c r="N315" s="66">
        <f>INDEX(Projects[Controls Eng (wks)],314)</f>
        <v/>
      </c>
      <c r="O315" s="66">
        <f>INDEX(Projects[Systems Eng (wks)],314)</f>
        <v/>
      </c>
      <c r="P315" s="66">
        <f>INDEX(Projects[Software Eng (wks)],314)</f>
        <v/>
      </c>
      <c r="Q315" s="66">
        <f>INDEX(Projects[M&amp;E Installation (wks)],314)</f>
        <v/>
      </c>
      <c r="R315" s="66">
        <f>INDEX(Projects[Commissioning (wks)],314)</f>
        <v/>
      </c>
      <c r="S315" s="66">
        <f>INDEX(Projects[Total Timeline (wks)],314)</f>
        <v/>
      </c>
      <c r="T315" s="66">
        <f>INDEX(Projects[Currency],314)&amp;""</f>
        <v/>
      </c>
      <c r="U315" s="67">
        <f>INDEX(Projects[Value (M)],314)</f>
        <v/>
      </c>
      <c r="V315" s="66">
        <f>IF('Smart Search'!B13=1,IFERROR(1/'Smart Search'!H13,0),0)</f>
        <v/>
      </c>
      <c r="W315" s="66">
        <f>IF('Smart Search'!B13=1,IFERROR(1/'Smart Search'!H13,0),0)</f>
        <v/>
      </c>
      <c r="X315" s="66">
        <f>IF('Smart Search'!C13=1,IFERROR(1/'Smart Search'!H13,0),0)</f>
        <v/>
      </c>
      <c r="Y315" s="66">
        <f>IF('Smart Search'!C13=1,IFERROR(1/'Smart Search'!H13,0),0)</f>
        <v/>
      </c>
      <c r="Z315" s="66">
        <f>IF('Smart Search'!D13=1,IFERROR(1/'Smart Search'!H13,0),0)</f>
        <v/>
      </c>
      <c r="AA315" s="66">
        <f>IF('Smart Search'!D13=1,IFERROR(1/'Smart Search'!H13,0),0)</f>
        <v/>
      </c>
      <c r="AB315" s="66">
        <f>IF('Smart Search'!E13=1,IFERROR(1/'Smart Search'!H13,0),0)</f>
        <v/>
      </c>
      <c r="AC315" s="66">
        <f>IF('Smart Search'!E13=1,IFERROR(1/'Smart Search'!H13,0),0)</f>
        <v/>
      </c>
      <c r="AD315" s="66">
        <f>IF('Smart Search'!F13=1,IFERROR(1/'Smart Search'!H13,0),0)</f>
        <v/>
      </c>
      <c r="AE315" s="66">
        <f>IF('Smart Search'!F13=1,IFERROR(1/'Smart Search'!H13,0),0)</f>
        <v/>
      </c>
      <c r="AF315" s="66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66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66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66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66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66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66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66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66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66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66">
        <f>AF315*V315</f>
        <v/>
      </c>
      <c r="AQ315" s="66">
        <f>AG315*W315</f>
        <v/>
      </c>
      <c r="AR315" s="66">
        <f>AH315*X315</f>
        <v/>
      </c>
      <c r="AS315" s="66">
        <f>AI315*Y315</f>
        <v/>
      </c>
      <c r="AT315" s="66">
        <f>AJ315*Z315</f>
        <v/>
      </c>
      <c r="AU315" s="66">
        <f>AK315*AA315</f>
        <v/>
      </c>
      <c r="AV315" s="66">
        <f>AL315*AB315</f>
        <v/>
      </c>
      <c r="AW315" s="66">
        <f>AM315*AC315</f>
        <v/>
      </c>
      <c r="AX315" s="66">
        <f>AN315*AD315</f>
        <v/>
      </c>
      <c r="AY315" s="66">
        <f>AO315*AE315</f>
        <v/>
      </c>
      <c r="AZ315" s="66">
        <f>INDEX(Projects[Automation Equipment],314)&amp;""</f>
        <v/>
      </c>
      <c r="BA315" s="66">
        <f>IF(OR(A315="",'Smart Search'!H13=0),"",MAX(0,BE315*BF315*MAX(0,1-BG315)))</f>
        <v/>
      </c>
      <c r="BB315" s="66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66">
        <f>IF('Smart Search'!G13=1,IFERROR(1/'Smart Search'!H13,0),0)</f>
        <v/>
      </c>
      <c r="BD315" s="66">
        <f>BB315*BC315</f>
        <v/>
      </c>
      <c r="BE315" s="66">
        <f>AP315+AQ315+AR315+AS315+AT315+AU315+AV315+AW315+AX315+AY315+BD315</f>
        <v/>
      </c>
      <c r="BF315" s="5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5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5">
        <f>IF(AND(A315&lt;&gt;"",OR('Smart Search'!$L$5="",'Smart Search'!$L$5="All",TRIM(BZ315)=TRIM('Smart Search'!$L$5)),OR(TRIM('Smart Search'!$L$6)="",TRIM('Smart Search'!$L$6)="All",ISNUMBER(SEARCH(SUBSTITUTE(SUBSTITUTE(SUBSTITUTE(TRIM('Smart Search'!$L$6),"~","~~"),"*","~*"),"?","~?"),CA315))),OR('Smart Search'!$L$7="",AND(CB315&lt;&gt;0,CB315='Smart Search'!$L$7)),OR('Smart Search'!$L$8="",'Smart Search'!$L$8="All",TRIM(CC315)=TRIM('Smart Search'!$L$8))),IF(BA315="","",BA315+ROW()*0.0000000001),"")</f>
        <v/>
      </c>
      <c r="BI315" s="5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5">
        <f>IF(A315="","",N(INDEX(Projects[Mech Inst],314)))</f>
        <v/>
      </c>
      <c r="BK315" s="5">
        <f>IF(A315="","",N(INDEX(Projects[Elec Inst],314)))</f>
        <v/>
      </c>
      <c r="BL315" s="5">
        <f>IF(A315="","",N(INDEX(Projects[Project Management],314)))</f>
        <v/>
      </c>
      <c r="BM315" s="5">
        <f>IF(A315="","",N(INDEX(Projects[Systems Eng],314)))</f>
        <v/>
      </c>
      <c r="BN315" s="5">
        <f>IF(A315="","",N(INDEX(Projects[Mechanical Eng],314)))</f>
        <v/>
      </c>
      <c r="BO315" s="5">
        <f>IF(A315="","",N(INDEX(Projects[Structural Engineering],314)))</f>
        <v/>
      </c>
      <c r="BP315" s="5">
        <f>IF(A315="","",N(INDEX(Projects[Site Sup],314)))</f>
        <v/>
      </c>
      <c r="BQ315" s="5">
        <f>IF(A315="","",N(INDEX(Projects[Controls Commissioning],314)))</f>
        <v/>
      </c>
      <c r="BR315" s="5">
        <f>IF(A315="","",N(INDEX(Projects[Systems Commissioning],314)))</f>
        <v/>
      </c>
      <c r="BS315" s="5">
        <f>IF(A315="","",N(INDEX(Projects[Service Commissioning],314)))</f>
        <v/>
      </c>
      <c r="BT315" s="5">
        <f>IF(A315="","",N(INDEX(Projects[Controls Eng],314)))</f>
        <v/>
      </c>
      <c r="BU315" s="5">
        <f>IF(A315="","",N(INDEX(Projects[Controls Purchase],314)))</f>
        <v/>
      </c>
      <c r="BV315" s="5">
        <f>IF(A315="","",N(INDEX(Projects[Software Eng],314)))</f>
        <v/>
      </c>
      <c r="BW315" s="5">
        <f>IF(A315="","",N(INDEX(Projects[Misc],314)))</f>
        <v/>
      </c>
      <c r="BX315" s="5">
        <f>IF(A315="","",SUM(BJ315:BW315))</f>
        <v/>
      </c>
      <c r="BY315" s="5">
        <f>IF(A315="","",IFERROR(IF(ISNUMBER(U315),U315,VALUE(SUBSTITUTE(SUBSTITUTE(SUBSTITUTE(UPPER(TRIM(U315)),"M",""),",","")," ",""))),0))</f>
        <v/>
      </c>
      <c r="BZ315" s="5">
        <f>INDEX(Projects[Solution Type],314)&amp;""</f>
        <v/>
      </c>
      <c r="CA315" s="5">
        <f>INDEX(Projects[Client / Region],314)&amp;""</f>
        <v/>
      </c>
      <c r="CB315" s="5">
        <f>INDEX(Projects[Year],314)</f>
        <v/>
      </c>
      <c r="CC315" s="5">
        <f>INDEX(Projects[Won?],314)&amp;""</f>
        <v/>
      </c>
      <c r="CD315" s="5">
        <f>INDEX(Projects[Value (USD M)],314)</f>
        <v/>
      </c>
    </row>
    <row r="316" ht="15" customHeight="1" s="74">
      <c r="A316" s="66">
        <f>INDEX(Projects[Project ID *],315)&amp;""</f>
        <v/>
      </c>
      <c r="B316" s="66">
        <f>INDEX(Projects[Project Name *],315)&amp;""</f>
        <v/>
      </c>
      <c r="C316" s="66">
        <f>INDEX(Projects[MS Shuttles],315)</f>
        <v/>
      </c>
      <c r="D316" s="66">
        <f>INDEX(Projects[MS Tote Locations],315)</f>
        <v/>
      </c>
      <c r="E316" s="66">
        <f>INDEX(Projects[AS Robots],315)</f>
        <v/>
      </c>
      <c r="F316" s="66">
        <f>INDEX(Projects[AS Tote Locations],315)</f>
        <v/>
      </c>
      <c r="G316" s="66">
        <f>INDEX(Projects[PS Shuttles],315)</f>
        <v/>
      </c>
      <c r="H316" s="66">
        <f>INDEX(Projects[PS Pallet Locations],315)</f>
        <v/>
      </c>
      <c r="I316" s="66">
        <f>INDEX(Projects[SRM Cranes],315)</f>
        <v/>
      </c>
      <c r="J316" s="66">
        <f>INDEX(Projects[SRM Pallet Locations],315)</f>
        <v/>
      </c>
      <c r="K316" s="66">
        <f>INDEX(Projects[Case Conv (m)],315)</f>
        <v/>
      </c>
      <c r="L316" s="66">
        <f>INDEX(Projects[Pallet Conv (m)],315)</f>
        <v/>
      </c>
      <c r="M316" s="66">
        <f>INDEX(Projects[Mech Eng (wks)],315)</f>
        <v/>
      </c>
      <c r="N316" s="66">
        <f>INDEX(Projects[Controls Eng (wks)],315)</f>
        <v/>
      </c>
      <c r="O316" s="66">
        <f>INDEX(Projects[Systems Eng (wks)],315)</f>
        <v/>
      </c>
      <c r="P316" s="66">
        <f>INDEX(Projects[Software Eng (wks)],315)</f>
        <v/>
      </c>
      <c r="Q316" s="66">
        <f>INDEX(Projects[M&amp;E Installation (wks)],315)</f>
        <v/>
      </c>
      <c r="R316" s="66">
        <f>INDEX(Projects[Commissioning (wks)],315)</f>
        <v/>
      </c>
      <c r="S316" s="66">
        <f>INDEX(Projects[Total Timeline (wks)],315)</f>
        <v/>
      </c>
      <c r="T316" s="66">
        <f>INDEX(Projects[Currency],315)&amp;""</f>
        <v/>
      </c>
      <c r="U316" s="67">
        <f>INDEX(Projects[Value (M)],315)</f>
        <v/>
      </c>
      <c r="V316" s="66">
        <f>IF('Smart Search'!B13=1,IFERROR(1/'Smart Search'!H13,0),0)</f>
        <v/>
      </c>
      <c r="W316" s="66">
        <f>IF('Smart Search'!B13=1,IFERROR(1/'Smart Search'!H13,0),0)</f>
        <v/>
      </c>
      <c r="X316" s="66">
        <f>IF('Smart Search'!C13=1,IFERROR(1/'Smart Search'!H13,0),0)</f>
        <v/>
      </c>
      <c r="Y316" s="66">
        <f>IF('Smart Search'!C13=1,IFERROR(1/'Smart Search'!H13,0),0)</f>
        <v/>
      </c>
      <c r="Z316" s="66">
        <f>IF('Smart Search'!D13=1,IFERROR(1/'Smart Search'!H13,0),0)</f>
        <v/>
      </c>
      <c r="AA316" s="66">
        <f>IF('Smart Search'!D13=1,IFERROR(1/'Smart Search'!H13,0),0)</f>
        <v/>
      </c>
      <c r="AB316" s="66">
        <f>IF('Smart Search'!E13=1,IFERROR(1/'Smart Search'!H13,0),0)</f>
        <v/>
      </c>
      <c r="AC316" s="66">
        <f>IF('Smart Search'!E13=1,IFERROR(1/'Smart Search'!H13,0),0)</f>
        <v/>
      </c>
      <c r="AD316" s="66">
        <f>IF('Smart Search'!F13=1,IFERROR(1/'Smart Search'!H13,0),0)</f>
        <v/>
      </c>
      <c r="AE316" s="66">
        <f>IF('Smart Search'!F13=1,IFERROR(1/'Smart Search'!H13,0),0)</f>
        <v/>
      </c>
      <c r="AF316" s="66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66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66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66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66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66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66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66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66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66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66">
        <f>AF316*V316</f>
        <v/>
      </c>
      <c r="AQ316" s="66">
        <f>AG316*W316</f>
        <v/>
      </c>
      <c r="AR316" s="66">
        <f>AH316*X316</f>
        <v/>
      </c>
      <c r="AS316" s="66">
        <f>AI316*Y316</f>
        <v/>
      </c>
      <c r="AT316" s="66">
        <f>AJ316*Z316</f>
        <v/>
      </c>
      <c r="AU316" s="66">
        <f>AK316*AA316</f>
        <v/>
      </c>
      <c r="AV316" s="66">
        <f>AL316*AB316</f>
        <v/>
      </c>
      <c r="AW316" s="66">
        <f>AM316*AC316</f>
        <v/>
      </c>
      <c r="AX316" s="66">
        <f>AN316*AD316</f>
        <v/>
      </c>
      <c r="AY316" s="66">
        <f>AO316*AE316</f>
        <v/>
      </c>
      <c r="AZ316" s="66">
        <f>INDEX(Projects[Automation Equipment],315)&amp;""</f>
        <v/>
      </c>
      <c r="BA316" s="66">
        <f>IF(OR(A316="",'Smart Search'!H13=0),"",MAX(0,BE316*BF316*MAX(0,1-BG316)))</f>
        <v/>
      </c>
      <c r="BB316" s="66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66">
        <f>IF('Smart Search'!G13=1,IFERROR(1/'Smart Search'!H13,0),0)</f>
        <v/>
      </c>
      <c r="BD316" s="66">
        <f>BB316*BC316</f>
        <v/>
      </c>
      <c r="BE316" s="66">
        <f>AP316+AQ316+AR316+AS316+AT316+AU316+AV316+AW316+AX316+AY316+BD316</f>
        <v/>
      </c>
      <c r="BF316" s="5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5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5">
        <f>IF(AND(A316&lt;&gt;"",OR('Smart Search'!$L$5="",'Smart Search'!$L$5="All",TRIM(BZ316)=TRIM('Smart Search'!$L$5)),OR(TRIM('Smart Search'!$L$6)="",TRIM('Smart Search'!$L$6)="All",ISNUMBER(SEARCH(SUBSTITUTE(SUBSTITUTE(SUBSTITUTE(TRIM('Smart Search'!$L$6),"~","~~"),"*","~*"),"?","~?"),CA316))),OR('Smart Search'!$L$7="",AND(CB316&lt;&gt;0,CB316='Smart Search'!$L$7)),OR('Smart Search'!$L$8="",'Smart Search'!$L$8="All",TRIM(CC316)=TRIM('Smart Search'!$L$8))),IF(BA316="","",BA316+ROW()*0.0000000001),"")</f>
        <v/>
      </c>
      <c r="BI316" s="5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5">
        <f>IF(A316="","",N(INDEX(Projects[Mech Inst],315)))</f>
        <v/>
      </c>
      <c r="BK316" s="5">
        <f>IF(A316="","",N(INDEX(Projects[Elec Inst],315)))</f>
        <v/>
      </c>
      <c r="BL316" s="5">
        <f>IF(A316="","",N(INDEX(Projects[Project Management],315)))</f>
        <v/>
      </c>
      <c r="BM316" s="5">
        <f>IF(A316="","",N(INDEX(Projects[Systems Eng],315)))</f>
        <v/>
      </c>
      <c r="BN316" s="5">
        <f>IF(A316="","",N(INDEX(Projects[Mechanical Eng],315)))</f>
        <v/>
      </c>
      <c r="BO316" s="5">
        <f>IF(A316="","",N(INDEX(Projects[Structural Engineering],315)))</f>
        <v/>
      </c>
      <c r="BP316" s="5">
        <f>IF(A316="","",N(INDEX(Projects[Site Sup],315)))</f>
        <v/>
      </c>
      <c r="BQ316" s="5">
        <f>IF(A316="","",N(INDEX(Projects[Controls Commissioning],315)))</f>
        <v/>
      </c>
      <c r="BR316" s="5">
        <f>IF(A316="","",N(INDEX(Projects[Systems Commissioning],315)))</f>
        <v/>
      </c>
      <c r="BS316" s="5">
        <f>IF(A316="","",N(INDEX(Projects[Service Commissioning],315)))</f>
        <v/>
      </c>
      <c r="BT316" s="5">
        <f>IF(A316="","",N(INDEX(Projects[Controls Eng],315)))</f>
        <v/>
      </c>
      <c r="BU316" s="5">
        <f>IF(A316="","",N(INDEX(Projects[Controls Purchase],315)))</f>
        <v/>
      </c>
      <c r="BV316" s="5">
        <f>IF(A316="","",N(INDEX(Projects[Software Eng],315)))</f>
        <v/>
      </c>
      <c r="BW316" s="5">
        <f>IF(A316="","",N(INDEX(Projects[Misc],315)))</f>
        <v/>
      </c>
      <c r="BX316" s="5">
        <f>IF(A316="","",SUM(BJ316:BW316))</f>
        <v/>
      </c>
      <c r="BY316" s="5">
        <f>IF(A316="","",IFERROR(IF(ISNUMBER(U316),U316,VALUE(SUBSTITUTE(SUBSTITUTE(SUBSTITUTE(UPPER(TRIM(U316)),"M",""),",","")," ",""))),0))</f>
        <v/>
      </c>
      <c r="BZ316" s="5">
        <f>INDEX(Projects[Solution Type],315)&amp;""</f>
        <v/>
      </c>
      <c r="CA316" s="5">
        <f>INDEX(Projects[Client / Region],315)&amp;""</f>
        <v/>
      </c>
      <c r="CB316" s="5">
        <f>INDEX(Projects[Year],315)</f>
        <v/>
      </c>
      <c r="CC316" s="5">
        <f>INDEX(Projects[Won?],315)&amp;""</f>
        <v/>
      </c>
      <c r="CD316" s="5">
        <f>INDEX(Projects[Value (USD M)],315)</f>
        <v/>
      </c>
    </row>
    <row r="317" ht="15" customHeight="1" s="74">
      <c r="A317" s="66">
        <f>INDEX(Projects[Project ID *],316)&amp;""</f>
        <v/>
      </c>
      <c r="B317" s="66">
        <f>INDEX(Projects[Project Name *],316)&amp;""</f>
        <v/>
      </c>
      <c r="C317" s="66">
        <f>INDEX(Projects[MS Shuttles],316)</f>
        <v/>
      </c>
      <c r="D317" s="66">
        <f>INDEX(Projects[MS Tote Locations],316)</f>
        <v/>
      </c>
      <c r="E317" s="66">
        <f>INDEX(Projects[AS Robots],316)</f>
        <v/>
      </c>
      <c r="F317" s="66">
        <f>INDEX(Projects[AS Tote Locations],316)</f>
        <v/>
      </c>
      <c r="G317" s="66">
        <f>INDEX(Projects[PS Shuttles],316)</f>
        <v/>
      </c>
      <c r="H317" s="66">
        <f>INDEX(Projects[PS Pallet Locations],316)</f>
        <v/>
      </c>
      <c r="I317" s="66">
        <f>INDEX(Projects[SRM Cranes],316)</f>
        <v/>
      </c>
      <c r="J317" s="66">
        <f>INDEX(Projects[SRM Pallet Locations],316)</f>
        <v/>
      </c>
      <c r="K317" s="66">
        <f>INDEX(Projects[Case Conv (m)],316)</f>
        <v/>
      </c>
      <c r="L317" s="66">
        <f>INDEX(Projects[Pallet Conv (m)],316)</f>
        <v/>
      </c>
      <c r="M317" s="66">
        <f>INDEX(Projects[Mech Eng (wks)],316)</f>
        <v/>
      </c>
      <c r="N317" s="66">
        <f>INDEX(Projects[Controls Eng (wks)],316)</f>
        <v/>
      </c>
      <c r="O317" s="66">
        <f>INDEX(Projects[Systems Eng (wks)],316)</f>
        <v/>
      </c>
      <c r="P317" s="66">
        <f>INDEX(Projects[Software Eng (wks)],316)</f>
        <v/>
      </c>
      <c r="Q317" s="66">
        <f>INDEX(Projects[M&amp;E Installation (wks)],316)</f>
        <v/>
      </c>
      <c r="R317" s="66">
        <f>INDEX(Projects[Commissioning (wks)],316)</f>
        <v/>
      </c>
      <c r="S317" s="66">
        <f>INDEX(Projects[Total Timeline (wks)],316)</f>
        <v/>
      </c>
      <c r="T317" s="66">
        <f>INDEX(Projects[Currency],316)&amp;""</f>
        <v/>
      </c>
      <c r="U317" s="67">
        <f>INDEX(Projects[Value (M)],316)</f>
        <v/>
      </c>
      <c r="V317" s="66">
        <f>IF('Smart Search'!B13=1,IFERROR(1/'Smart Search'!H13,0),0)</f>
        <v/>
      </c>
      <c r="W317" s="66">
        <f>IF('Smart Search'!B13=1,IFERROR(1/'Smart Search'!H13,0),0)</f>
        <v/>
      </c>
      <c r="X317" s="66">
        <f>IF('Smart Search'!C13=1,IFERROR(1/'Smart Search'!H13,0),0)</f>
        <v/>
      </c>
      <c r="Y317" s="66">
        <f>IF('Smart Search'!C13=1,IFERROR(1/'Smart Search'!H13,0),0)</f>
        <v/>
      </c>
      <c r="Z317" s="66">
        <f>IF('Smart Search'!D13=1,IFERROR(1/'Smart Search'!H13,0),0)</f>
        <v/>
      </c>
      <c r="AA317" s="66">
        <f>IF('Smart Search'!D13=1,IFERROR(1/'Smart Search'!H13,0),0)</f>
        <v/>
      </c>
      <c r="AB317" s="66">
        <f>IF('Smart Search'!E13=1,IFERROR(1/'Smart Search'!H13,0),0)</f>
        <v/>
      </c>
      <c r="AC317" s="66">
        <f>IF('Smart Search'!E13=1,IFERROR(1/'Smart Search'!H13,0),0)</f>
        <v/>
      </c>
      <c r="AD317" s="66">
        <f>IF('Smart Search'!F13=1,IFERROR(1/'Smart Search'!H13,0),0)</f>
        <v/>
      </c>
      <c r="AE317" s="66">
        <f>IF('Smart Search'!F13=1,IFERROR(1/'Smart Search'!H13,0),0)</f>
        <v/>
      </c>
      <c r="AF317" s="66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66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66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66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66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66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66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66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66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66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66">
        <f>AF317*V317</f>
        <v/>
      </c>
      <c r="AQ317" s="66">
        <f>AG317*W317</f>
        <v/>
      </c>
      <c r="AR317" s="66">
        <f>AH317*X317</f>
        <v/>
      </c>
      <c r="AS317" s="66">
        <f>AI317*Y317</f>
        <v/>
      </c>
      <c r="AT317" s="66">
        <f>AJ317*Z317</f>
        <v/>
      </c>
      <c r="AU317" s="66">
        <f>AK317*AA317</f>
        <v/>
      </c>
      <c r="AV317" s="66">
        <f>AL317*AB317</f>
        <v/>
      </c>
      <c r="AW317" s="66">
        <f>AM317*AC317</f>
        <v/>
      </c>
      <c r="AX317" s="66">
        <f>AN317*AD317</f>
        <v/>
      </c>
      <c r="AY317" s="66">
        <f>AO317*AE317</f>
        <v/>
      </c>
      <c r="AZ317" s="66">
        <f>INDEX(Projects[Automation Equipment],316)&amp;""</f>
        <v/>
      </c>
      <c r="BA317" s="66">
        <f>IF(OR(A317="",'Smart Search'!H13=0),"",MAX(0,BE317*BF317*MAX(0,1-BG317)))</f>
        <v/>
      </c>
      <c r="BB317" s="66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66">
        <f>IF('Smart Search'!G13=1,IFERROR(1/'Smart Search'!H13,0),0)</f>
        <v/>
      </c>
      <c r="BD317" s="66">
        <f>BB317*BC317</f>
        <v/>
      </c>
      <c r="BE317" s="66">
        <f>AP317+AQ317+AR317+AS317+AT317+AU317+AV317+AW317+AX317+AY317+BD317</f>
        <v/>
      </c>
      <c r="BF317" s="5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5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5">
        <f>IF(AND(A317&lt;&gt;"",OR('Smart Search'!$L$5="",'Smart Search'!$L$5="All",TRIM(BZ317)=TRIM('Smart Search'!$L$5)),OR(TRIM('Smart Search'!$L$6)="",TRIM('Smart Search'!$L$6)="All",ISNUMBER(SEARCH(SUBSTITUTE(SUBSTITUTE(SUBSTITUTE(TRIM('Smart Search'!$L$6),"~","~~"),"*","~*"),"?","~?"),CA317))),OR('Smart Search'!$L$7="",AND(CB317&lt;&gt;0,CB317='Smart Search'!$L$7)),OR('Smart Search'!$L$8="",'Smart Search'!$L$8="All",TRIM(CC317)=TRIM('Smart Search'!$L$8))),IF(BA317="","",BA317+ROW()*0.0000000001),"")</f>
        <v/>
      </c>
      <c r="BI317" s="5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5">
        <f>IF(A317="","",N(INDEX(Projects[Mech Inst],316)))</f>
        <v/>
      </c>
      <c r="BK317" s="5">
        <f>IF(A317="","",N(INDEX(Projects[Elec Inst],316)))</f>
        <v/>
      </c>
      <c r="BL317" s="5">
        <f>IF(A317="","",N(INDEX(Projects[Project Management],316)))</f>
        <v/>
      </c>
      <c r="BM317" s="5">
        <f>IF(A317="","",N(INDEX(Projects[Systems Eng],316)))</f>
        <v/>
      </c>
      <c r="BN317" s="5">
        <f>IF(A317="","",N(INDEX(Projects[Mechanical Eng],316)))</f>
        <v/>
      </c>
      <c r="BO317" s="5">
        <f>IF(A317="","",N(INDEX(Projects[Structural Engineering],316)))</f>
        <v/>
      </c>
      <c r="BP317" s="5">
        <f>IF(A317="","",N(INDEX(Projects[Site Sup],316)))</f>
        <v/>
      </c>
      <c r="BQ317" s="5">
        <f>IF(A317="","",N(INDEX(Projects[Controls Commissioning],316)))</f>
        <v/>
      </c>
      <c r="BR317" s="5">
        <f>IF(A317="","",N(INDEX(Projects[Systems Commissioning],316)))</f>
        <v/>
      </c>
      <c r="BS317" s="5">
        <f>IF(A317="","",N(INDEX(Projects[Service Commissioning],316)))</f>
        <v/>
      </c>
      <c r="BT317" s="5">
        <f>IF(A317="","",N(INDEX(Projects[Controls Eng],316)))</f>
        <v/>
      </c>
      <c r="BU317" s="5">
        <f>IF(A317="","",N(INDEX(Projects[Controls Purchase],316)))</f>
        <v/>
      </c>
      <c r="BV317" s="5">
        <f>IF(A317="","",N(INDEX(Projects[Software Eng],316)))</f>
        <v/>
      </c>
      <c r="BW317" s="5">
        <f>IF(A317="","",N(INDEX(Projects[Misc],316)))</f>
        <v/>
      </c>
      <c r="BX317" s="5">
        <f>IF(A317="","",SUM(BJ317:BW317))</f>
        <v/>
      </c>
      <c r="BY317" s="5">
        <f>IF(A317="","",IFERROR(IF(ISNUMBER(U317),U317,VALUE(SUBSTITUTE(SUBSTITUTE(SUBSTITUTE(UPPER(TRIM(U317)),"M",""),",","")," ",""))),0))</f>
        <v/>
      </c>
      <c r="BZ317" s="5">
        <f>INDEX(Projects[Solution Type],316)&amp;""</f>
        <v/>
      </c>
      <c r="CA317" s="5">
        <f>INDEX(Projects[Client / Region],316)&amp;""</f>
        <v/>
      </c>
      <c r="CB317" s="5">
        <f>INDEX(Projects[Year],316)</f>
        <v/>
      </c>
      <c r="CC317" s="5">
        <f>INDEX(Projects[Won?],316)&amp;""</f>
        <v/>
      </c>
      <c r="CD317" s="5">
        <f>INDEX(Projects[Value (USD M)],316)</f>
        <v/>
      </c>
    </row>
    <row r="318" ht="15" customHeight="1" s="74">
      <c r="A318" s="66">
        <f>INDEX(Projects[Project ID *],317)&amp;""</f>
        <v/>
      </c>
      <c r="B318" s="66">
        <f>INDEX(Projects[Project Name *],317)&amp;""</f>
        <v/>
      </c>
      <c r="C318" s="66">
        <f>INDEX(Projects[MS Shuttles],317)</f>
        <v/>
      </c>
      <c r="D318" s="66">
        <f>INDEX(Projects[MS Tote Locations],317)</f>
        <v/>
      </c>
      <c r="E318" s="66">
        <f>INDEX(Projects[AS Robots],317)</f>
        <v/>
      </c>
      <c r="F318" s="66">
        <f>INDEX(Projects[AS Tote Locations],317)</f>
        <v/>
      </c>
      <c r="G318" s="66">
        <f>INDEX(Projects[PS Shuttles],317)</f>
        <v/>
      </c>
      <c r="H318" s="66">
        <f>INDEX(Projects[PS Pallet Locations],317)</f>
        <v/>
      </c>
      <c r="I318" s="66">
        <f>INDEX(Projects[SRM Cranes],317)</f>
        <v/>
      </c>
      <c r="J318" s="66">
        <f>INDEX(Projects[SRM Pallet Locations],317)</f>
        <v/>
      </c>
      <c r="K318" s="66">
        <f>INDEX(Projects[Case Conv (m)],317)</f>
        <v/>
      </c>
      <c r="L318" s="66">
        <f>INDEX(Projects[Pallet Conv (m)],317)</f>
        <v/>
      </c>
      <c r="M318" s="66">
        <f>INDEX(Projects[Mech Eng (wks)],317)</f>
        <v/>
      </c>
      <c r="N318" s="66">
        <f>INDEX(Projects[Controls Eng (wks)],317)</f>
        <v/>
      </c>
      <c r="O318" s="66">
        <f>INDEX(Projects[Systems Eng (wks)],317)</f>
        <v/>
      </c>
      <c r="P318" s="66">
        <f>INDEX(Projects[Software Eng (wks)],317)</f>
        <v/>
      </c>
      <c r="Q318" s="66">
        <f>INDEX(Projects[M&amp;E Installation (wks)],317)</f>
        <v/>
      </c>
      <c r="R318" s="66">
        <f>INDEX(Projects[Commissioning (wks)],317)</f>
        <v/>
      </c>
      <c r="S318" s="66">
        <f>INDEX(Projects[Total Timeline (wks)],317)</f>
        <v/>
      </c>
      <c r="T318" s="66">
        <f>INDEX(Projects[Currency],317)&amp;""</f>
        <v/>
      </c>
      <c r="U318" s="67">
        <f>INDEX(Projects[Value (M)],317)</f>
        <v/>
      </c>
      <c r="V318" s="66">
        <f>IF('Smart Search'!B13=1,IFERROR(1/'Smart Search'!H13,0),0)</f>
        <v/>
      </c>
      <c r="W318" s="66">
        <f>IF('Smart Search'!B13=1,IFERROR(1/'Smart Search'!H13,0),0)</f>
        <v/>
      </c>
      <c r="X318" s="66">
        <f>IF('Smart Search'!C13=1,IFERROR(1/'Smart Search'!H13,0),0)</f>
        <v/>
      </c>
      <c r="Y318" s="66">
        <f>IF('Smart Search'!C13=1,IFERROR(1/'Smart Search'!H13,0),0)</f>
        <v/>
      </c>
      <c r="Z318" s="66">
        <f>IF('Smart Search'!D13=1,IFERROR(1/'Smart Search'!H13,0),0)</f>
        <v/>
      </c>
      <c r="AA318" s="66">
        <f>IF('Smart Search'!D13=1,IFERROR(1/'Smart Search'!H13,0),0)</f>
        <v/>
      </c>
      <c r="AB318" s="66">
        <f>IF('Smart Search'!E13=1,IFERROR(1/'Smart Search'!H13,0),0)</f>
        <v/>
      </c>
      <c r="AC318" s="66">
        <f>IF('Smart Search'!E13=1,IFERROR(1/'Smart Search'!H13,0),0)</f>
        <v/>
      </c>
      <c r="AD318" s="66">
        <f>IF('Smart Search'!F13=1,IFERROR(1/'Smart Search'!H13,0),0)</f>
        <v/>
      </c>
      <c r="AE318" s="66">
        <f>IF('Smart Search'!F13=1,IFERROR(1/'Smart Search'!H13,0),0)</f>
        <v/>
      </c>
      <c r="AF318" s="66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66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66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66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66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66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66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66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66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66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66">
        <f>AF318*V318</f>
        <v/>
      </c>
      <c r="AQ318" s="66">
        <f>AG318*W318</f>
        <v/>
      </c>
      <c r="AR318" s="66">
        <f>AH318*X318</f>
        <v/>
      </c>
      <c r="AS318" s="66">
        <f>AI318*Y318</f>
        <v/>
      </c>
      <c r="AT318" s="66">
        <f>AJ318*Z318</f>
        <v/>
      </c>
      <c r="AU318" s="66">
        <f>AK318*AA318</f>
        <v/>
      </c>
      <c r="AV318" s="66">
        <f>AL318*AB318</f>
        <v/>
      </c>
      <c r="AW318" s="66">
        <f>AM318*AC318</f>
        <v/>
      </c>
      <c r="AX318" s="66">
        <f>AN318*AD318</f>
        <v/>
      </c>
      <c r="AY318" s="66">
        <f>AO318*AE318</f>
        <v/>
      </c>
      <c r="AZ318" s="66">
        <f>INDEX(Projects[Automation Equipment],317)&amp;""</f>
        <v/>
      </c>
      <c r="BA318" s="66">
        <f>IF(OR(A318="",'Smart Search'!H13=0),"",MAX(0,BE318*BF318*MAX(0,1-BG318)))</f>
        <v/>
      </c>
      <c r="BB318" s="66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66">
        <f>IF('Smart Search'!G13=1,IFERROR(1/'Smart Search'!H13,0),0)</f>
        <v/>
      </c>
      <c r="BD318" s="66">
        <f>BB318*BC318</f>
        <v/>
      </c>
      <c r="BE318" s="66">
        <f>AP318+AQ318+AR318+AS318+AT318+AU318+AV318+AW318+AX318+AY318+BD318</f>
        <v/>
      </c>
      <c r="BF318" s="5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5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5">
        <f>IF(AND(A318&lt;&gt;"",OR('Smart Search'!$L$5="",'Smart Search'!$L$5="All",TRIM(BZ318)=TRIM('Smart Search'!$L$5)),OR(TRIM('Smart Search'!$L$6)="",TRIM('Smart Search'!$L$6)="All",ISNUMBER(SEARCH(SUBSTITUTE(SUBSTITUTE(SUBSTITUTE(TRIM('Smart Search'!$L$6),"~","~~"),"*","~*"),"?","~?"),CA318))),OR('Smart Search'!$L$7="",AND(CB318&lt;&gt;0,CB318='Smart Search'!$L$7)),OR('Smart Search'!$L$8="",'Smart Search'!$L$8="All",TRIM(CC318)=TRIM('Smart Search'!$L$8))),IF(BA318="","",BA318+ROW()*0.0000000001),"")</f>
        <v/>
      </c>
      <c r="BI318" s="5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5">
        <f>IF(A318="","",N(INDEX(Projects[Mech Inst],317)))</f>
        <v/>
      </c>
      <c r="BK318" s="5">
        <f>IF(A318="","",N(INDEX(Projects[Elec Inst],317)))</f>
        <v/>
      </c>
      <c r="BL318" s="5">
        <f>IF(A318="","",N(INDEX(Projects[Project Management],317)))</f>
        <v/>
      </c>
      <c r="BM318" s="5">
        <f>IF(A318="","",N(INDEX(Projects[Systems Eng],317)))</f>
        <v/>
      </c>
      <c r="BN318" s="5">
        <f>IF(A318="","",N(INDEX(Projects[Mechanical Eng],317)))</f>
        <v/>
      </c>
      <c r="BO318" s="5">
        <f>IF(A318="","",N(INDEX(Projects[Structural Engineering],317)))</f>
        <v/>
      </c>
      <c r="BP318" s="5">
        <f>IF(A318="","",N(INDEX(Projects[Site Sup],317)))</f>
        <v/>
      </c>
      <c r="BQ318" s="5">
        <f>IF(A318="","",N(INDEX(Projects[Controls Commissioning],317)))</f>
        <v/>
      </c>
      <c r="BR318" s="5">
        <f>IF(A318="","",N(INDEX(Projects[Systems Commissioning],317)))</f>
        <v/>
      </c>
      <c r="BS318" s="5">
        <f>IF(A318="","",N(INDEX(Projects[Service Commissioning],317)))</f>
        <v/>
      </c>
      <c r="BT318" s="5">
        <f>IF(A318="","",N(INDEX(Projects[Controls Eng],317)))</f>
        <v/>
      </c>
      <c r="BU318" s="5">
        <f>IF(A318="","",N(INDEX(Projects[Controls Purchase],317)))</f>
        <v/>
      </c>
      <c r="BV318" s="5">
        <f>IF(A318="","",N(INDEX(Projects[Software Eng],317)))</f>
        <v/>
      </c>
      <c r="BW318" s="5">
        <f>IF(A318="","",N(INDEX(Projects[Misc],317)))</f>
        <v/>
      </c>
      <c r="BX318" s="5">
        <f>IF(A318="","",SUM(BJ318:BW318))</f>
        <v/>
      </c>
      <c r="BY318" s="5">
        <f>IF(A318="","",IFERROR(IF(ISNUMBER(U318),U318,VALUE(SUBSTITUTE(SUBSTITUTE(SUBSTITUTE(UPPER(TRIM(U318)),"M",""),",","")," ",""))),0))</f>
        <v/>
      </c>
      <c r="BZ318" s="5">
        <f>INDEX(Projects[Solution Type],317)&amp;""</f>
        <v/>
      </c>
      <c r="CA318" s="5">
        <f>INDEX(Projects[Client / Region],317)&amp;""</f>
        <v/>
      </c>
      <c r="CB318" s="5">
        <f>INDEX(Projects[Year],317)</f>
        <v/>
      </c>
      <c r="CC318" s="5">
        <f>INDEX(Projects[Won?],317)&amp;""</f>
        <v/>
      </c>
      <c r="CD318" s="5">
        <f>INDEX(Projects[Value (USD M)],317)</f>
        <v/>
      </c>
    </row>
    <row r="319" ht="15" customHeight="1" s="74">
      <c r="A319" s="66">
        <f>INDEX(Projects[Project ID *],318)&amp;""</f>
        <v/>
      </c>
      <c r="B319" s="66">
        <f>INDEX(Projects[Project Name *],318)&amp;""</f>
        <v/>
      </c>
      <c r="C319" s="66">
        <f>INDEX(Projects[MS Shuttles],318)</f>
        <v/>
      </c>
      <c r="D319" s="66">
        <f>INDEX(Projects[MS Tote Locations],318)</f>
        <v/>
      </c>
      <c r="E319" s="66">
        <f>INDEX(Projects[AS Robots],318)</f>
        <v/>
      </c>
      <c r="F319" s="66">
        <f>INDEX(Projects[AS Tote Locations],318)</f>
        <v/>
      </c>
      <c r="G319" s="66">
        <f>INDEX(Projects[PS Shuttles],318)</f>
        <v/>
      </c>
      <c r="H319" s="66">
        <f>INDEX(Projects[PS Pallet Locations],318)</f>
        <v/>
      </c>
      <c r="I319" s="66">
        <f>INDEX(Projects[SRM Cranes],318)</f>
        <v/>
      </c>
      <c r="J319" s="66">
        <f>INDEX(Projects[SRM Pallet Locations],318)</f>
        <v/>
      </c>
      <c r="K319" s="66">
        <f>INDEX(Projects[Case Conv (m)],318)</f>
        <v/>
      </c>
      <c r="L319" s="66">
        <f>INDEX(Projects[Pallet Conv (m)],318)</f>
        <v/>
      </c>
      <c r="M319" s="66">
        <f>INDEX(Projects[Mech Eng (wks)],318)</f>
        <v/>
      </c>
      <c r="N319" s="66">
        <f>INDEX(Projects[Controls Eng (wks)],318)</f>
        <v/>
      </c>
      <c r="O319" s="66">
        <f>INDEX(Projects[Systems Eng (wks)],318)</f>
        <v/>
      </c>
      <c r="P319" s="66">
        <f>INDEX(Projects[Software Eng (wks)],318)</f>
        <v/>
      </c>
      <c r="Q319" s="66">
        <f>INDEX(Projects[M&amp;E Installation (wks)],318)</f>
        <v/>
      </c>
      <c r="R319" s="66">
        <f>INDEX(Projects[Commissioning (wks)],318)</f>
        <v/>
      </c>
      <c r="S319" s="66">
        <f>INDEX(Projects[Total Timeline (wks)],318)</f>
        <v/>
      </c>
      <c r="T319" s="66">
        <f>INDEX(Projects[Currency],318)&amp;""</f>
        <v/>
      </c>
      <c r="U319" s="67">
        <f>INDEX(Projects[Value (M)],318)</f>
        <v/>
      </c>
      <c r="V319" s="66">
        <f>IF('Smart Search'!B13=1,IFERROR(1/'Smart Search'!H13,0),0)</f>
        <v/>
      </c>
      <c r="W319" s="66">
        <f>IF('Smart Search'!B13=1,IFERROR(1/'Smart Search'!H13,0),0)</f>
        <v/>
      </c>
      <c r="X319" s="66">
        <f>IF('Smart Search'!C13=1,IFERROR(1/'Smart Search'!H13,0),0)</f>
        <v/>
      </c>
      <c r="Y319" s="66">
        <f>IF('Smart Search'!C13=1,IFERROR(1/'Smart Search'!H13,0),0)</f>
        <v/>
      </c>
      <c r="Z319" s="66">
        <f>IF('Smart Search'!D13=1,IFERROR(1/'Smart Search'!H13,0),0)</f>
        <v/>
      </c>
      <c r="AA319" s="66">
        <f>IF('Smart Search'!D13=1,IFERROR(1/'Smart Search'!H13,0),0)</f>
        <v/>
      </c>
      <c r="AB319" s="66">
        <f>IF('Smart Search'!E13=1,IFERROR(1/'Smart Search'!H13,0),0)</f>
        <v/>
      </c>
      <c r="AC319" s="66">
        <f>IF('Smart Search'!E13=1,IFERROR(1/'Smart Search'!H13,0),0)</f>
        <v/>
      </c>
      <c r="AD319" s="66">
        <f>IF('Smart Search'!F13=1,IFERROR(1/'Smart Search'!H13,0),0)</f>
        <v/>
      </c>
      <c r="AE319" s="66">
        <f>IF('Smart Search'!F13=1,IFERROR(1/'Smart Search'!H13,0),0)</f>
        <v/>
      </c>
      <c r="AF319" s="66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66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66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66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66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66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66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66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66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66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66">
        <f>AF319*V319</f>
        <v/>
      </c>
      <c r="AQ319" s="66">
        <f>AG319*W319</f>
        <v/>
      </c>
      <c r="AR319" s="66">
        <f>AH319*X319</f>
        <v/>
      </c>
      <c r="AS319" s="66">
        <f>AI319*Y319</f>
        <v/>
      </c>
      <c r="AT319" s="66">
        <f>AJ319*Z319</f>
        <v/>
      </c>
      <c r="AU319" s="66">
        <f>AK319*AA319</f>
        <v/>
      </c>
      <c r="AV319" s="66">
        <f>AL319*AB319</f>
        <v/>
      </c>
      <c r="AW319" s="66">
        <f>AM319*AC319</f>
        <v/>
      </c>
      <c r="AX319" s="66">
        <f>AN319*AD319</f>
        <v/>
      </c>
      <c r="AY319" s="66">
        <f>AO319*AE319</f>
        <v/>
      </c>
      <c r="AZ319" s="66">
        <f>INDEX(Projects[Automation Equipment],318)&amp;""</f>
        <v/>
      </c>
      <c r="BA319" s="66">
        <f>IF(OR(A319="",'Smart Search'!H13=0),"",MAX(0,BE319*BF319*MAX(0,1-BG319)))</f>
        <v/>
      </c>
      <c r="BB319" s="66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66">
        <f>IF('Smart Search'!G13=1,IFERROR(1/'Smart Search'!H13,0),0)</f>
        <v/>
      </c>
      <c r="BD319" s="66">
        <f>BB319*BC319</f>
        <v/>
      </c>
      <c r="BE319" s="66">
        <f>AP319+AQ319+AR319+AS319+AT319+AU319+AV319+AW319+AX319+AY319+BD319</f>
        <v/>
      </c>
      <c r="BF319" s="5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5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5">
        <f>IF(AND(A319&lt;&gt;"",OR('Smart Search'!$L$5="",'Smart Search'!$L$5="All",TRIM(BZ319)=TRIM('Smart Search'!$L$5)),OR(TRIM('Smart Search'!$L$6)="",TRIM('Smart Search'!$L$6)="All",ISNUMBER(SEARCH(SUBSTITUTE(SUBSTITUTE(SUBSTITUTE(TRIM('Smart Search'!$L$6),"~","~~"),"*","~*"),"?","~?"),CA319))),OR('Smart Search'!$L$7="",AND(CB319&lt;&gt;0,CB319='Smart Search'!$L$7)),OR('Smart Search'!$L$8="",'Smart Search'!$L$8="All",TRIM(CC319)=TRIM('Smart Search'!$L$8))),IF(BA319="","",BA319+ROW()*0.0000000001),"")</f>
        <v/>
      </c>
      <c r="BI319" s="5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5">
        <f>IF(A319="","",N(INDEX(Projects[Mech Inst],318)))</f>
        <v/>
      </c>
      <c r="BK319" s="5">
        <f>IF(A319="","",N(INDEX(Projects[Elec Inst],318)))</f>
        <v/>
      </c>
      <c r="BL319" s="5">
        <f>IF(A319="","",N(INDEX(Projects[Project Management],318)))</f>
        <v/>
      </c>
      <c r="BM319" s="5">
        <f>IF(A319="","",N(INDEX(Projects[Systems Eng],318)))</f>
        <v/>
      </c>
      <c r="BN319" s="5">
        <f>IF(A319="","",N(INDEX(Projects[Mechanical Eng],318)))</f>
        <v/>
      </c>
      <c r="BO319" s="5">
        <f>IF(A319="","",N(INDEX(Projects[Structural Engineering],318)))</f>
        <v/>
      </c>
      <c r="BP319" s="5">
        <f>IF(A319="","",N(INDEX(Projects[Site Sup],318)))</f>
        <v/>
      </c>
      <c r="BQ319" s="5">
        <f>IF(A319="","",N(INDEX(Projects[Controls Commissioning],318)))</f>
        <v/>
      </c>
      <c r="BR319" s="5">
        <f>IF(A319="","",N(INDEX(Projects[Systems Commissioning],318)))</f>
        <v/>
      </c>
      <c r="BS319" s="5">
        <f>IF(A319="","",N(INDEX(Projects[Service Commissioning],318)))</f>
        <v/>
      </c>
      <c r="BT319" s="5">
        <f>IF(A319="","",N(INDEX(Projects[Controls Eng],318)))</f>
        <v/>
      </c>
      <c r="BU319" s="5">
        <f>IF(A319="","",N(INDEX(Projects[Controls Purchase],318)))</f>
        <v/>
      </c>
      <c r="BV319" s="5">
        <f>IF(A319="","",N(INDEX(Projects[Software Eng],318)))</f>
        <v/>
      </c>
      <c r="BW319" s="5">
        <f>IF(A319="","",N(INDEX(Projects[Misc],318)))</f>
        <v/>
      </c>
      <c r="BX319" s="5">
        <f>IF(A319="","",SUM(BJ319:BW319))</f>
        <v/>
      </c>
      <c r="BY319" s="5">
        <f>IF(A319="","",IFERROR(IF(ISNUMBER(U319),U319,VALUE(SUBSTITUTE(SUBSTITUTE(SUBSTITUTE(UPPER(TRIM(U319)),"M",""),",","")," ",""))),0))</f>
        <v/>
      </c>
      <c r="BZ319" s="5">
        <f>INDEX(Projects[Solution Type],318)&amp;""</f>
        <v/>
      </c>
      <c r="CA319" s="5">
        <f>INDEX(Projects[Client / Region],318)&amp;""</f>
        <v/>
      </c>
      <c r="CB319" s="5">
        <f>INDEX(Projects[Year],318)</f>
        <v/>
      </c>
      <c r="CC319" s="5">
        <f>INDEX(Projects[Won?],318)&amp;""</f>
        <v/>
      </c>
      <c r="CD319" s="5">
        <f>INDEX(Projects[Value (USD M)],318)</f>
        <v/>
      </c>
    </row>
    <row r="320" ht="15" customHeight="1" s="74">
      <c r="A320" s="66">
        <f>INDEX(Projects[Project ID *],319)&amp;""</f>
        <v/>
      </c>
      <c r="B320" s="66">
        <f>INDEX(Projects[Project Name *],319)&amp;""</f>
        <v/>
      </c>
      <c r="C320" s="66">
        <f>INDEX(Projects[MS Shuttles],319)</f>
        <v/>
      </c>
      <c r="D320" s="66">
        <f>INDEX(Projects[MS Tote Locations],319)</f>
        <v/>
      </c>
      <c r="E320" s="66">
        <f>INDEX(Projects[AS Robots],319)</f>
        <v/>
      </c>
      <c r="F320" s="66">
        <f>INDEX(Projects[AS Tote Locations],319)</f>
        <v/>
      </c>
      <c r="G320" s="66">
        <f>INDEX(Projects[PS Shuttles],319)</f>
        <v/>
      </c>
      <c r="H320" s="66">
        <f>INDEX(Projects[PS Pallet Locations],319)</f>
        <v/>
      </c>
      <c r="I320" s="66">
        <f>INDEX(Projects[SRM Cranes],319)</f>
        <v/>
      </c>
      <c r="J320" s="66">
        <f>INDEX(Projects[SRM Pallet Locations],319)</f>
        <v/>
      </c>
      <c r="K320" s="66">
        <f>INDEX(Projects[Case Conv (m)],319)</f>
        <v/>
      </c>
      <c r="L320" s="66">
        <f>INDEX(Projects[Pallet Conv (m)],319)</f>
        <v/>
      </c>
      <c r="M320" s="66">
        <f>INDEX(Projects[Mech Eng (wks)],319)</f>
        <v/>
      </c>
      <c r="N320" s="66">
        <f>INDEX(Projects[Controls Eng (wks)],319)</f>
        <v/>
      </c>
      <c r="O320" s="66">
        <f>INDEX(Projects[Systems Eng (wks)],319)</f>
        <v/>
      </c>
      <c r="P320" s="66">
        <f>INDEX(Projects[Software Eng (wks)],319)</f>
        <v/>
      </c>
      <c r="Q320" s="66">
        <f>INDEX(Projects[M&amp;E Installation (wks)],319)</f>
        <v/>
      </c>
      <c r="R320" s="66">
        <f>INDEX(Projects[Commissioning (wks)],319)</f>
        <v/>
      </c>
      <c r="S320" s="66">
        <f>INDEX(Projects[Total Timeline (wks)],319)</f>
        <v/>
      </c>
      <c r="T320" s="66">
        <f>INDEX(Projects[Currency],319)&amp;""</f>
        <v/>
      </c>
      <c r="U320" s="67">
        <f>INDEX(Projects[Value (M)],319)</f>
        <v/>
      </c>
      <c r="V320" s="66">
        <f>IF('Smart Search'!B13=1,IFERROR(1/'Smart Search'!H13,0),0)</f>
        <v/>
      </c>
      <c r="W320" s="66">
        <f>IF('Smart Search'!B13=1,IFERROR(1/'Smart Search'!H13,0),0)</f>
        <v/>
      </c>
      <c r="X320" s="66">
        <f>IF('Smart Search'!C13=1,IFERROR(1/'Smart Search'!H13,0),0)</f>
        <v/>
      </c>
      <c r="Y320" s="66">
        <f>IF('Smart Search'!C13=1,IFERROR(1/'Smart Search'!H13,0),0)</f>
        <v/>
      </c>
      <c r="Z320" s="66">
        <f>IF('Smart Search'!D13=1,IFERROR(1/'Smart Search'!H13,0),0)</f>
        <v/>
      </c>
      <c r="AA320" s="66">
        <f>IF('Smart Search'!D13=1,IFERROR(1/'Smart Search'!H13,0),0)</f>
        <v/>
      </c>
      <c r="AB320" s="66">
        <f>IF('Smart Search'!E13=1,IFERROR(1/'Smart Search'!H13,0),0)</f>
        <v/>
      </c>
      <c r="AC320" s="66">
        <f>IF('Smart Search'!E13=1,IFERROR(1/'Smart Search'!H13,0),0)</f>
        <v/>
      </c>
      <c r="AD320" s="66">
        <f>IF('Smart Search'!F13=1,IFERROR(1/'Smart Search'!H13,0),0)</f>
        <v/>
      </c>
      <c r="AE320" s="66">
        <f>IF('Smart Search'!F13=1,IFERROR(1/'Smart Search'!H13,0),0)</f>
        <v/>
      </c>
      <c r="AF320" s="66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66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66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66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66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66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66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66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66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66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66">
        <f>AF320*V320</f>
        <v/>
      </c>
      <c r="AQ320" s="66">
        <f>AG320*W320</f>
        <v/>
      </c>
      <c r="AR320" s="66">
        <f>AH320*X320</f>
        <v/>
      </c>
      <c r="AS320" s="66">
        <f>AI320*Y320</f>
        <v/>
      </c>
      <c r="AT320" s="66">
        <f>AJ320*Z320</f>
        <v/>
      </c>
      <c r="AU320" s="66">
        <f>AK320*AA320</f>
        <v/>
      </c>
      <c r="AV320" s="66">
        <f>AL320*AB320</f>
        <v/>
      </c>
      <c r="AW320" s="66">
        <f>AM320*AC320</f>
        <v/>
      </c>
      <c r="AX320" s="66">
        <f>AN320*AD320</f>
        <v/>
      </c>
      <c r="AY320" s="66">
        <f>AO320*AE320</f>
        <v/>
      </c>
      <c r="AZ320" s="66">
        <f>INDEX(Projects[Automation Equipment],319)&amp;""</f>
        <v/>
      </c>
      <c r="BA320" s="66">
        <f>IF(OR(A320="",'Smart Search'!H13=0),"",MAX(0,BE320*BF320*MAX(0,1-BG320)))</f>
        <v/>
      </c>
      <c r="BB320" s="66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66">
        <f>IF('Smart Search'!G13=1,IFERROR(1/'Smart Search'!H13,0),0)</f>
        <v/>
      </c>
      <c r="BD320" s="66">
        <f>BB320*BC320</f>
        <v/>
      </c>
      <c r="BE320" s="66">
        <f>AP320+AQ320+AR320+AS320+AT320+AU320+AV320+AW320+AX320+AY320+BD320</f>
        <v/>
      </c>
      <c r="BF320" s="5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5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5">
        <f>IF(AND(A320&lt;&gt;"",OR('Smart Search'!$L$5="",'Smart Search'!$L$5="All",TRIM(BZ320)=TRIM('Smart Search'!$L$5)),OR(TRIM('Smart Search'!$L$6)="",TRIM('Smart Search'!$L$6)="All",ISNUMBER(SEARCH(SUBSTITUTE(SUBSTITUTE(SUBSTITUTE(TRIM('Smart Search'!$L$6),"~","~~"),"*","~*"),"?","~?"),CA320))),OR('Smart Search'!$L$7="",AND(CB320&lt;&gt;0,CB320='Smart Search'!$L$7)),OR('Smart Search'!$L$8="",'Smart Search'!$L$8="All",TRIM(CC320)=TRIM('Smart Search'!$L$8))),IF(BA320="","",BA320+ROW()*0.0000000001),"")</f>
        <v/>
      </c>
      <c r="BI320" s="5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5">
        <f>IF(A320="","",N(INDEX(Projects[Mech Inst],319)))</f>
        <v/>
      </c>
      <c r="BK320" s="5">
        <f>IF(A320="","",N(INDEX(Projects[Elec Inst],319)))</f>
        <v/>
      </c>
      <c r="BL320" s="5">
        <f>IF(A320="","",N(INDEX(Projects[Project Management],319)))</f>
        <v/>
      </c>
      <c r="BM320" s="5">
        <f>IF(A320="","",N(INDEX(Projects[Systems Eng],319)))</f>
        <v/>
      </c>
      <c r="BN320" s="5">
        <f>IF(A320="","",N(INDEX(Projects[Mechanical Eng],319)))</f>
        <v/>
      </c>
      <c r="BO320" s="5">
        <f>IF(A320="","",N(INDEX(Projects[Structural Engineering],319)))</f>
        <v/>
      </c>
      <c r="BP320" s="5">
        <f>IF(A320="","",N(INDEX(Projects[Site Sup],319)))</f>
        <v/>
      </c>
      <c r="BQ320" s="5">
        <f>IF(A320="","",N(INDEX(Projects[Controls Commissioning],319)))</f>
        <v/>
      </c>
      <c r="BR320" s="5">
        <f>IF(A320="","",N(INDEX(Projects[Systems Commissioning],319)))</f>
        <v/>
      </c>
      <c r="BS320" s="5">
        <f>IF(A320="","",N(INDEX(Projects[Service Commissioning],319)))</f>
        <v/>
      </c>
      <c r="BT320" s="5">
        <f>IF(A320="","",N(INDEX(Projects[Controls Eng],319)))</f>
        <v/>
      </c>
      <c r="BU320" s="5">
        <f>IF(A320="","",N(INDEX(Projects[Controls Purchase],319)))</f>
        <v/>
      </c>
      <c r="BV320" s="5">
        <f>IF(A320="","",N(INDEX(Projects[Software Eng],319)))</f>
        <v/>
      </c>
      <c r="BW320" s="5">
        <f>IF(A320="","",N(INDEX(Projects[Misc],319)))</f>
        <v/>
      </c>
      <c r="BX320" s="5">
        <f>IF(A320="","",SUM(BJ320:BW320))</f>
        <v/>
      </c>
      <c r="BY320" s="5">
        <f>IF(A320="","",IFERROR(IF(ISNUMBER(U320),U320,VALUE(SUBSTITUTE(SUBSTITUTE(SUBSTITUTE(UPPER(TRIM(U320)),"M",""),",","")," ",""))),0))</f>
        <v/>
      </c>
      <c r="BZ320" s="5">
        <f>INDEX(Projects[Solution Type],319)&amp;""</f>
        <v/>
      </c>
      <c r="CA320" s="5">
        <f>INDEX(Projects[Client / Region],319)&amp;""</f>
        <v/>
      </c>
      <c r="CB320" s="5">
        <f>INDEX(Projects[Year],319)</f>
        <v/>
      </c>
      <c r="CC320" s="5">
        <f>INDEX(Projects[Won?],319)&amp;""</f>
        <v/>
      </c>
      <c r="CD320" s="5">
        <f>INDEX(Projects[Value (USD M)],319)</f>
        <v/>
      </c>
    </row>
    <row r="321" ht="15" customHeight="1" s="74">
      <c r="A321" s="66">
        <f>INDEX(Projects[Project ID *],320)&amp;""</f>
        <v/>
      </c>
      <c r="B321" s="66">
        <f>INDEX(Projects[Project Name *],320)&amp;""</f>
        <v/>
      </c>
      <c r="C321" s="66">
        <f>INDEX(Projects[MS Shuttles],320)</f>
        <v/>
      </c>
      <c r="D321" s="66">
        <f>INDEX(Projects[MS Tote Locations],320)</f>
        <v/>
      </c>
      <c r="E321" s="66">
        <f>INDEX(Projects[AS Robots],320)</f>
        <v/>
      </c>
      <c r="F321" s="66">
        <f>INDEX(Projects[AS Tote Locations],320)</f>
        <v/>
      </c>
      <c r="G321" s="66">
        <f>INDEX(Projects[PS Shuttles],320)</f>
        <v/>
      </c>
      <c r="H321" s="66">
        <f>INDEX(Projects[PS Pallet Locations],320)</f>
        <v/>
      </c>
      <c r="I321" s="66">
        <f>INDEX(Projects[SRM Cranes],320)</f>
        <v/>
      </c>
      <c r="J321" s="66">
        <f>INDEX(Projects[SRM Pallet Locations],320)</f>
        <v/>
      </c>
      <c r="K321" s="66">
        <f>INDEX(Projects[Case Conv (m)],320)</f>
        <v/>
      </c>
      <c r="L321" s="66">
        <f>INDEX(Projects[Pallet Conv (m)],320)</f>
        <v/>
      </c>
      <c r="M321" s="66">
        <f>INDEX(Projects[Mech Eng (wks)],320)</f>
        <v/>
      </c>
      <c r="N321" s="66">
        <f>INDEX(Projects[Controls Eng (wks)],320)</f>
        <v/>
      </c>
      <c r="O321" s="66">
        <f>INDEX(Projects[Systems Eng (wks)],320)</f>
        <v/>
      </c>
      <c r="P321" s="66">
        <f>INDEX(Projects[Software Eng (wks)],320)</f>
        <v/>
      </c>
      <c r="Q321" s="66">
        <f>INDEX(Projects[M&amp;E Installation (wks)],320)</f>
        <v/>
      </c>
      <c r="R321" s="66">
        <f>INDEX(Projects[Commissioning (wks)],320)</f>
        <v/>
      </c>
      <c r="S321" s="66">
        <f>INDEX(Projects[Total Timeline (wks)],320)</f>
        <v/>
      </c>
      <c r="T321" s="66">
        <f>INDEX(Projects[Currency],320)&amp;""</f>
        <v/>
      </c>
      <c r="U321" s="67">
        <f>INDEX(Projects[Value (M)],320)</f>
        <v/>
      </c>
      <c r="V321" s="66">
        <f>IF('Smart Search'!B13=1,IFERROR(1/'Smart Search'!H13,0),0)</f>
        <v/>
      </c>
      <c r="W321" s="66">
        <f>IF('Smart Search'!B13=1,IFERROR(1/'Smart Search'!H13,0),0)</f>
        <v/>
      </c>
      <c r="X321" s="66">
        <f>IF('Smart Search'!C13=1,IFERROR(1/'Smart Search'!H13,0),0)</f>
        <v/>
      </c>
      <c r="Y321" s="66">
        <f>IF('Smart Search'!C13=1,IFERROR(1/'Smart Search'!H13,0),0)</f>
        <v/>
      </c>
      <c r="Z321" s="66">
        <f>IF('Smart Search'!D13=1,IFERROR(1/'Smart Search'!H13,0),0)</f>
        <v/>
      </c>
      <c r="AA321" s="66">
        <f>IF('Smart Search'!D13=1,IFERROR(1/'Smart Search'!H13,0),0)</f>
        <v/>
      </c>
      <c r="AB321" s="66">
        <f>IF('Smart Search'!E13=1,IFERROR(1/'Smart Search'!H13,0),0)</f>
        <v/>
      </c>
      <c r="AC321" s="66">
        <f>IF('Smart Search'!E13=1,IFERROR(1/'Smart Search'!H13,0),0)</f>
        <v/>
      </c>
      <c r="AD321" s="66">
        <f>IF('Smart Search'!F13=1,IFERROR(1/'Smart Search'!H13,0),0)</f>
        <v/>
      </c>
      <c r="AE321" s="66">
        <f>IF('Smart Search'!F13=1,IFERROR(1/'Smart Search'!H13,0),0)</f>
        <v/>
      </c>
      <c r="AF321" s="66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66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66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66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66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66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66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66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66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66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66">
        <f>AF321*V321</f>
        <v/>
      </c>
      <c r="AQ321" s="66">
        <f>AG321*W321</f>
        <v/>
      </c>
      <c r="AR321" s="66">
        <f>AH321*X321</f>
        <v/>
      </c>
      <c r="AS321" s="66">
        <f>AI321*Y321</f>
        <v/>
      </c>
      <c r="AT321" s="66">
        <f>AJ321*Z321</f>
        <v/>
      </c>
      <c r="AU321" s="66">
        <f>AK321*AA321</f>
        <v/>
      </c>
      <c r="AV321" s="66">
        <f>AL321*AB321</f>
        <v/>
      </c>
      <c r="AW321" s="66">
        <f>AM321*AC321</f>
        <v/>
      </c>
      <c r="AX321" s="66">
        <f>AN321*AD321</f>
        <v/>
      </c>
      <c r="AY321" s="66">
        <f>AO321*AE321</f>
        <v/>
      </c>
      <c r="AZ321" s="66">
        <f>INDEX(Projects[Automation Equipment],320)&amp;""</f>
        <v/>
      </c>
      <c r="BA321" s="66">
        <f>IF(OR(A321="",'Smart Search'!H13=0),"",MAX(0,BE321*BF321*MAX(0,1-BG321)))</f>
        <v/>
      </c>
      <c r="BB321" s="66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66">
        <f>IF('Smart Search'!G13=1,IFERROR(1/'Smart Search'!H13,0),0)</f>
        <v/>
      </c>
      <c r="BD321" s="66">
        <f>BB321*BC321</f>
        <v/>
      </c>
      <c r="BE321" s="66">
        <f>AP321+AQ321+AR321+AS321+AT321+AU321+AV321+AW321+AX321+AY321+BD321</f>
        <v/>
      </c>
      <c r="BF321" s="5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5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5">
        <f>IF(AND(A321&lt;&gt;"",OR('Smart Search'!$L$5="",'Smart Search'!$L$5="All",TRIM(BZ321)=TRIM('Smart Search'!$L$5)),OR(TRIM('Smart Search'!$L$6)="",TRIM('Smart Search'!$L$6)="All",ISNUMBER(SEARCH(SUBSTITUTE(SUBSTITUTE(SUBSTITUTE(TRIM('Smart Search'!$L$6),"~","~~"),"*","~*"),"?","~?"),CA321))),OR('Smart Search'!$L$7="",AND(CB321&lt;&gt;0,CB321='Smart Search'!$L$7)),OR('Smart Search'!$L$8="",'Smart Search'!$L$8="All",TRIM(CC321)=TRIM('Smart Search'!$L$8))),IF(BA321="","",BA321+ROW()*0.0000000001),"")</f>
        <v/>
      </c>
      <c r="BI321" s="5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5">
        <f>IF(A321="","",N(INDEX(Projects[Mech Inst],320)))</f>
        <v/>
      </c>
      <c r="BK321" s="5">
        <f>IF(A321="","",N(INDEX(Projects[Elec Inst],320)))</f>
        <v/>
      </c>
      <c r="BL321" s="5">
        <f>IF(A321="","",N(INDEX(Projects[Project Management],320)))</f>
        <v/>
      </c>
      <c r="BM321" s="5">
        <f>IF(A321="","",N(INDEX(Projects[Systems Eng],320)))</f>
        <v/>
      </c>
      <c r="BN321" s="5">
        <f>IF(A321="","",N(INDEX(Projects[Mechanical Eng],320)))</f>
        <v/>
      </c>
      <c r="BO321" s="5">
        <f>IF(A321="","",N(INDEX(Projects[Structural Engineering],320)))</f>
        <v/>
      </c>
      <c r="BP321" s="5">
        <f>IF(A321="","",N(INDEX(Projects[Site Sup],320)))</f>
        <v/>
      </c>
      <c r="BQ321" s="5">
        <f>IF(A321="","",N(INDEX(Projects[Controls Commissioning],320)))</f>
        <v/>
      </c>
      <c r="BR321" s="5">
        <f>IF(A321="","",N(INDEX(Projects[Systems Commissioning],320)))</f>
        <v/>
      </c>
      <c r="BS321" s="5">
        <f>IF(A321="","",N(INDEX(Projects[Service Commissioning],320)))</f>
        <v/>
      </c>
      <c r="BT321" s="5">
        <f>IF(A321="","",N(INDEX(Projects[Controls Eng],320)))</f>
        <v/>
      </c>
      <c r="BU321" s="5">
        <f>IF(A321="","",N(INDEX(Projects[Controls Purchase],320)))</f>
        <v/>
      </c>
      <c r="BV321" s="5">
        <f>IF(A321="","",N(INDEX(Projects[Software Eng],320)))</f>
        <v/>
      </c>
      <c r="BW321" s="5">
        <f>IF(A321="","",N(INDEX(Projects[Misc],320)))</f>
        <v/>
      </c>
      <c r="BX321" s="5">
        <f>IF(A321="","",SUM(BJ321:BW321))</f>
        <v/>
      </c>
      <c r="BY321" s="5">
        <f>IF(A321="","",IFERROR(IF(ISNUMBER(U321),U321,VALUE(SUBSTITUTE(SUBSTITUTE(SUBSTITUTE(UPPER(TRIM(U321)),"M",""),",","")," ",""))),0))</f>
        <v/>
      </c>
      <c r="BZ321" s="5">
        <f>INDEX(Projects[Solution Type],320)&amp;""</f>
        <v/>
      </c>
      <c r="CA321" s="5">
        <f>INDEX(Projects[Client / Region],320)&amp;""</f>
        <v/>
      </c>
      <c r="CB321" s="5">
        <f>INDEX(Projects[Year],320)</f>
        <v/>
      </c>
      <c r="CC321" s="5">
        <f>INDEX(Projects[Won?],320)&amp;""</f>
        <v/>
      </c>
      <c r="CD321" s="5">
        <f>INDEX(Projects[Value (USD M)],320)</f>
        <v/>
      </c>
    </row>
    <row r="322" ht="15" customHeight="1" s="74">
      <c r="A322" s="66">
        <f>INDEX(Projects[Project ID *],321)&amp;""</f>
        <v/>
      </c>
      <c r="B322" s="66">
        <f>INDEX(Projects[Project Name *],321)&amp;""</f>
        <v/>
      </c>
      <c r="C322" s="66">
        <f>INDEX(Projects[MS Shuttles],321)</f>
        <v/>
      </c>
      <c r="D322" s="66">
        <f>INDEX(Projects[MS Tote Locations],321)</f>
        <v/>
      </c>
      <c r="E322" s="66">
        <f>INDEX(Projects[AS Robots],321)</f>
        <v/>
      </c>
      <c r="F322" s="66">
        <f>INDEX(Projects[AS Tote Locations],321)</f>
        <v/>
      </c>
      <c r="G322" s="66">
        <f>INDEX(Projects[PS Shuttles],321)</f>
        <v/>
      </c>
      <c r="H322" s="66">
        <f>INDEX(Projects[PS Pallet Locations],321)</f>
        <v/>
      </c>
      <c r="I322" s="66">
        <f>INDEX(Projects[SRM Cranes],321)</f>
        <v/>
      </c>
      <c r="J322" s="66">
        <f>INDEX(Projects[SRM Pallet Locations],321)</f>
        <v/>
      </c>
      <c r="K322" s="66">
        <f>INDEX(Projects[Case Conv (m)],321)</f>
        <v/>
      </c>
      <c r="L322" s="66">
        <f>INDEX(Projects[Pallet Conv (m)],321)</f>
        <v/>
      </c>
      <c r="M322" s="66">
        <f>INDEX(Projects[Mech Eng (wks)],321)</f>
        <v/>
      </c>
      <c r="N322" s="66">
        <f>INDEX(Projects[Controls Eng (wks)],321)</f>
        <v/>
      </c>
      <c r="O322" s="66">
        <f>INDEX(Projects[Systems Eng (wks)],321)</f>
        <v/>
      </c>
      <c r="P322" s="66">
        <f>INDEX(Projects[Software Eng (wks)],321)</f>
        <v/>
      </c>
      <c r="Q322" s="66">
        <f>INDEX(Projects[M&amp;E Installation (wks)],321)</f>
        <v/>
      </c>
      <c r="R322" s="66">
        <f>INDEX(Projects[Commissioning (wks)],321)</f>
        <v/>
      </c>
      <c r="S322" s="66">
        <f>INDEX(Projects[Total Timeline (wks)],321)</f>
        <v/>
      </c>
      <c r="T322" s="66">
        <f>INDEX(Projects[Currency],321)&amp;""</f>
        <v/>
      </c>
      <c r="U322" s="67">
        <f>INDEX(Projects[Value (M)],321)</f>
        <v/>
      </c>
      <c r="V322" s="66">
        <f>IF('Smart Search'!B13=1,IFERROR(1/'Smart Search'!H13,0),0)</f>
        <v/>
      </c>
      <c r="W322" s="66">
        <f>IF('Smart Search'!B13=1,IFERROR(1/'Smart Search'!H13,0),0)</f>
        <v/>
      </c>
      <c r="X322" s="66">
        <f>IF('Smart Search'!C13=1,IFERROR(1/'Smart Search'!H13,0),0)</f>
        <v/>
      </c>
      <c r="Y322" s="66">
        <f>IF('Smart Search'!C13=1,IFERROR(1/'Smart Search'!H13,0),0)</f>
        <v/>
      </c>
      <c r="Z322" s="66">
        <f>IF('Smart Search'!D13=1,IFERROR(1/'Smart Search'!H13,0),0)</f>
        <v/>
      </c>
      <c r="AA322" s="66">
        <f>IF('Smart Search'!D13=1,IFERROR(1/'Smart Search'!H13,0),0)</f>
        <v/>
      </c>
      <c r="AB322" s="66">
        <f>IF('Smart Search'!E13=1,IFERROR(1/'Smart Search'!H13,0),0)</f>
        <v/>
      </c>
      <c r="AC322" s="66">
        <f>IF('Smart Search'!E13=1,IFERROR(1/'Smart Search'!H13,0),0)</f>
        <v/>
      </c>
      <c r="AD322" s="66">
        <f>IF('Smart Search'!F13=1,IFERROR(1/'Smart Search'!H13,0),0)</f>
        <v/>
      </c>
      <c r="AE322" s="66">
        <f>IF('Smart Search'!F13=1,IFERROR(1/'Smart Search'!H13,0),0)</f>
        <v/>
      </c>
      <c r="AF322" s="66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66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66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66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66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66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66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66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66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66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66">
        <f>AF322*V322</f>
        <v/>
      </c>
      <c r="AQ322" s="66">
        <f>AG322*W322</f>
        <v/>
      </c>
      <c r="AR322" s="66">
        <f>AH322*X322</f>
        <v/>
      </c>
      <c r="AS322" s="66">
        <f>AI322*Y322</f>
        <v/>
      </c>
      <c r="AT322" s="66">
        <f>AJ322*Z322</f>
        <v/>
      </c>
      <c r="AU322" s="66">
        <f>AK322*AA322</f>
        <v/>
      </c>
      <c r="AV322" s="66">
        <f>AL322*AB322</f>
        <v/>
      </c>
      <c r="AW322" s="66">
        <f>AM322*AC322</f>
        <v/>
      </c>
      <c r="AX322" s="66">
        <f>AN322*AD322</f>
        <v/>
      </c>
      <c r="AY322" s="66">
        <f>AO322*AE322</f>
        <v/>
      </c>
      <c r="AZ322" s="66">
        <f>INDEX(Projects[Automation Equipment],321)&amp;""</f>
        <v/>
      </c>
      <c r="BA322" s="66">
        <f>IF(OR(A322="",'Smart Search'!H13=0),"",MAX(0,BE322*BF322*MAX(0,1-BG322)))</f>
        <v/>
      </c>
      <c r="BB322" s="66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66">
        <f>IF('Smart Search'!G13=1,IFERROR(1/'Smart Search'!H13,0),0)</f>
        <v/>
      </c>
      <c r="BD322" s="66">
        <f>BB322*BC322</f>
        <v/>
      </c>
      <c r="BE322" s="66">
        <f>AP322+AQ322+AR322+AS322+AT322+AU322+AV322+AW322+AX322+AY322+BD322</f>
        <v/>
      </c>
      <c r="BF322" s="5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5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5">
        <f>IF(AND(A322&lt;&gt;"",OR('Smart Search'!$L$5="",'Smart Search'!$L$5="All",TRIM(BZ322)=TRIM('Smart Search'!$L$5)),OR(TRIM('Smart Search'!$L$6)="",TRIM('Smart Search'!$L$6)="All",ISNUMBER(SEARCH(SUBSTITUTE(SUBSTITUTE(SUBSTITUTE(TRIM('Smart Search'!$L$6),"~","~~"),"*","~*"),"?","~?"),CA322))),OR('Smart Search'!$L$7="",AND(CB322&lt;&gt;0,CB322='Smart Search'!$L$7)),OR('Smart Search'!$L$8="",'Smart Search'!$L$8="All",TRIM(CC322)=TRIM('Smart Search'!$L$8))),IF(BA322="","",BA322+ROW()*0.0000000001),"")</f>
        <v/>
      </c>
      <c r="BI322" s="5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5">
        <f>IF(A322="","",N(INDEX(Projects[Mech Inst],321)))</f>
        <v/>
      </c>
      <c r="BK322" s="5">
        <f>IF(A322="","",N(INDEX(Projects[Elec Inst],321)))</f>
        <v/>
      </c>
      <c r="BL322" s="5">
        <f>IF(A322="","",N(INDEX(Projects[Project Management],321)))</f>
        <v/>
      </c>
      <c r="BM322" s="5">
        <f>IF(A322="","",N(INDEX(Projects[Systems Eng],321)))</f>
        <v/>
      </c>
      <c r="BN322" s="5">
        <f>IF(A322="","",N(INDEX(Projects[Mechanical Eng],321)))</f>
        <v/>
      </c>
      <c r="BO322" s="5">
        <f>IF(A322="","",N(INDEX(Projects[Structural Engineering],321)))</f>
        <v/>
      </c>
      <c r="BP322" s="5">
        <f>IF(A322="","",N(INDEX(Projects[Site Sup],321)))</f>
        <v/>
      </c>
      <c r="BQ322" s="5">
        <f>IF(A322="","",N(INDEX(Projects[Controls Commissioning],321)))</f>
        <v/>
      </c>
      <c r="BR322" s="5">
        <f>IF(A322="","",N(INDEX(Projects[Systems Commissioning],321)))</f>
        <v/>
      </c>
      <c r="BS322" s="5">
        <f>IF(A322="","",N(INDEX(Projects[Service Commissioning],321)))</f>
        <v/>
      </c>
      <c r="BT322" s="5">
        <f>IF(A322="","",N(INDEX(Projects[Controls Eng],321)))</f>
        <v/>
      </c>
      <c r="BU322" s="5">
        <f>IF(A322="","",N(INDEX(Projects[Controls Purchase],321)))</f>
        <v/>
      </c>
      <c r="BV322" s="5">
        <f>IF(A322="","",N(INDEX(Projects[Software Eng],321)))</f>
        <v/>
      </c>
      <c r="BW322" s="5">
        <f>IF(A322="","",N(INDEX(Projects[Misc],321)))</f>
        <v/>
      </c>
      <c r="BX322" s="5">
        <f>IF(A322="","",SUM(BJ322:BW322))</f>
        <v/>
      </c>
      <c r="BY322" s="5">
        <f>IF(A322="","",IFERROR(IF(ISNUMBER(U322),U322,VALUE(SUBSTITUTE(SUBSTITUTE(SUBSTITUTE(UPPER(TRIM(U322)),"M",""),",","")," ",""))),0))</f>
        <v/>
      </c>
      <c r="BZ322" s="5">
        <f>INDEX(Projects[Solution Type],321)&amp;""</f>
        <v/>
      </c>
      <c r="CA322" s="5">
        <f>INDEX(Projects[Client / Region],321)&amp;""</f>
        <v/>
      </c>
      <c r="CB322" s="5">
        <f>INDEX(Projects[Year],321)</f>
        <v/>
      </c>
      <c r="CC322" s="5">
        <f>INDEX(Projects[Won?],321)&amp;""</f>
        <v/>
      </c>
      <c r="CD322" s="5">
        <f>INDEX(Projects[Value (USD M)],321)</f>
        <v/>
      </c>
    </row>
    <row r="323" ht="15" customHeight="1" s="74">
      <c r="A323" s="66">
        <f>INDEX(Projects[Project ID *],322)&amp;""</f>
        <v/>
      </c>
      <c r="B323" s="66">
        <f>INDEX(Projects[Project Name *],322)&amp;""</f>
        <v/>
      </c>
      <c r="C323" s="66">
        <f>INDEX(Projects[MS Shuttles],322)</f>
        <v/>
      </c>
      <c r="D323" s="66">
        <f>INDEX(Projects[MS Tote Locations],322)</f>
        <v/>
      </c>
      <c r="E323" s="66">
        <f>INDEX(Projects[AS Robots],322)</f>
        <v/>
      </c>
      <c r="F323" s="66">
        <f>INDEX(Projects[AS Tote Locations],322)</f>
        <v/>
      </c>
      <c r="G323" s="66">
        <f>INDEX(Projects[PS Shuttles],322)</f>
        <v/>
      </c>
      <c r="H323" s="66">
        <f>INDEX(Projects[PS Pallet Locations],322)</f>
        <v/>
      </c>
      <c r="I323" s="66">
        <f>INDEX(Projects[SRM Cranes],322)</f>
        <v/>
      </c>
      <c r="J323" s="66">
        <f>INDEX(Projects[SRM Pallet Locations],322)</f>
        <v/>
      </c>
      <c r="K323" s="66">
        <f>INDEX(Projects[Case Conv (m)],322)</f>
        <v/>
      </c>
      <c r="L323" s="66">
        <f>INDEX(Projects[Pallet Conv (m)],322)</f>
        <v/>
      </c>
      <c r="M323" s="66">
        <f>INDEX(Projects[Mech Eng (wks)],322)</f>
        <v/>
      </c>
      <c r="N323" s="66">
        <f>INDEX(Projects[Controls Eng (wks)],322)</f>
        <v/>
      </c>
      <c r="O323" s="66">
        <f>INDEX(Projects[Systems Eng (wks)],322)</f>
        <v/>
      </c>
      <c r="P323" s="66">
        <f>INDEX(Projects[Software Eng (wks)],322)</f>
        <v/>
      </c>
      <c r="Q323" s="66">
        <f>INDEX(Projects[M&amp;E Installation (wks)],322)</f>
        <v/>
      </c>
      <c r="R323" s="66">
        <f>INDEX(Projects[Commissioning (wks)],322)</f>
        <v/>
      </c>
      <c r="S323" s="66">
        <f>INDEX(Projects[Total Timeline (wks)],322)</f>
        <v/>
      </c>
      <c r="T323" s="66">
        <f>INDEX(Projects[Currency],322)&amp;""</f>
        <v/>
      </c>
      <c r="U323" s="67">
        <f>INDEX(Projects[Value (M)],322)</f>
        <v/>
      </c>
      <c r="V323" s="66">
        <f>IF('Smart Search'!B13=1,IFERROR(1/'Smart Search'!H13,0),0)</f>
        <v/>
      </c>
      <c r="W323" s="66">
        <f>IF('Smart Search'!B13=1,IFERROR(1/'Smart Search'!H13,0),0)</f>
        <v/>
      </c>
      <c r="X323" s="66">
        <f>IF('Smart Search'!C13=1,IFERROR(1/'Smart Search'!H13,0),0)</f>
        <v/>
      </c>
      <c r="Y323" s="66">
        <f>IF('Smart Search'!C13=1,IFERROR(1/'Smart Search'!H13,0),0)</f>
        <v/>
      </c>
      <c r="Z323" s="66">
        <f>IF('Smart Search'!D13=1,IFERROR(1/'Smart Search'!H13,0),0)</f>
        <v/>
      </c>
      <c r="AA323" s="66">
        <f>IF('Smart Search'!D13=1,IFERROR(1/'Smart Search'!H13,0),0)</f>
        <v/>
      </c>
      <c r="AB323" s="66">
        <f>IF('Smart Search'!E13=1,IFERROR(1/'Smart Search'!H13,0),0)</f>
        <v/>
      </c>
      <c r="AC323" s="66">
        <f>IF('Smart Search'!E13=1,IFERROR(1/'Smart Search'!H13,0),0)</f>
        <v/>
      </c>
      <c r="AD323" s="66">
        <f>IF('Smart Search'!F13=1,IFERROR(1/'Smart Search'!H13,0),0)</f>
        <v/>
      </c>
      <c r="AE323" s="66">
        <f>IF('Smart Search'!F13=1,IFERROR(1/'Smart Search'!H13,0),0)</f>
        <v/>
      </c>
      <c r="AF323" s="66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66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66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66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66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66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66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66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66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66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66">
        <f>AF323*V323</f>
        <v/>
      </c>
      <c r="AQ323" s="66">
        <f>AG323*W323</f>
        <v/>
      </c>
      <c r="AR323" s="66">
        <f>AH323*X323</f>
        <v/>
      </c>
      <c r="AS323" s="66">
        <f>AI323*Y323</f>
        <v/>
      </c>
      <c r="AT323" s="66">
        <f>AJ323*Z323</f>
        <v/>
      </c>
      <c r="AU323" s="66">
        <f>AK323*AA323</f>
        <v/>
      </c>
      <c r="AV323" s="66">
        <f>AL323*AB323</f>
        <v/>
      </c>
      <c r="AW323" s="66">
        <f>AM323*AC323</f>
        <v/>
      </c>
      <c r="AX323" s="66">
        <f>AN323*AD323</f>
        <v/>
      </c>
      <c r="AY323" s="66">
        <f>AO323*AE323</f>
        <v/>
      </c>
      <c r="AZ323" s="66">
        <f>INDEX(Projects[Automation Equipment],322)&amp;""</f>
        <v/>
      </c>
      <c r="BA323" s="66">
        <f>IF(OR(A323="",'Smart Search'!H13=0),"",MAX(0,BE323*BF323*MAX(0,1-BG323)))</f>
        <v/>
      </c>
      <c r="BB323" s="66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66">
        <f>IF('Smart Search'!G13=1,IFERROR(1/'Smart Search'!H13,0),0)</f>
        <v/>
      </c>
      <c r="BD323" s="66">
        <f>BB323*BC323</f>
        <v/>
      </c>
      <c r="BE323" s="66">
        <f>AP323+AQ323+AR323+AS323+AT323+AU323+AV323+AW323+AX323+AY323+BD323</f>
        <v/>
      </c>
      <c r="BF323" s="5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5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5">
        <f>IF(AND(A323&lt;&gt;"",OR('Smart Search'!$L$5="",'Smart Search'!$L$5="All",TRIM(BZ323)=TRIM('Smart Search'!$L$5)),OR(TRIM('Smart Search'!$L$6)="",TRIM('Smart Search'!$L$6)="All",ISNUMBER(SEARCH(SUBSTITUTE(SUBSTITUTE(SUBSTITUTE(TRIM('Smart Search'!$L$6),"~","~~"),"*","~*"),"?","~?"),CA323))),OR('Smart Search'!$L$7="",AND(CB323&lt;&gt;0,CB323='Smart Search'!$L$7)),OR('Smart Search'!$L$8="",'Smart Search'!$L$8="All",TRIM(CC323)=TRIM('Smart Search'!$L$8))),IF(BA323="","",BA323+ROW()*0.0000000001),"")</f>
        <v/>
      </c>
      <c r="BI323" s="5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5">
        <f>IF(A323="","",N(INDEX(Projects[Mech Inst],322)))</f>
        <v/>
      </c>
      <c r="BK323" s="5">
        <f>IF(A323="","",N(INDEX(Projects[Elec Inst],322)))</f>
        <v/>
      </c>
      <c r="BL323" s="5">
        <f>IF(A323="","",N(INDEX(Projects[Project Management],322)))</f>
        <v/>
      </c>
      <c r="BM323" s="5">
        <f>IF(A323="","",N(INDEX(Projects[Systems Eng],322)))</f>
        <v/>
      </c>
      <c r="BN323" s="5">
        <f>IF(A323="","",N(INDEX(Projects[Mechanical Eng],322)))</f>
        <v/>
      </c>
      <c r="BO323" s="5">
        <f>IF(A323="","",N(INDEX(Projects[Structural Engineering],322)))</f>
        <v/>
      </c>
      <c r="BP323" s="5">
        <f>IF(A323="","",N(INDEX(Projects[Site Sup],322)))</f>
        <v/>
      </c>
      <c r="BQ323" s="5">
        <f>IF(A323="","",N(INDEX(Projects[Controls Commissioning],322)))</f>
        <v/>
      </c>
      <c r="BR323" s="5">
        <f>IF(A323="","",N(INDEX(Projects[Systems Commissioning],322)))</f>
        <v/>
      </c>
      <c r="BS323" s="5">
        <f>IF(A323="","",N(INDEX(Projects[Service Commissioning],322)))</f>
        <v/>
      </c>
      <c r="BT323" s="5">
        <f>IF(A323="","",N(INDEX(Projects[Controls Eng],322)))</f>
        <v/>
      </c>
      <c r="BU323" s="5">
        <f>IF(A323="","",N(INDEX(Projects[Controls Purchase],322)))</f>
        <v/>
      </c>
      <c r="BV323" s="5">
        <f>IF(A323="","",N(INDEX(Projects[Software Eng],322)))</f>
        <v/>
      </c>
      <c r="BW323" s="5">
        <f>IF(A323="","",N(INDEX(Projects[Misc],322)))</f>
        <v/>
      </c>
      <c r="BX323" s="5">
        <f>IF(A323="","",SUM(BJ323:BW323))</f>
        <v/>
      </c>
      <c r="BY323" s="5">
        <f>IF(A323="","",IFERROR(IF(ISNUMBER(U323),U323,VALUE(SUBSTITUTE(SUBSTITUTE(SUBSTITUTE(UPPER(TRIM(U323)),"M",""),",","")," ",""))),0))</f>
        <v/>
      </c>
      <c r="BZ323" s="5">
        <f>INDEX(Projects[Solution Type],322)&amp;""</f>
        <v/>
      </c>
      <c r="CA323" s="5">
        <f>INDEX(Projects[Client / Region],322)&amp;""</f>
        <v/>
      </c>
      <c r="CB323" s="5">
        <f>INDEX(Projects[Year],322)</f>
        <v/>
      </c>
      <c r="CC323" s="5">
        <f>INDEX(Projects[Won?],322)&amp;""</f>
        <v/>
      </c>
      <c r="CD323" s="5">
        <f>INDEX(Projects[Value (USD M)],322)</f>
        <v/>
      </c>
    </row>
    <row r="324" ht="15" customHeight="1" s="74">
      <c r="A324" s="66">
        <f>INDEX(Projects[Project ID *],323)&amp;""</f>
        <v/>
      </c>
      <c r="B324" s="66">
        <f>INDEX(Projects[Project Name *],323)&amp;""</f>
        <v/>
      </c>
      <c r="C324" s="66">
        <f>INDEX(Projects[MS Shuttles],323)</f>
        <v/>
      </c>
      <c r="D324" s="66">
        <f>INDEX(Projects[MS Tote Locations],323)</f>
        <v/>
      </c>
      <c r="E324" s="66">
        <f>INDEX(Projects[AS Robots],323)</f>
        <v/>
      </c>
      <c r="F324" s="66">
        <f>INDEX(Projects[AS Tote Locations],323)</f>
        <v/>
      </c>
      <c r="G324" s="66">
        <f>INDEX(Projects[PS Shuttles],323)</f>
        <v/>
      </c>
      <c r="H324" s="66">
        <f>INDEX(Projects[PS Pallet Locations],323)</f>
        <v/>
      </c>
      <c r="I324" s="66">
        <f>INDEX(Projects[SRM Cranes],323)</f>
        <v/>
      </c>
      <c r="J324" s="66">
        <f>INDEX(Projects[SRM Pallet Locations],323)</f>
        <v/>
      </c>
      <c r="K324" s="66">
        <f>INDEX(Projects[Case Conv (m)],323)</f>
        <v/>
      </c>
      <c r="L324" s="66">
        <f>INDEX(Projects[Pallet Conv (m)],323)</f>
        <v/>
      </c>
      <c r="M324" s="66">
        <f>INDEX(Projects[Mech Eng (wks)],323)</f>
        <v/>
      </c>
      <c r="N324" s="66">
        <f>INDEX(Projects[Controls Eng (wks)],323)</f>
        <v/>
      </c>
      <c r="O324" s="66">
        <f>INDEX(Projects[Systems Eng (wks)],323)</f>
        <v/>
      </c>
      <c r="P324" s="66">
        <f>INDEX(Projects[Software Eng (wks)],323)</f>
        <v/>
      </c>
      <c r="Q324" s="66">
        <f>INDEX(Projects[M&amp;E Installation (wks)],323)</f>
        <v/>
      </c>
      <c r="R324" s="66">
        <f>INDEX(Projects[Commissioning (wks)],323)</f>
        <v/>
      </c>
      <c r="S324" s="66">
        <f>INDEX(Projects[Total Timeline (wks)],323)</f>
        <v/>
      </c>
      <c r="T324" s="66">
        <f>INDEX(Projects[Currency],323)&amp;""</f>
        <v/>
      </c>
      <c r="U324" s="67">
        <f>INDEX(Projects[Value (M)],323)</f>
        <v/>
      </c>
      <c r="V324" s="66">
        <f>IF('Smart Search'!B13=1,IFERROR(1/'Smart Search'!H13,0),0)</f>
        <v/>
      </c>
      <c r="W324" s="66">
        <f>IF('Smart Search'!B13=1,IFERROR(1/'Smart Search'!H13,0),0)</f>
        <v/>
      </c>
      <c r="X324" s="66">
        <f>IF('Smart Search'!C13=1,IFERROR(1/'Smart Search'!H13,0),0)</f>
        <v/>
      </c>
      <c r="Y324" s="66">
        <f>IF('Smart Search'!C13=1,IFERROR(1/'Smart Search'!H13,0),0)</f>
        <v/>
      </c>
      <c r="Z324" s="66">
        <f>IF('Smart Search'!D13=1,IFERROR(1/'Smart Search'!H13,0),0)</f>
        <v/>
      </c>
      <c r="AA324" s="66">
        <f>IF('Smart Search'!D13=1,IFERROR(1/'Smart Search'!H13,0),0)</f>
        <v/>
      </c>
      <c r="AB324" s="66">
        <f>IF('Smart Search'!E13=1,IFERROR(1/'Smart Search'!H13,0),0)</f>
        <v/>
      </c>
      <c r="AC324" s="66">
        <f>IF('Smart Search'!E13=1,IFERROR(1/'Smart Search'!H13,0),0)</f>
        <v/>
      </c>
      <c r="AD324" s="66">
        <f>IF('Smart Search'!F13=1,IFERROR(1/'Smart Search'!H13,0),0)</f>
        <v/>
      </c>
      <c r="AE324" s="66">
        <f>IF('Smart Search'!F13=1,IFERROR(1/'Smart Search'!H13,0),0)</f>
        <v/>
      </c>
      <c r="AF324" s="66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66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66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66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66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66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66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66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66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66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66">
        <f>AF324*V324</f>
        <v/>
      </c>
      <c r="AQ324" s="66">
        <f>AG324*W324</f>
        <v/>
      </c>
      <c r="AR324" s="66">
        <f>AH324*X324</f>
        <v/>
      </c>
      <c r="AS324" s="66">
        <f>AI324*Y324</f>
        <v/>
      </c>
      <c r="AT324" s="66">
        <f>AJ324*Z324</f>
        <v/>
      </c>
      <c r="AU324" s="66">
        <f>AK324*AA324</f>
        <v/>
      </c>
      <c r="AV324" s="66">
        <f>AL324*AB324</f>
        <v/>
      </c>
      <c r="AW324" s="66">
        <f>AM324*AC324</f>
        <v/>
      </c>
      <c r="AX324" s="66">
        <f>AN324*AD324</f>
        <v/>
      </c>
      <c r="AY324" s="66">
        <f>AO324*AE324</f>
        <v/>
      </c>
      <c r="AZ324" s="66">
        <f>INDEX(Projects[Automation Equipment],323)&amp;""</f>
        <v/>
      </c>
      <c r="BA324" s="66">
        <f>IF(OR(A324="",'Smart Search'!H13=0),"",MAX(0,BE324*BF324*MAX(0,1-BG324)))</f>
        <v/>
      </c>
      <c r="BB324" s="66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66">
        <f>IF('Smart Search'!G13=1,IFERROR(1/'Smart Search'!H13,0),0)</f>
        <v/>
      </c>
      <c r="BD324" s="66">
        <f>BB324*BC324</f>
        <v/>
      </c>
      <c r="BE324" s="66">
        <f>AP324+AQ324+AR324+AS324+AT324+AU324+AV324+AW324+AX324+AY324+BD324</f>
        <v/>
      </c>
      <c r="BF324" s="5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5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5">
        <f>IF(AND(A324&lt;&gt;"",OR('Smart Search'!$L$5="",'Smart Search'!$L$5="All",TRIM(BZ324)=TRIM('Smart Search'!$L$5)),OR(TRIM('Smart Search'!$L$6)="",TRIM('Smart Search'!$L$6)="All",ISNUMBER(SEARCH(SUBSTITUTE(SUBSTITUTE(SUBSTITUTE(TRIM('Smart Search'!$L$6),"~","~~"),"*","~*"),"?","~?"),CA324))),OR('Smart Search'!$L$7="",AND(CB324&lt;&gt;0,CB324='Smart Search'!$L$7)),OR('Smart Search'!$L$8="",'Smart Search'!$L$8="All",TRIM(CC324)=TRIM('Smart Search'!$L$8))),IF(BA324="","",BA324+ROW()*0.0000000001),"")</f>
        <v/>
      </c>
      <c r="BI324" s="5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5">
        <f>IF(A324="","",N(INDEX(Projects[Mech Inst],323)))</f>
        <v/>
      </c>
      <c r="BK324" s="5">
        <f>IF(A324="","",N(INDEX(Projects[Elec Inst],323)))</f>
        <v/>
      </c>
      <c r="BL324" s="5">
        <f>IF(A324="","",N(INDEX(Projects[Project Management],323)))</f>
        <v/>
      </c>
      <c r="BM324" s="5">
        <f>IF(A324="","",N(INDEX(Projects[Systems Eng],323)))</f>
        <v/>
      </c>
      <c r="BN324" s="5">
        <f>IF(A324="","",N(INDEX(Projects[Mechanical Eng],323)))</f>
        <v/>
      </c>
      <c r="BO324" s="5">
        <f>IF(A324="","",N(INDEX(Projects[Structural Engineering],323)))</f>
        <v/>
      </c>
      <c r="BP324" s="5">
        <f>IF(A324="","",N(INDEX(Projects[Site Sup],323)))</f>
        <v/>
      </c>
      <c r="BQ324" s="5">
        <f>IF(A324="","",N(INDEX(Projects[Controls Commissioning],323)))</f>
        <v/>
      </c>
      <c r="BR324" s="5">
        <f>IF(A324="","",N(INDEX(Projects[Systems Commissioning],323)))</f>
        <v/>
      </c>
      <c r="BS324" s="5">
        <f>IF(A324="","",N(INDEX(Projects[Service Commissioning],323)))</f>
        <v/>
      </c>
      <c r="BT324" s="5">
        <f>IF(A324="","",N(INDEX(Projects[Controls Eng],323)))</f>
        <v/>
      </c>
      <c r="BU324" s="5">
        <f>IF(A324="","",N(INDEX(Projects[Controls Purchase],323)))</f>
        <v/>
      </c>
      <c r="BV324" s="5">
        <f>IF(A324="","",N(INDEX(Projects[Software Eng],323)))</f>
        <v/>
      </c>
      <c r="BW324" s="5">
        <f>IF(A324="","",N(INDEX(Projects[Misc],323)))</f>
        <v/>
      </c>
      <c r="BX324" s="5">
        <f>IF(A324="","",SUM(BJ324:BW324))</f>
        <v/>
      </c>
      <c r="BY324" s="5">
        <f>IF(A324="","",IFERROR(IF(ISNUMBER(U324),U324,VALUE(SUBSTITUTE(SUBSTITUTE(SUBSTITUTE(UPPER(TRIM(U324)),"M",""),",","")," ",""))),0))</f>
        <v/>
      </c>
      <c r="BZ324" s="5">
        <f>INDEX(Projects[Solution Type],323)&amp;""</f>
        <v/>
      </c>
      <c r="CA324" s="5">
        <f>INDEX(Projects[Client / Region],323)&amp;""</f>
        <v/>
      </c>
      <c r="CB324" s="5">
        <f>INDEX(Projects[Year],323)</f>
        <v/>
      </c>
      <c r="CC324" s="5">
        <f>INDEX(Projects[Won?],323)&amp;""</f>
        <v/>
      </c>
      <c r="CD324" s="5">
        <f>INDEX(Projects[Value (USD M)],323)</f>
        <v/>
      </c>
    </row>
    <row r="325" ht="15" customHeight="1" s="74">
      <c r="A325" s="66">
        <f>INDEX(Projects[Project ID *],324)&amp;""</f>
        <v/>
      </c>
      <c r="B325" s="66">
        <f>INDEX(Projects[Project Name *],324)&amp;""</f>
        <v/>
      </c>
      <c r="C325" s="66">
        <f>INDEX(Projects[MS Shuttles],324)</f>
        <v/>
      </c>
      <c r="D325" s="66">
        <f>INDEX(Projects[MS Tote Locations],324)</f>
        <v/>
      </c>
      <c r="E325" s="66">
        <f>INDEX(Projects[AS Robots],324)</f>
        <v/>
      </c>
      <c r="F325" s="66">
        <f>INDEX(Projects[AS Tote Locations],324)</f>
        <v/>
      </c>
      <c r="G325" s="66">
        <f>INDEX(Projects[PS Shuttles],324)</f>
        <v/>
      </c>
      <c r="H325" s="66">
        <f>INDEX(Projects[PS Pallet Locations],324)</f>
        <v/>
      </c>
      <c r="I325" s="66">
        <f>INDEX(Projects[SRM Cranes],324)</f>
        <v/>
      </c>
      <c r="J325" s="66">
        <f>INDEX(Projects[SRM Pallet Locations],324)</f>
        <v/>
      </c>
      <c r="K325" s="66">
        <f>INDEX(Projects[Case Conv (m)],324)</f>
        <v/>
      </c>
      <c r="L325" s="66">
        <f>INDEX(Projects[Pallet Conv (m)],324)</f>
        <v/>
      </c>
      <c r="M325" s="66">
        <f>INDEX(Projects[Mech Eng (wks)],324)</f>
        <v/>
      </c>
      <c r="N325" s="66">
        <f>INDEX(Projects[Controls Eng (wks)],324)</f>
        <v/>
      </c>
      <c r="O325" s="66">
        <f>INDEX(Projects[Systems Eng (wks)],324)</f>
        <v/>
      </c>
      <c r="P325" s="66">
        <f>INDEX(Projects[Software Eng (wks)],324)</f>
        <v/>
      </c>
      <c r="Q325" s="66">
        <f>INDEX(Projects[M&amp;E Installation (wks)],324)</f>
        <v/>
      </c>
      <c r="R325" s="66">
        <f>INDEX(Projects[Commissioning (wks)],324)</f>
        <v/>
      </c>
      <c r="S325" s="66">
        <f>INDEX(Projects[Total Timeline (wks)],324)</f>
        <v/>
      </c>
      <c r="T325" s="66">
        <f>INDEX(Projects[Currency],324)&amp;""</f>
        <v/>
      </c>
      <c r="U325" s="67">
        <f>INDEX(Projects[Value (M)],324)</f>
        <v/>
      </c>
      <c r="V325" s="66">
        <f>IF('Smart Search'!B13=1,IFERROR(1/'Smart Search'!H13,0),0)</f>
        <v/>
      </c>
      <c r="W325" s="66">
        <f>IF('Smart Search'!B13=1,IFERROR(1/'Smart Search'!H13,0),0)</f>
        <v/>
      </c>
      <c r="X325" s="66">
        <f>IF('Smart Search'!C13=1,IFERROR(1/'Smart Search'!H13,0),0)</f>
        <v/>
      </c>
      <c r="Y325" s="66">
        <f>IF('Smart Search'!C13=1,IFERROR(1/'Smart Search'!H13,0),0)</f>
        <v/>
      </c>
      <c r="Z325" s="66">
        <f>IF('Smart Search'!D13=1,IFERROR(1/'Smart Search'!H13,0),0)</f>
        <v/>
      </c>
      <c r="AA325" s="66">
        <f>IF('Smart Search'!D13=1,IFERROR(1/'Smart Search'!H13,0),0)</f>
        <v/>
      </c>
      <c r="AB325" s="66">
        <f>IF('Smart Search'!E13=1,IFERROR(1/'Smart Search'!H13,0),0)</f>
        <v/>
      </c>
      <c r="AC325" s="66">
        <f>IF('Smart Search'!E13=1,IFERROR(1/'Smart Search'!H13,0),0)</f>
        <v/>
      </c>
      <c r="AD325" s="66">
        <f>IF('Smart Search'!F13=1,IFERROR(1/'Smart Search'!H13,0),0)</f>
        <v/>
      </c>
      <c r="AE325" s="66">
        <f>IF('Smart Search'!F13=1,IFERROR(1/'Smart Search'!H13,0),0)</f>
        <v/>
      </c>
      <c r="AF325" s="66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66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66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66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66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66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66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66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66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66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66">
        <f>AF325*V325</f>
        <v/>
      </c>
      <c r="AQ325" s="66">
        <f>AG325*W325</f>
        <v/>
      </c>
      <c r="AR325" s="66">
        <f>AH325*X325</f>
        <v/>
      </c>
      <c r="AS325" s="66">
        <f>AI325*Y325</f>
        <v/>
      </c>
      <c r="AT325" s="66">
        <f>AJ325*Z325</f>
        <v/>
      </c>
      <c r="AU325" s="66">
        <f>AK325*AA325</f>
        <v/>
      </c>
      <c r="AV325" s="66">
        <f>AL325*AB325</f>
        <v/>
      </c>
      <c r="AW325" s="66">
        <f>AM325*AC325</f>
        <v/>
      </c>
      <c r="AX325" s="66">
        <f>AN325*AD325</f>
        <v/>
      </c>
      <c r="AY325" s="66">
        <f>AO325*AE325</f>
        <v/>
      </c>
      <c r="AZ325" s="66">
        <f>INDEX(Projects[Automation Equipment],324)&amp;""</f>
        <v/>
      </c>
      <c r="BA325" s="66">
        <f>IF(OR(A325="",'Smart Search'!H13=0),"",MAX(0,BE325*BF325*MAX(0,1-BG325)))</f>
        <v/>
      </c>
      <c r="BB325" s="66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66">
        <f>IF('Smart Search'!G13=1,IFERROR(1/'Smart Search'!H13,0),0)</f>
        <v/>
      </c>
      <c r="BD325" s="66">
        <f>BB325*BC325</f>
        <v/>
      </c>
      <c r="BE325" s="66">
        <f>AP325+AQ325+AR325+AS325+AT325+AU325+AV325+AW325+AX325+AY325+BD325</f>
        <v/>
      </c>
      <c r="BF325" s="5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5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5">
        <f>IF(AND(A325&lt;&gt;"",OR('Smart Search'!$L$5="",'Smart Search'!$L$5="All",TRIM(BZ325)=TRIM('Smart Search'!$L$5)),OR(TRIM('Smart Search'!$L$6)="",TRIM('Smart Search'!$L$6)="All",ISNUMBER(SEARCH(SUBSTITUTE(SUBSTITUTE(SUBSTITUTE(TRIM('Smart Search'!$L$6),"~","~~"),"*","~*"),"?","~?"),CA325))),OR('Smart Search'!$L$7="",AND(CB325&lt;&gt;0,CB325='Smart Search'!$L$7)),OR('Smart Search'!$L$8="",'Smart Search'!$L$8="All",TRIM(CC325)=TRIM('Smart Search'!$L$8))),IF(BA325="","",BA325+ROW()*0.0000000001),"")</f>
        <v/>
      </c>
      <c r="BI325" s="5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5">
        <f>IF(A325="","",N(INDEX(Projects[Mech Inst],324)))</f>
        <v/>
      </c>
      <c r="BK325" s="5">
        <f>IF(A325="","",N(INDEX(Projects[Elec Inst],324)))</f>
        <v/>
      </c>
      <c r="BL325" s="5">
        <f>IF(A325="","",N(INDEX(Projects[Project Management],324)))</f>
        <v/>
      </c>
      <c r="BM325" s="5">
        <f>IF(A325="","",N(INDEX(Projects[Systems Eng],324)))</f>
        <v/>
      </c>
      <c r="BN325" s="5">
        <f>IF(A325="","",N(INDEX(Projects[Mechanical Eng],324)))</f>
        <v/>
      </c>
      <c r="BO325" s="5">
        <f>IF(A325="","",N(INDEX(Projects[Structural Engineering],324)))</f>
        <v/>
      </c>
      <c r="BP325" s="5">
        <f>IF(A325="","",N(INDEX(Projects[Site Sup],324)))</f>
        <v/>
      </c>
      <c r="BQ325" s="5">
        <f>IF(A325="","",N(INDEX(Projects[Controls Commissioning],324)))</f>
        <v/>
      </c>
      <c r="BR325" s="5">
        <f>IF(A325="","",N(INDEX(Projects[Systems Commissioning],324)))</f>
        <v/>
      </c>
      <c r="BS325" s="5">
        <f>IF(A325="","",N(INDEX(Projects[Service Commissioning],324)))</f>
        <v/>
      </c>
      <c r="BT325" s="5">
        <f>IF(A325="","",N(INDEX(Projects[Controls Eng],324)))</f>
        <v/>
      </c>
      <c r="BU325" s="5">
        <f>IF(A325="","",N(INDEX(Projects[Controls Purchase],324)))</f>
        <v/>
      </c>
      <c r="BV325" s="5">
        <f>IF(A325="","",N(INDEX(Projects[Software Eng],324)))</f>
        <v/>
      </c>
      <c r="BW325" s="5">
        <f>IF(A325="","",N(INDEX(Projects[Misc],324)))</f>
        <v/>
      </c>
      <c r="BX325" s="5">
        <f>IF(A325="","",SUM(BJ325:BW325))</f>
        <v/>
      </c>
      <c r="BY325" s="5">
        <f>IF(A325="","",IFERROR(IF(ISNUMBER(U325),U325,VALUE(SUBSTITUTE(SUBSTITUTE(SUBSTITUTE(UPPER(TRIM(U325)),"M",""),",","")," ",""))),0))</f>
        <v/>
      </c>
      <c r="BZ325" s="5">
        <f>INDEX(Projects[Solution Type],324)&amp;""</f>
        <v/>
      </c>
      <c r="CA325" s="5">
        <f>INDEX(Projects[Client / Region],324)&amp;""</f>
        <v/>
      </c>
      <c r="CB325" s="5">
        <f>INDEX(Projects[Year],324)</f>
        <v/>
      </c>
      <c r="CC325" s="5">
        <f>INDEX(Projects[Won?],324)&amp;""</f>
        <v/>
      </c>
      <c r="CD325" s="5">
        <f>INDEX(Projects[Value (USD M)],324)</f>
        <v/>
      </c>
    </row>
    <row r="326" ht="15" customHeight="1" s="74">
      <c r="A326" s="66">
        <f>INDEX(Projects[Project ID *],325)&amp;""</f>
        <v/>
      </c>
      <c r="B326" s="66">
        <f>INDEX(Projects[Project Name *],325)&amp;""</f>
        <v/>
      </c>
      <c r="C326" s="66">
        <f>INDEX(Projects[MS Shuttles],325)</f>
        <v/>
      </c>
      <c r="D326" s="66">
        <f>INDEX(Projects[MS Tote Locations],325)</f>
        <v/>
      </c>
      <c r="E326" s="66">
        <f>INDEX(Projects[AS Robots],325)</f>
        <v/>
      </c>
      <c r="F326" s="66">
        <f>INDEX(Projects[AS Tote Locations],325)</f>
        <v/>
      </c>
      <c r="G326" s="66">
        <f>INDEX(Projects[PS Shuttles],325)</f>
        <v/>
      </c>
      <c r="H326" s="66">
        <f>INDEX(Projects[PS Pallet Locations],325)</f>
        <v/>
      </c>
      <c r="I326" s="66">
        <f>INDEX(Projects[SRM Cranes],325)</f>
        <v/>
      </c>
      <c r="J326" s="66">
        <f>INDEX(Projects[SRM Pallet Locations],325)</f>
        <v/>
      </c>
      <c r="K326" s="66">
        <f>INDEX(Projects[Case Conv (m)],325)</f>
        <v/>
      </c>
      <c r="L326" s="66">
        <f>INDEX(Projects[Pallet Conv (m)],325)</f>
        <v/>
      </c>
      <c r="M326" s="66">
        <f>INDEX(Projects[Mech Eng (wks)],325)</f>
        <v/>
      </c>
      <c r="N326" s="66">
        <f>INDEX(Projects[Controls Eng (wks)],325)</f>
        <v/>
      </c>
      <c r="O326" s="66">
        <f>INDEX(Projects[Systems Eng (wks)],325)</f>
        <v/>
      </c>
      <c r="P326" s="66">
        <f>INDEX(Projects[Software Eng (wks)],325)</f>
        <v/>
      </c>
      <c r="Q326" s="66">
        <f>INDEX(Projects[M&amp;E Installation (wks)],325)</f>
        <v/>
      </c>
      <c r="R326" s="66">
        <f>INDEX(Projects[Commissioning (wks)],325)</f>
        <v/>
      </c>
      <c r="S326" s="66">
        <f>INDEX(Projects[Total Timeline (wks)],325)</f>
        <v/>
      </c>
      <c r="T326" s="66">
        <f>INDEX(Projects[Currency],325)&amp;""</f>
        <v/>
      </c>
      <c r="U326" s="67">
        <f>INDEX(Projects[Value (M)],325)</f>
        <v/>
      </c>
      <c r="V326" s="66">
        <f>IF('Smart Search'!B13=1,IFERROR(1/'Smart Search'!H13,0),0)</f>
        <v/>
      </c>
      <c r="W326" s="66">
        <f>IF('Smart Search'!B13=1,IFERROR(1/'Smart Search'!H13,0),0)</f>
        <v/>
      </c>
      <c r="X326" s="66">
        <f>IF('Smart Search'!C13=1,IFERROR(1/'Smart Search'!H13,0),0)</f>
        <v/>
      </c>
      <c r="Y326" s="66">
        <f>IF('Smart Search'!C13=1,IFERROR(1/'Smart Search'!H13,0),0)</f>
        <v/>
      </c>
      <c r="Z326" s="66">
        <f>IF('Smart Search'!D13=1,IFERROR(1/'Smart Search'!H13,0),0)</f>
        <v/>
      </c>
      <c r="AA326" s="66">
        <f>IF('Smart Search'!D13=1,IFERROR(1/'Smart Search'!H13,0),0)</f>
        <v/>
      </c>
      <c r="AB326" s="66">
        <f>IF('Smart Search'!E13=1,IFERROR(1/'Smart Search'!H13,0),0)</f>
        <v/>
      </c>
      <c r="AC326" s="66">
        <f>IF('Smart Search'!E13=1,IFERROR(1/'Smart Search'!H13,0),0)</f>
        <v/>
      </c>
      <c r="AD326" s="66">
        <f>IF('Smart Search'!F13=1,IFERROR(1/'Smart Search'!H13,0),0)</f>
        <v/>
      </c>
      <c r="AE326" s="66">
        <f>IF('Smart Search'!F13=1,IFERROR(1/'Smart Search'!H13,0),0)</f>
        <v/>
      </c>
      <c r="AF326" s="66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66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66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66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66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66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66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66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66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66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66">
        <f>AF326*V326</f>
        <v/>
      </c>
      <c r="AQ326" s="66">
        <f>AG326*W326</f>
        <v/>
      </c>
      <c r="AR326" s="66">
        <f>AH326*X326</f>
        <v/>
      </c>
      <c r="AS326" s="66">
        <f>AI326*Y326</f>
        <v/>
      </c>
      <c r="AT326" s="66">
        <f>AJ326*Z326</f>
        <v/>
      </c>
      <c r="AU326" s="66">
        <f>AK326*AA326</f>
        <v/>
      </c>
      <c r="AV326" s="66">
        <f>AL326*AB326</f>
        <v/>
      </c>
      <c r="AW326" s="66">
        <f>AM326*AC326</f>
        <v/>
      </c>
      <c r="AX326" s="66">
        <f>AN326*AD326</f>
        <v/>
      </c>
      <c r="AY326" s="66">
        <f>AO326*AE326</f>
        <v/>
      </c>
      <c r="AZ326" s="66">
        <f>INDEX(Projects[Automation Equipment],325)&amp;""</f>
        <v/>
      </c>
      <c r="BA326" s="66">
        <f>IF(OR(A326="",'Smart Search'!H13=0),"",MAX(0,BE326*BF326*MAX(0,1-BG326)))</f>
        <v/>
      </c>
      <c r="BB326" s="66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66">
        <f>IF('Smart Search'!G13=1,IFERROR(1/'Smart Search'!H13,0),0)</f>
        <v/>
      </c>
      <c r="BD326" s="66">
        <f>BB326*BC326</f>
        <v/>
      </c>
      <c r="BE326" s="66">
        <f>AP326+AQ326+AR326+AS326+AT326+AU326+AV326+AW326+AX326+AY326+BD326</f>
        <v/>
      </c>
      <c r="BF326" s="5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5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5">
        <f>IF(AND(A326&lt;&gt;"",OR('Smart Search'!$L$5="",'Smart Search'!$L$5="All",TRIM(BZ326)=TRIM('Smart Search'!$L$5)),OR(TRIM('Smart Search'!$L$6)="",TRIM('Smart Search'!$L$6)="All",ISNUMBER(SEARCH(SUBSTITUTE(SUBSTITUTE(SUBSTITUTE(TRIM('Smart Search'!$L$6),"~","~~"),"*","~*"),"?","~?"),CA326))),OR('Smart Search'!$L$7="",AND(CB326&lt;&gt;0,CB326='Smart Search'!$L$7)),OR('Smart Search'!$L$8="",'Smart Search'!$L$8="All",TRIM(CC326)=TRIM('Smart Search'!$L$8))),IF(BA326="","",BA326+ROW()*0.0000000001),"")</f>
        <v/>
      </c>
      <c r="BI326" s="5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5">
        <f>IF(A326="","",N(INDEX(Projects[Mech Inst],325)))</f>
        <v/>
      </c>
      <c r="BK326" s="5">
        <f>IF(A326="","",N(INDEX(Projects[Elec Inst],325)))</f>
        <v/>
      </c>
      <c r="BL326" s="5">
        <f>IF(A326="","",N(INDEX(Projects[Project Management],325)))</f>
        <v/>
      </c>
      <c r="BM326" s="5">
        <f>IF(A326="","",N(INDEX(Projects[Systems Eng],325)))</f>
        <v/>
      </c>
      <c r="BN326" s="5">
        <f>IF(A326="","",N(INDEX(Projects[Mechanical Eng],325)))</f>
        <v/>
      </c>
      <c r="BO326" s="5">
        <f>IF(A326="","",N(INDEX(Projects[Structural Engineering],325)))</f>
        <v/>
      </c>
      <c r="BP326" s="5">
        <f>IF(A326="","",N(INDEX(Projects[Site Sup],325)))</f>
        <v/>
      </c>
      <c r="BQ326" s="5">
        <f>IF(A326="","",N(INDEX(Projects[Controls Commissioning],325)))</f>
        <v/>
      </c>
      <c r="BR326" s="5">
        <f>IF(A326="","",N(INDEX(Projects[Systems Commissioning],325)))</f>
        <v/>
      </c>
      <c r="BS326" s="5">
        <f>IF(A326="","",N(INDEX(Projects[Service Commissioning],325)))</f>
        <v/>
      </c>
      <c r="BT326" s="5">
        <f>IF(A326="","",N(INDEX(Projects[Controls Eng],325)))</f>
        <v/>
      </c>
      <c r="BU326" s="5">
        <f>IF(A326="","",N(INDEX(Projects[Controls Purchase],325)))</f>
        <v/>
      </c>
      <c r="BV326" s="5">
        <f>IF(A326="","",N(INDEX(Projects[Software Eng],325)))</f>
        <v/>
      </c>
      <c r="BW326" s="5">
        <f>IF(A326="","",N(INDEX(Projects[Misc],325)))</f>
        <v/>
      </c>
      <c r="BX326" s="5">
        <f>IF(A326="","",SUM(BJ326:BW326))</f>
        <v/>
      </c>
      <c r="BY326" s="5">
        <f>IF(A326="","",IFERROR(IF(ISNUMBER(U326),U326,VALUE(SUBSTITUTE(SUBSTITUTE(SUBSTITUTE(UPPER(TRIM(U326)),"M",""),",","")," ",""))),0))</f>
        <v/>
      </c>
      <c r="BZ326" s="5">
        <f>INDEX(Projects[Solution Type],325)&amp;""</f>
        <v/>
      </c>
      <c r="CA326" s="5">
        <f>INDEX(Projects[Client / Region],325)&amp;""</f>
        <v/>
      </c>
      <c r="CB326" s="5">
        <f>INDEX(Projects[Year],325)</f>
        <v/>
      </c>
      <c r="CC326" s="5">
        <f>INDEX(Projects[Won?],325)&amp;""</f>
        <v/>
      </c>
      <c r="CD326" s="5">
        <f>INDEX(Projects[Value (USD M)],325)</f>
        <v/>
      </c>
    </row>
    <row r="327" ht="15" customHeight="1" s="74">
      <c r="A327" s="66">
        <f>INDEX(Projects[Project ID *],326)&amp;""</f>
        <v/>
      </c>
      <c r="B327" s="66">
        <f>INDEX(Projects[Project Name *],326)&amp;""</f>
        <v/>
      </c>
      <c r="C327" s="66">
        <f>INDEX(Projects[MS Shuttles],326)</f>
        <v/>
      </c>
      <c r="D327" s="66">
        <f>INDEX(Projects[MS Tote Locations],326)</f>
        <v/>
      </c>
      <c r="E327" s="66">
        <f>INDEX(Projects[AS Robots],326)</f>
        <v/>
      </c>
      <c r="F327" s="66">
        <f>INDEX(Projects[AS Tote Locations],326)</f>
        <v/>
      </c>
      <c r="G327" s="66">
        <f>INDEX(Projects[PS Shuttles],326)</f>
        <v/>
      </c>
      <c r="H327" s="66">
        <f>INDEX(Projects[PS Pallet Locations],326)</f>
        <v/>
      </c>
      <c r="I327" s="66">
        <f>INDEX(Projects[SRM Cranes],326)</f>
        <v/>
      </c>
      <c r="J327" s="66">
        <f>INDEX(Projects[SRM Pallet Locations],326)</f>
        <v/>
      </c>
      <c r="K327" s="66">
        <f>INDEX(Projects[Case Conv (m)],326)</f>
        <v/>
      </c>
      <c r="L327" s="66">
        <f>INDEX(Projects[Pallet Conv (m)],326)</f>
        <v/>
      </c>
      <c r="M327" s="66">
        <f>INDEX(Projects[Mech Eng (wks)],326)</f>
        <v/>
      </c>
      <c r="N327" s="66">
        <f>INDEX(Projects[Controls Eng (wks)],326)</f>
        <v/>
      </c>
      <c r="O327" s="66">
        <f>INDEX(Projects[Systems Eng (wks)],326)</f>
        <v/>
      </c>
      <c r="P327" s="66">
        <f>INDEX(Projects[Software Eng (wks)],326)</f>
        <v/>
      </c>
      <c r="Q327" s="66">
        <f>INDEX(Projects[M&amp;E Installation (wks)],326)</f>
        <v/>
      </c>
      <c r="R327" s="66">
        <f>INDEX(Projects[Commissioning (wks)],326)</f>
        <v/>
      </c>
      <c r="S327" s="66">
        <f>INDEX(Projects[Total Timeline (wks)],326)</f>
        <v/>
      </c>
      <c r="T327" s="66">
        <f>INDEX(Projects[Currency],326)&amp;""</f>
        <v/>
      </c>
      <c r="U327" s="67">
        <f>INDEX(Projects[Value (M)],326)</f>
        <v/>
      </c>
      <c r="V327" s="66">
        <f>IF('Smart Search'!B13=1,IFERROR(1/'Smart Search'!H13,0),0)</f>
        <v/>
      </c>
      <c r="W327" s="66">
        <f>IF('Smart Search'!B13=1,IFERROR(1/'Smart Search'!H13,0),0)</f>
        <v/>
      </c>
      <c r="X327" s="66">
        <f>IF('Smart Search'!C13=1,IFERROR(1/'Smart Search'!H13,0),0)</f>
        <v/>
      </c>
      <c r="Y327" s="66">
        <f>IF('Smart Search'!C13=1,IFERROR(1/'Smart Search'!H13,0),0)</f>
        <v/>
      </c>
      <c r="Z327" s="66">
        <f>IF('Smart Search'!D13=1,IFERROR(1/'Smart Search'!H13,0),0)</f>
        <v/>
      </c>
      <c r="AA327" s="66">
        <f>IF('Smart Search'!D13=1,IFERROR(1/'Smart Search'!H13,0),0)</f>
        <v/>
      </c>
      <c r="AB327" s="66">
        <f>IF('Smart Search'!E13=1,IFERROR(1/'Smart Search'!H13,0),0)</f>
        <v/>
      </c>
      <c r="AC327" s="66">
        <f>IF('Smart Search'!E13=1,IFERROR(1/'Smart Search'!H13,0),0)</f>
        <v/>
      </c>
      <c r="AD327" s="66">
        <f>IF('Smart Search'!F13=1,IFERROR(1/'Smart Search'!H13,0),0)</f>
        <v/>
      </c>
      <c r="AE327" s="66">
        <f>IF('Smart Search'!F13=1,IFERROR(1/'Smart Search'!H13,0),0)</f>
        <v/>
      </c>
      <c r="AF327" s="66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66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66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66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66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66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66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66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66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66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66">
        <f>AF327*V327</f>
        <v/>
      </c>
      <c r="AQ327" s="66">
        <f>AG327*W327</f>
        <v/>
      </c>
      <c r="AR327" s="66">
        <f>AH327*X327</f>
        <v/>
      </c>
      <c r="AS327" s="66">
        <f>AI327*Y327</f>
        <v/>
      </c>
      <c r="AT327" s="66">
        <f>AJ327*Z327</f>
        <v/>
      </c>
      <c r="AU327" s="66">
        <f>AK327*AA327</f>
        <v/>
      </c>
      <c r="AV327" s="66">
        <f>AL327*AB327</f>
        <v/>
      </c>
      <c r="AW327" s="66">
        <f>AM327*AC327</f>
        <v/>
      </c>
      <c r="AX327" s="66">
        <f>AN327*AD327</f>
        <v/>
      </c>
      <c r="AY327" s="66">
        <f>AO327*AE327</f>
        <v/>
      </c>
      <c r="AZ327" s="66">
        <f>INDEX(Projects[Automation Equipment],326)&amp;""</f>
        <v/>
      </c>
      <c r="BA327" s="66">
        <f>IF(OR(A327="",'Smart Search'!H13=0),"",MAX(0,BE327*BF327*MAX(0,1-BG327)))</f>
        <v/>
      </c>
      <c r="BB327" s="66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66">
        <f>IF('Smart Search'!G13=1,IFERROR(1/'Smart Search'!H13,0),0)</f>
        <v/>
      </c>
      <c r="BD327" s="66">
        <f>BB327*BC327</f>
        <v/>
      </c>
      <c r="BE327" s="66">
        <f>AP327+AQ327+AR327+AS327+AT327+AU327+AV327+AW327+AX327+AY327+BD327</f>
        <v/>
      </c>
      <c r="BF327" s="5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5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5">
        <f>IF(AND(A327&lt;&gt;"",OR('Smart Search'!$L$5="",'Smart Search'!$L$5="All",TRIM(BZ327)=TRIM('Smart Search'!$L$5)),OR(TRIM('Smart Search'!$L$6)="",TRIM('Smart Search'!$L$6)="All",ISNUMBER(SEARCH(SUBSTITUTE(SUBSTITUTE(SUBSTITUTE(TRIM('Smart Search'!$L$6),"~","~~"),"*","~*"),"?","~?"),CA327))),OR('Smart Search'!$L$7="",AND(CB327&lt;&gt;0,CB327='Smart Search'!$L$7)),OR('Smart Search'!$L$8="",'Smart Search'!$L$8="All",TRIM(CC327)=TRIM('Smart Search'!$L$8))),IF(BA327="","",BA327+ROW()*0.0000000001),"")</f>
        <v/>
      </c>
      <c r="BI327" s="5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5">
        <f>IF(A327="","",N(INDEX(Projects[Mech Inst],326)))</f>
        <v/>
      </c>
      <c r="BK327" s="5">
        <f>IF(A327="","",N(INDEX(Projects[Elec Inst],326)))</f>
        <v/>
      </c>
      <c r="BL327" s="5">
        <f>IF(A327="","",N(INDEX(Projects[Project Management],326)))</f>
        <v/>
      </c>
      <c r="BM327" s="5">
        <f>IF(A327="","",N(INDEX(Projects[Systems Eng],326)))</f>
        <v/>
      </c>
      <c r="BN327" s="5">
        <f>IF(A327="","",N(INDEX(Projects[Mechanical Eng],326)))</f>
        <v/>
      </c>
      <c r="BO327" s="5">
        <f>IF(A327="","",N(INDEX(Projects[Structural Engineering],326)))</f>
        <v/>
      </c>
      <c r="BP327" s="5">
        <f>IF(A327="","",N(INDEX(Projects[Site Sup],326)))</f>
        <v/>
      </c>
      <c r="BQ327" s="5">
        <f>IF(A327="","",N(INDEX(Projects[Controls Commissioning],326)))</f>
        <v/>
      </c>
      <c r="BR327" s="5">
        <f>IF(A327="","",N(INDEX(Projects[Systems Commissioning],326)))</f>
        <v/>
      </c>
      <c r="BS327" s="5">
        <f>IF(A327="","",N(INDEX(Projects[Service Commissioning],326)))</f>
        <v/>
      </c>
      <c r="BT327" s="5">
        <f>IF(A327="","",N(INDEX(Projects[Controls Eng],326)))</f>
        <v/>
      </c>
      <c r="BU327" s="5">
        <f>IF(A327="","",N(INDEX(Projects[Controls Purchase],326)))</f>
        <v/>
      </c>
      <c r="BV327" s="5">
        <f>IF(A327="","",N(INDEX(Projects[Software Eng],326)))</f>
        <v/>
      </c>
      <c r="BW327" s="5">
        <f>IF(A327="","",N(INDEX(Projects[Misc],326)))</f>
        <v/>
      </c>
      <c r="BX327" s="5">
        <f>IF(A327="","",SUM(BJ327:BW327))</f>
        <v/>
      </c>
      <c r="BY327" s="5">
        <f>IF(A327="","",IFERROR(IF(ISNUMBER(U327),U327,VALUE(SUBSTITUTE(SUBSTITUTE(SUBSTITUTE(UPPER(TRIM(U327)),"M",""),",","")," ",""))),0))</f>
        <v/>
      </c>
      <c r="BZ327" s="5">
        <f>INDEX(Projects[Solution Type],326)&amp;""</f>
        <v/>
      </c>
      <c r="CA327" s="5">
        <f>INDEX(Projects[Client / Region],326)&amp;""</f>
        <v/>
      </c>
      <c r="CB327" s="5">
        <f>INDEX(Projects[Year],326)</f>
        <v/>
      </c>
      <c r="CC327" s="5">
        <f>INDEX(Projects[Won?],326)&amp;""</f>
        <v/>
      </c>
      <c r="CD327" s="5">
        <f>INDEX(Projects[Value (USD M)],326)</f>
        <v/>
      </c>
    </row>
    <row r="328" ht="15" customHeight="1" s="74">
      <c r="A328" s="66">
        <f>INDEX(Projects[Project ID *],327)&amp;""</f>
        <v/>
      </c>
      <c r="B328" s="66">
        <f>INDEX(Projects[Project Name *],327)&amp;""</f>
        <v/>
      </c>
      <c r="C328" s="66">
        <f>INDEX(Projects[MS Shuttles],327)</f>
        <v/>
      </c>
      <c r="D328" s="66">
        <f>INDEX(Projects[MS Tote Locations],327)</f>
        <v/>
      </c>
      <c r="E328" s="66">
        <f>INDEX(Projects[AS Robots],327)</f>
        <v/>
      </c>
      <c r="F328" s="66">
        <f>INDEX(Projects[AS Tote Locations],327)</f>
        <v/>
      </c>
      <c r="G328" s="66">
        <f>INDEX(Projects[PS Shuttles],327)</f>
        <v/>
      </c>
      <c r="H328" s="66">
        <f>INDEX(Projects[PS Pallet Locations],327)</f>
        <v/>
      </c>
      <c r="I328" s="66">
        <f>INDEX(Projects[SRM Cranes],327)</f>
        <v/>
      </c>
      <c r="J328" s="66">
        <f>INDEX(Projects[SRM Pallet Locations],327)</f>
        <v/>
      </c>
      <c r="K328" s="66">
        <f>INDEX(Projects[Case Conv (m)],327)</f>
        <v/>
      </c>
      <c r="L328" s="66">
        <f>INDEX(Projects[Pallet Conv (m)],327)</f>
        <v/>
      </c>
      <c r="M328" s="66">
        <f>INDEX(Projects[Mech Eng (wks)],327)</f>
        <v/>
      </c>
      <c r="N328" s="66">
        <f>INDEX(Projects[Controls Eng (wks)],327)</f>
        <v/>
      </c>
      <c r="O328" s="66">
        <f>INDEX(Projects[Systems Eng (wks)],327)</f>
        <v/>
      </c>
      <c r="P328" s="66">
        <f>INDEX(Projects[Software Eng (wks)],327)</f>
        <v/>
      </c>
      <c r="Q328" s="66">
        <f>INDEX(Projects[M&amp;E Installation (wks)],327)</f>
        <v/>
      </c>
      <c r="R328" s="66">
        <f>INDEX(Projects[Commissioning (wks)],327)</f>
        <v/>
      </c>
      <c r="S328" s="66">
        <f>INDEX(Projects[Total Timeline (wks)],327)</f>
        <v/>
      </c>
      <c r="T328" s="66">
        <f>INDEX(Projects[Currency],327)&amp;""</f>
        <v/>
      </c>
      <c r="U328" s="67">
        <f>INDEX(Projects[Value (M)],327)</f>
        <v/>
      </c>
      <c r="V328" s="66">
        <f>IF('Smart Search'!B13=1,IFERROR(1/'Smart Search'!H13,0),0)</f>
        <v/>
      </c>
      <c r="W328" s="66">
        <f>IF('Smart Search'!B13=1,IFERROR(1/'Smart Search'!H13,0),0)</f>
        <v/>
      </c>
      <c r="X328" s="66">
        <f>IF('Smart Search'!C13=1,IFERROR(1/'Smart Search'!H13,0),0)</f>
        <v/>
      </c>
      <c r="Y328" s="66">
        <f>IF('Smart Search'!C13=1,IFERROR(1/'Smart Search'!H13,0),0)</f>
        <v/>
      </c>
      <c r="Z328" s="66">
        <f>IF('Smart Search'!D13=1,IFERROR(1/'Smart Search'!H13,0),0)</f>
        <v/>
      </c>
      <c r="AA328" s="66">
        <f>IF('Smart Search'!D13=1,IFERROR(1/'Smart Search'!H13,0),0)</f>
        <v/>
      </c>
      <c r="AB328" s="66">
        <f>IF('Smart Search'!E13=1,IFERROR(1/'Smart Search'!H13,0),0)</f>
        <v/>
      </c>
      <c r="AC328" s="66">
        <f>IF('Smart Search'!E13=1,IFERROR(1/'Smart Search'!H13,0),0)</f>
        <v/>
      </c>
      <c r="AD328" s="66">
        <f>IF('Smart Search'!F13=1,IFERROR(1/'Smart Search'!H13,0),0)</f>
        <v/>
      </c>
      <c r="AE328" s="66">
        <f>IF('Smart Search'!F13=1,IFERROR(1/'Smart Search'!H13,0),0)</f>
        <v/>
      </c>
      <c r="AF328" s="66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66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66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66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66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66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66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66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66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66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66">
        <f>AF328*V328</f>
        <v/>
      </c>
      <c r="AQ328" s="66">
        <f>AG328*W328</f>
        <v/>
      </c>
      <c r="AR328" s="66">
        <f>AH328*X328</f>
        <v/>
      </c>
      <c r="AS328" s="66">
        <f>AI328*Y328</f>
        <v/>
      </c>
      <c r="AT328" s="66">
        <f>AJ328*Z328</f>
        <v/>
      </c>
      <c r="AU328" s="66">
        <f>AK328*AA328</f>
        <v/>
      </c>
      <c r="AV328" s="66">
        <f>AL328*AB328</f>
        <v/>
      </c>
      <c r="AW328" s="66">
        <f>AM328*AC328</f>
        <v/>
      </c>
      <c r="AX328" s="66">
        <f>AN328*AD328</f>
        <v/>
      </c>
      <c r="AY328" s="66">
        <f>AO328*AE328</f>
        <v/>
      </c>
      <c r="AZ328" s="66">
        <f>INDEX(Projects[Automation Equipment],327)&amp;""</f>
        <v/>
      </c>
      <c r="BA328" s="66">
        <f>IF(OR(A328="",'Smart Search'!H13=0),"",MAX(0,BE328*BF328*MAX(0,1-BG328)))</f>
        <v/>
      </c>
      <c r="BB328" s="66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66">
        <f>IF('Smart Search'!G13=1,IFERROR(1/'Smart Search'!H13,0),0)</f>
        <v/>
      </c>
      <c r="BD328" s="66">
        <f>BB328*BC328</f>
        <v/>
      </c>
      <c r="BE328" s="66">
        <f>AP328+AQ328+AR328+AS328+AT328+AU328+AV328+AW328+AX328+AY328+BD328</f>
        <v/>
      </c>
      <c r="BF328" s="5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5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5">
        <f>IF(AND(A328&lt;&gt;"",OR('Smart Search'!$L$5="",'Smart Search'!$L$5="All",TRIM(BZ328)=TRIM('Smart Search'!$L$5)),OR(TRIM('Smart Search'!$L$6)="",TRIM('Smart Search'!$L$6)="All",ISNUMBER(SEARCH(SUBSTITUTE(SUBSTITUTE(SUBSTITUTE(TRIM('Smart Search'!$L$6),"~","~~"),"*","~*"),"?","~?"),CA328))),OR('Smart Search'!$L$7="",AND(CB328&lt;&gt;0,CB328='Smart Search'!$L$7)),OR('Smart Search'!$L$8="",'Smart Search'!$L$8="All",TRIM(CC328)=TRIM('Smart Search'!$L$8))),IF(BA328="","",BA328+ROW()*0.0000000001),"")</f>
        <v/>
      </c>
      <c r="BI328" s="5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5">
        <f>IF(A328="","",N(INDEX(Projects[Mech Inst],327)))</f>
        <v/>
      </c>
      <c r="BK328" s="5">
        <f>IF(A328="","",N(INDEX(Projects[Elec Inst],327)))</f>
        <v/>
      </c>
      <c r="BL328" s="5">
        <f>IF(A328="","",N(INDEX(Projects[Project Management],327)))</f>
        <v/>
      </c>
      <c r="BM328" s="5">
        <f>IF(A328="","",N(INDEX(Projects[Systems Eng],327)))</f>
        <v/>
      </c>
      <c r="BN328" s="5">
        <f>IF(A328="","",N(INDEX(Projects[Mechanical Eng],327)))</f>
        <v/>
      </c>
      <c r="BO328" s="5">
        <f>IF(A328="","",N(INDEX(Projects[Structural Engineering],327)))</f>
        <v/>
      </c>
      <c r="BP328" s="5">
        <f>IF(A328="","",N(INDEX(Projects[Site Sup],327)))</f>
        <v/>
      </c>
      <c r="BQ328" s="5">
        <f>IF(A328="","",N(INDEX(Projects[Controls Commissioning],327)))</f>
        <v/>
      </c>
      <c r="BR328" s="5">
        <f>IF(A328="","",N(INDEX(Projects[Systems Commissioning],327)))</f>
        <v/>
      </c>
      <c r="BS328" s="5">
        <f>IF(A328="","",N(INDEX(Projects[Service Commissioning],327)))</f>
        <v/>
      </c>
      <c r="BT328" s="5">
        <f>IF(A328="","",N(INDEX(Projects[Controls Eng],327)))</f>
        <v/>
      </c>
      <c r="BU328" s="5">
        <f>IF(A328="","",N(INDEX(Projects[Controls Purchase],327)))</f>
        <v/>
      </c>
      <c r="BV328" s="5">
        <f>IF(A328="","",N(INDEX(Projects[Software Eng],327)))</f>
        <v/>
      </c>
      <c r="BW328" s="5">
        <f>IF(A328="","",N(INDEX(Projects[Misc],327)))</f>
        <v/>
      </c>
      <c r="BX328" s="5">
        <f>IF(A328="","",SUM(BJ328:BW328))</f>
        <v/>
      </c>
      <c r="BY328" s="5">
        <f>IF(A328="","",IFERROR(IF(ISNUMBER(U328),U328,VALUE(SUBSTITUTE(SUBSTITUTE(SUBSTITUTE(UPPER(TRIM(U328)),"M",""),",","")," ",""))),0))</f>
        <v/>
      </c>
      <c r="BZ328" s="5">
        <f>INDEX(Projects[Solution Type],327)&amp;""</f>
        <v/>
      </c>
      <c r="CA328" s="5">
        <f>INDEX(Projects[Client / Region],327)&amp;""</f>
        <v/>
      </c>
      <c r="CB328" s="5">
        <f>INDEX(Projects[Year],327)</f>
        <v/>
      </c>
      <c r="CC328" s="5">
        <f>INDEX(Projects[Won?],327)&amp;""</f>
        <v/>
      </c>
      <c r="CD328" s="5">
        <f>INDEX(Projects[Value (USD M)],327)</f>
        <v/>
      </c>
    </row>
    <row r="329" ht="15" customHeight="1" s="74">
      <c r="A329" s="66">
        <f>INDEX(Projects[Project ID *],328)&amp;""</f>
        <v/>
      </c>
      <c r="B329" s="66">
        <f>INDEX(Projects[Project Name *],328)&amp;""</f>
        <v/>
      </c>
      <c r="C329" s="66">
        <f>INDEX(Projects[MS Shuttles],328)</f>
        <v/>
      </c>
      <c r="D329" s="66">
        <f>INDEX(Projects[MS Tote Locations],328)</f>
        <v/>
      </c>
      <c r="E329" s="66">
        <f>INDEX(Projects[AS Robots],328)</f>
        <v/>
      </c>
      <c r="F329" s="66">
        <f>INDEX(Projects[AS Tote Locations],328)</f>
        <v/>
      </c>
      <c r="G329" s="66">
        <f>INDEX(Projects[PS Shuttles],328)</f>
        <v/>
      </c>
      <c r="H329" s="66">
        <f>INDEX(Projects[PS Pallet Locations],328)</f>
        <v/>
      </c>
      <c r="I329" s="66">
        <f>INDEX(Projects[SRM Cranes],328)</f>
        <v/>
      </c>
      <c r="J329" s="66">
        <f>INDEX(Projects[SRM Pallet Locations],328)</f>
        <v/>
      </c>
      <c r="K329" s="66">
        <f>INDEX(Projects[Case Conv (m)],328)</f>
        <v/>
      </c>
      <c r="L329" s="66">
        <f>INDEX(Projects[Pallet Conv (m)],328)</f>
        <v/>
      </c>
      <c r="M329" s="66">
        <f>INDEX(Projects[Mech Eng (wks)],328)</f>
        <v/>
      </c>
      <c r="N329" s="66">
        <f>INDEX(Projects[Controls Eng (wks)],328)</f>
        <v/>
      </c>
      <c r="O329" s="66">
        <f>INDEX(Projects[Systems Eng (wks)],328)</f>
        <v/>
      </c>
      <c r="P329" s="66">
        <f>INDEX(Projects[Software Eng (wks)],328)</f>
        <v/>
      </c>
      <c r="Q329" s="66">
        <f>INDEX(Projects[M&amp;E Installation (wks)],328)</f>
        <v/>
      </c>
      <c r="R329" s="66">
        <f>INDEX(Projects[Commissioning (wks)],328)</f>
        <v/>
      </c>
      <c r="S329" s="66">
        <f>INDEX(Projects[Total Timeline (wks)],328)</f>
        <v/>
      </c>
      <c r="T329" s="66">
        <f>INDEX(Projects[Currency],328)&amp;""</f>
        <v/>
      </c>
      <c r="U329" s="67">
        <f>INDEX(Projects[Value (M)],328)</f>
        <v/>
      </c>
      <c r="V329" s="66">
        <f>IF('Smart Search'!B13=1,IFERROR(1/'Smart Search'!H13,0),0)</f>
        <v/>
      </c>
      <c r="W329" s="66">
        <f>IF('Smart Search'!B13=1,IFERROR(1/'Smart Search'!H13,0),0)</f>
        <v/>
      </c>
      <c r="X329" s="66">
        <f>IF('Smart Search'!C13=1,IFERROR(1/'Smart Search'!H13,0),0)</f>
        <v/>
      </c>
      <c r="Y329" s="66">
        <f>IF('Smart Search'!C13=1,IFERROR(1/'Smart Search'!H13,0),0)</f>
        <v/>
      </c>
      <c r="Z329" s="66">
        <f>IF('Smart Search'!D13=1,IFERROR(1/'Smart Search'!H13,0),0)</f>
        <v/>
      </c>
      <c r="AA329" s="66">
        <f>IF('Smart Search'!D13=1,IFERROR(1/'Smart Search'!H13,0),0)</f>
        <v/>
      </c>
      <c r="AB329" s="66">
        <f>IF('Smart Search'!E13=1,IFERROR(1/'Smart Search'!H13,0),0)</f>
        <v/>
      </c>
      <c r="AC329" s="66">
        <f>IF('Smart Search'!E13=1,IFERROR(1/'Smart Search'!H13,0),0)</f>
        <v/>
      </c>
      <c r="AD329" s="66">
        <f>IF('Smart Search'!F13=1,IFERROR(1/'Smart Search'!H13,0),0)</f>
        <v/>
      </c>
      <c r="AE329" s="66">
        <f>IF('Smart Search'!F13=1,IFERROR(1/'Smart Search'!H13,0),0)</f>
        <v/>
      </c>
      <c r="AF329" s="66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66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66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66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66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66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66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66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66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66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66">
        <f>AF329*V329</f>
        <v/>
      </c>
      <c r="AQ329" s="66">
        <f>AG329*W329</f>
        <v/>
      </c>
      <c r="AR329" s="66">
        <f>AH329*X329</f>
        <v/>
      </c>
      <c r="AS329" s="66">
        <f>AI329*Y329</f>
        <v/>
      </c>
      <c r="AT329" s="66">
        <f>AJ329*Z329</f>
        <v/>
      </c>
      <c r="AU329" s="66">
        <f>AK329*AA329</f>
        <v/>
      </c>
      <c r="AV329" s="66">
        <f>AL329*AB329</f>
        <v/>
      </c>
      <c r="AW329" s="66">
        <f>AM329*AC329</f>
        <v/>
      </c>
      <c r="AX329" s="66">
        <f>AN329*AD329</f>
        <v/>
      </c>
      <c r="AY329" s="66">
        <f>AO329*AE329</f>
        <v/>
      </c>
      <c r="AZ329" s="66">
        <f>INDEX(Projects[Automation Equipment],328)&amp;""</f>
        <v/>
      </c>
      <c r="BA329" s="66">
        <f>IF(OR(A329="",'Smart Search'!H13=0),"",MAX(0,BE329*BF329*MAX(0,1-BG329)))</f>
        <v/>
      </c>
      <c r="BB329" s="66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66">
        <f>IF('Smart Search'!G13=1,IFERROR(1/'Smart Search'!H13,0),0)</f>
        <v/>
      </c>
      <c r="BD329" s="66">
        <f>BB329*BC329</f>
        <v/>
      </c>
      <c r="BE329" s="66">
        <f>AP329+AQ329+AR329+AS329+AT329+AU329+AV329+AW329+AX329+AY329+BD329</f>
        <v/>
      </c>
      <c r="BF329" s="5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5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5">
        <f>IF(AND(A329&lt;&gt;"",OR('Smart Search'!$L$5="",'Smart Search'!$L$5="All",TRIM(BZ329)=TRIM('Smart Search'!$L$5)),OR(TRIM('Smart Search'!$L$6)="",TRIM('Smart Search'!$L$6)="All",ISNUMBER(SEARCH(SUBSTITUTE(SUBSTITUTE(SUBSTITUTE(TRIM('Smart Search'!$L$6),"~","~~"),"*","~*"),"?","~?"),CA329))),OR('Smart Search'!$L$7="",AND(CB329&lt;&gt;0,CB329='Smart Search'!$L$7)),OR('Smart Search'!$L$8="",'Smart Search'!$L$8="All",TRIM(CC329)=TRIM('Smart Search'!$L$8))),IF(BA329="","",BA329+ROW()*0.0000000001),"")</f>
        <v/>
      </c>
      <c r="BI329" s="5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5">
        <f>IF(A329="","",N(INDEX(Projects[Mech Inst],328)))</f>
        <v/>
      </c>
      <c r="BK329" s="5">
        <f>IF(A329="","",N(INDEX(Projects[Elec Inst],328)))</f>
        <v/>
      </c>
      <c r="BL329" s="5">
        <f>IF(A329="","",N(INDEX(Projects[Project Management],328)))</f>
        <v/>
      </c>
      <c r="BM329" s="5">
        <f>IF(A329="","",N(INDEX(Projects[Systems Eng],328)))</f>
        <v/>
      </c>
      <c r="BN329" s="5">
        <f>IF(A329="","",N(INDEX(Projects[Mechanical Eng],328)))</f>
        <v/>
      </c>
      <c r="BO329" s="5">
        <f>IF(A329="","",N(INDEX(Projects[Structural Engineering],328)))</f>
        <v/>
      </c>
      <c r="BP329" s="5">
        <f>IF(A329="","",N(INDEX(Projects[Site Sup],328)))</f>
        <v/>
      </c>
      <c r="BQ329" s="5">
        <f>IF(A329="","",N(INDEX(Projects[Controls Commissioning],328)))</f>
        <v/>
      </c>
      <c r="BR329" s="5">
        <f>IF(A329="","",N(INDEX(Projects[Systems Commissioning],328)))</f>
        <v/>
      </c>
      <c r="BS329" s="5">
        <f>IF(A329="","",N(INDEX(Projects[Service Commissioning],328)))</f>
        <v/>
      </c>
      <c r="BT329" s="5">
        <f>IF(A329="","",N(INDEX(Projects[Controls Eng],328)))</f>
        <v/>
      </c>
      <c r="BU329" s="5">
        <f>IF(A329="","",N(INDEX(Projects[Controls Purchase],328)))</f>
        <v/>
      </c>
      <c r="BV329" s="5">
        <f>IF(A329="","",N(INDEX(Projects[Software Eng],328)))</f>
        <v/>
      </c>
      <c r="BW329" s="5">
        <f>IF(A329="","",N(INDEX(Projects[Misc],328)))</f>
        <v/>
      </c>
      <c r="BX329" s="5">
        <f>IF(A329="","",SUM(BJ329:BW329))</f>
        <v/>
      </c>
      <c r="BY329" s="5">
        <f>IF(A329="","",IFERROR(IF(ISNUMBER(U329),U329,VALUE(SUBSTITUTE(SUBSTITUTE(SUBSTITUTE(UPPER(TRIM(U329)),"M",""),",","")," ",""))),0))</f>
        <v/>
      </c>
      <c r="BZ329" s="5">
        <f>INDEX(Projects[Solution Type],328)&amp;""</f>
        <v/>
      </c>
      <c r="CA329" s="5">
        <f>INDEX(Projects[Client / Region],328)&amp;""</f>
        <v/>
      </c>
      <c r="CB329" s="5">
        <f>INDEX(Projects[Year],328)</f>
        <v/>
      </c>
      <c r="CC329" s="5">
        <f>INDEX(Projects[Won?],328)&amp;""</f>
        <v/>
      </c>
      <c r="CD329" s="5">
        <f>INDEX(Projects[Value (USD M)],328)</f>
        <v/>
      </c>
    </row>
    <row r="330" ht="15" customHeight="1" s="74">
      <c r="A330" s="66">
        <f>INDEX(Projects[Project ID *],329)&amp;""</f>
        <v/>
      </c>
      <c r="B330" s="66">
        <f>INDEX(Projects[Project Name *],329)&amp;""</f>
        <v/>
      </c>
      <c r="C330" s="66">
        <f>INDEX(Projects[MS Shuttles],329)</f>
        <v/>
      </c>
      <c r="D330" s="66">
        <f>INDEX(Projects[MS Tote Locations],329)</f>
        <v/>
      </c>
      <c r="E330" s="66">
        <f>INDEX(Projects[AS Robots],329)</f>
        <v/>
      </c>
      <c r="F330" s="66">
        <f>INDEX(Projects[AS Tote Locations],329)</f>
        <v/>
      </c>
      <c r="G330" s="66">
        <f>INDEX(Projects[PS Shuttles],329)</f>
        <v/>
      </c>
      <c r="H330" s="66">
        <f>INDEX(Projects[PS Pallet Locations],329)</f>
        <v/>
      </c>
      <c r="I330" s="66">
        <f>INDEX(Projects[SRM Cranes],329)</f>
        <v/>
      </c>
      <c r="J330" s="66">
        <f>INDEX(Projects[SRM Pallet Locations],329)</f>
        <v/>
      </c>
      <c r="K330" s="66">
        <f>INDEX(Projects[Case Conv (m)],329)</f>
        <v/>
      </c>
      <c r="L330" s="66">
        <f>INDEX(Projects[Pallet Conv (m)],329)</f>
        <v/>
      </c>
      <c r="M330" s="66">
        <f>INDEX(Projects[Mech Eng (wks)],329)</f>
        <v/>
      </c>
      <c r="N330" s="66">
        <f>INDEX(Projects[Controls Eng (wks)],329)</f>
        <v/>
      </c>
      <c r="O330" s="66">
        <f>INDEX(Projects[Systems Eng (wks)],329)</f>
        <v/>
      </c>
      <c r="P330" s="66">
        <f>INDEX(Projects[Software Eng (wks)],329)</f>
        <v/>
      </c>
      <c r="Q330" s="66">
        <f>INDEX(Projects[M&amp;E Installation (wks)],329)</f>
        <v/>
      </c>
      <c r="R330" s="66">
        <f>INDEX(Projects[Commissioning (wks)],329)</f>
        <v/>
      </c>
      <c r="S330" s="66">
        <f>INDEX(Projects[Total Timeline (wks)],329)</f>
        <v/>
      </c>
      <c r="T330" s="66">
        <f>INDEX(Projects[Currency],329)&amp;""</f>
        <v/>
      </c>
      <c r="U330" s="67">
        <f>INDEX(Projects[Value (M)],329)</f>
        <v/>
      </c>
      <c r="V330" s="66">
        <f>IF('Smart Search'!B13=1,IFERROR(1/'Smart Search'!H13,0),0)</f>
        <v/>
      </c>
      <c r="W330" s="66">
        <f>IF('Smart Search'!B13=1,IFERROR(1/'Smart Search'!H13,0),0)</f>
        <v/>
      </c>
      <c r="X330" s="66">
        <f>IF('Smart Search'!C13=1,IFERROR(1/'Smart Search'!H13,0),0)</f>
        <v/>
      </c>
      <c r="Y330" s="66">
        <f>IF('Smart Search'!C13=1,IFERROR(1/'Smart Search'!H13,0),0)</f>
        <v/>
      </c>
      <c r="Z330" s="66">
        <f>IF('Smart Search'!D13=1,IFERROR(1/'Smart Search'!H13,0),0)</f>
        <v/>
      </c>
      <c r="AA330" s="66">
        <f>IF('Smart Search'!D13=1,IFERROR(1/'Smart Search'!H13,0),0)</f>
        <v/>
      </c>
      <c r="AB330" s="66">
        <f>IF('Smart Search'!E13=1,IFERROR(1/'Smart Search'!H13,0),0)</f>
        <v/>
      </c>
      <c r="AC330" s="66">
        <f>IF('Smart Search'!E13=1,IFERROR(1/'Smart Search'!H13,0),0)</f>
        <v/>
      </c>
      <c r="AD330" s="66">
        <f>IF('Smart Search'!F13=1,IFERROR(1/'Smart Search'!H13,0),0)</f>
        <v/>
      </c>
      <c r="AE330" s="66">
        <f>IF('Smart Search'!F13=1,IFERROR(1/'Smart Search'!H13,0),0)</f>
        <v/>
      </c>
      <c r="AF330" s="66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66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66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66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66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66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66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66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66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66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66">
        <f>AF330*V330</f>
        <v/>
      </c>
      <c r="AQ330" s="66">
        <f>AG330*W330</f>
        <v/>
      </c>
      <c r="AR330" s="66">
        <f>AH330*X330</f>
        <v/>
      </c>
      <c r="AS330" s="66">
        <f>AI330*Y330</f>
        <v/>
      </c>
      <c r="AT330" s="66">
        <f>AJ330*Z330</f>
        <v/>
      </c>
      <c r="AU330" s="66">
        <f>AK330*AA330</f>
        <v/>
      </c>
      <c r="AV330" s="66">
        <f>AL330*AB330</f>
        <v/>
      </c>
      <c r="AW330" s="66">
        <f>AM330*AC330</f>
        <v/>
      </c>
      <c r="AX330" s="66">
        <f>AN330*AD330</f>
        <v/>
      </c>
      <c r="AY330" s="66">
        <f>AO330*AE330</f>
        <v/>
      </c>
      <c r="AZ330" s="66">
        <f>INDEX(Projects[Automation Equipment],329)&amp;""</f>
        <v/>
      </c>
      <c r="BA330" s="66">
        <f>IF(OR(A330="",'Smart Search'!H13=0),"",MAX(0,BE330*BF330*MAX(0,1-BG330)))</f>
        <v/>
      </c>
      <c r="BB330" s="66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66">
        <f>IF('Smart Search'!G13=1,IFERROR(1/'Smart Search'!H13,0),0)</f>
        <v/>
      </c>
      <c r="BD330" s="66">
        <f>BB330*BC330</f>
        <v/>
      </c>
      <c r="BE330" s="66">
        <f>AP330+AQ330+AR330+AS330+AT330+AU330+AV330+AW330+AX330+AY330+BD330</f>
        <v/>
      </c>
      <c r="BF330" s="5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5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5">
        <f>IF(AND(A330&lt;&gt;"",OR('Smart Search'!$L$5="",'Smart Search'!$L$5="All",TRIM(BZ330)=TRIM('Smart Search'!$L$5)),OR(TRIM('Smart Search'!$L$6)="",TRIM('Smart Search'!$L$6)="All",ISNUMBER(SEARCH(SUBSTITUTE(SUBSTITUTE(SUBSTITUTE(TRIM('Smart Search'!$L$6),"~","~~"),"*","~*"),"?","~?"),CA330))),OR('Smart Search'!$L$7="",AND(CB330&lt;&gt;0,CB330='Smart Search'!$L$7)),OR('Smart Search'!$L$8="",'Smart Search'!$L$8="All",TRIM(CC330)=TRIM('Smart Search'!$L$8))),IF(BA330="","",BA330+ROW()*0.0000000001),"")</f>
        <v/>
      </c>
      <c r="BI330" s="5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5">
        <f>IF(A330="","",N(INDEX(Projects[Mech Inst],329)))</f>
        <v/>
      </c>
      <c r="BK330" s="5">
        <f>IF(A330="","",N(INDEX(Projects[Elec Inst],329)))</f>
        <v/>
      </c>
      <c r="BL330" s="5">
        <f>IF(A330="","",N(INDEX(Projects[Project Management],329)))</f>
        <v/>
      </c>
      <c r="BM330" s="5">
        <f>IF(A330="","",N(INDEX(Projects[Systems Eng],329)))</f>
        <v/>
      </c>
      <c r="BN330" s="5">
        <f>IF(A330="","",N(INDEX(Projects[Mechanical Eng],329)))</f>
        <v/>
      </c>
      <c r="BO330" s="5">
        <f>IF(A330="","",N(INDEX(Projects[Structural Engineering],329)))</f>
        <v/>
      </c>
      <c r="BP330" s="5">
        <f>IF(A330="","",N(INDEX(Projects[Site Sup],329)))</f>
        <v/>
      </c>
      <c r="BQ330" s="5">
        <f>IF(A330="","",N(INDEX(Projects[Controls Commissioning],329)))</f>
        <v/>
      </c>
      <c r="BR330" s="5">
        <f>IF(A330="","",N(INDEX(Projects[Systems Commissioning],329)))</f>
        <v/>
      </c>
      <c r="BS330" s="5">
        <f>IF(A330="","",N(INDEX(Projects[Service Commissioning],329)))</f>
        <v/>
      </c>
      <c r="BT330" s="5">
        <f>IF(A330="","",N(INDEX(Projects[Controls Eng],329)))</f>
        <v/>
      </c>
      <c r="BU330" s="5">
        <f>IF(A330="","",N(INDEX(Projects[Controls Purchase],329)))</f>
        <v/>
      </c>
      <c r="BV330" s="5">
        <f>IF(A330="","",N(INDEX(Projects[Software Eng],329)))</f>
        <v/>
      </c>
      <c r="BW330" s="5">
        <f>IF(A330="","",N(INDEX(Projects[Misc],329)))</f>
        <v/>
      </c>
      <c r="BX330" s="5">
        <f>IF(A330="","",SUM(BJ330:BW330))</f>
        <v/>
      </c>
      <c r="BY330" s="5">
        <f>IF(A330="","",IFERROR(IF(ISNUMBER(U330),U330,VALUE(SUBSTITUTE(SUBSTITUTE(SUBSTITUTE(UPPER(TRIM(U330)),"M",""),",","")," ",""))),0))</f>
        <v/>
      </c>
      <c r="BZ330" s="5">
        <f>INDEX(Projects[Solution Type],329)&amp;""</f>
        <v/>
      </c>
      <c r="CA330" s="5">
        <f>INDEX(Projects[Client / Region],329)&amp;""</f>
        <v/>
      </c>
      <c r="CB330" s="5">
        <f>INDEX(Projects[Year],329)</f>
        <v/>
      </c>
      <c r="CC330" s="5">
        <f>INDEX(Projects[Won?],329)&amp;""</f>
        <v/>
      </c>
      <c r="CD330" s="5">
        <f>INDEX(Projects[Value (USD M)],329)</f>
        <v/>
      </c>
    </row>
    <row r="331" ht="15" customHeight="1" s="74">
      <c r="A331" s="66">
        <f>INDEX(Projects[Project ID *],330)&amp;""</f>
        <v/>
      </c>
      <c r="B331" s="66">
        <f>INDEX(Projects[Project Name *],330)&amp;""</f>
        <v/>
      </c>
      <c r="C331" s="66">
        <f>INDEX(Projects[MS Shuttles],330)</f>
        <v/>
      </c>
      <c r="D331" s="66">
        <f>INDEX(Projects[MS Tote Locations],330)</f>
        <v/>
      </c>
      <c r="E331" s="66">
        <f>INDEX(Projects[AS Robots],330)</f>
        <v/>
      </c>
      <c r="F331" s="66">
        <f>INDEX(Projects[AS Tote Locations],330)</f>
        <v/>
      </c>
      <c r="G331" s="66">
        <f>INDEX(Projects[PS Shuttles],330)</f>
        <v/>
      </c>
      <c r="H331" s="66">
        <f>INDEX(Projects[PS Pallet Locations],330)</f>
        <v/>
      </c>
      <c r="I331" s="66">
        <f>INDEX(Projects[SRM Cranes],330)</f>
        <v/>
      </c>
      <c r="J331" s="66">
        <f>INDEX(Projects[SRM Pallet Locations],330)</f>
        <v/>
      </c>
      <c r="K331" s="66">
        <f>INDEX(Projects[Case Conv (m)],330)</f>
        <v/>
      </c>
      <c r="L331" s="66">
        <f>INDEX(Projects[Pallet Conv (m)],330)</f>
        <v/>
      </c>
      <c r="M331" s="66">
        <f>INDEX(Projects[Mech Eng (wks)],330)</f>
        <v/>
      </c>
      <c r="N331" s="66">
        <f>INDEX(Projects[Controls Eng (wks)],330)</f>
        <v/>
      </c>
      <c r="O331" s="66">
        <f>INDEX(Projects[Systems Eng (wks)],330)</f>
        <v/>
      </c>
      <c r="P331" s="66">
        <f>INDEX(Projects[Software Eng (wks)],330)</f>
        <v/>
      </c>
      <c r="Q331" s="66">
        <f>INDEX(Projects[M&amp;E Installation (wks)],330)</f>
        <v/>
      </c>
      <c r="R331" s="66">
        <f>INDEX(Projects[Commissioning (wks)],330)</f>
        <v/>
      </c>
      <c r="S331" s="66">
        <f>INDEX(Projects[Total Timeline (wks)],330)</f>
        <v/>
      </c>
      <c r="T331" s="66">
        <f>INDEX(Projects[Currency],330)&amp;""</f>
        <v/>
      </c>
      <c r="U331" s="67">
        <f>INDEX(Projects[Value (M)],330)</f>
        <v/>
      </c>
      <c r="V331" s="66">
        <f>IF('Smart Search'!B13=1,IFERROR(1/'Smart Search'!H13,0),0)</f>
        <v/>
      </c>
      <c r="W331" s="66">
        <f>IF('Smart Search'!B13=1,IFERROR(1/'Smart Search'!H13,0),0)</f>
        <v/>
      </c>
      <c r="X331" s="66">
        <f>IF('Smart Search'!C13=1,IFERROR(1/'Smart Search'!H13,0),0)</f>
        <v/>
      </c>
      <c r="Y331" s="66">
        <f>IF('Smart Search'!C13=1,IFERROR(1/'Smart Search'!H13,0),0)</f>
        <v/>
      </c>
      <c r="Z331" s="66">
        <f>IF('Smart Search'!D13=1,IFERROR(1/'Smart Search'!H13,0),0)</f>
        <v/>
      </c>
      <c r="AA331" s="66">
        <f>IF('Smart Search'!D13=1,IFERROR(1/'Smart Search'!H13,0),0)</f>
        <v/>
      </c>
      <c r="AB331" s="66">
        <f>IF('Smart Search'!E13=1,IFERROR(1/'Smart Search'!H13,0),0)</f>
        <v/>
      </c>
      <c r="AC331" s="66">
        <f>IF('Smart Search'!E13=1,IFERROR(1/'Smart Search'!H13,0),0)</f>
        <v/>
      </c>
      <c r="AD331" s="66">
        <f>IF('Smart Search'!F13=1,IFERROR(1/'Smart Search'!H13,0),0)</f>
        <v/>
      </c>
      <c r="AE331" s="66">
        <f>IF('Smart Search'!F13=1,IFERROR(1/'Smart Search'!H13,0),0)</f>
        <v/>
      </c>
      <c r="AF331" s="66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66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66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66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66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66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66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66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66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66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66">
        <f>AF331*V331</f>
        <v/>
      </c>
      <c r="AQ331" s="66">
        <f>AG331*W331</f>
        <v/>
      </c>
      <c r="AR331" s="66">
        <f>AH331*X331</f>
        <v/>
      </c>
      <c r="AS331" s="66">
        <f>AI331*Y331</f>
        <v/>
      </c>
      <c r="AT331" s="66">
        <f>AJ331*Z331</f>
        <v/>
      </c>
      <c r="AU331" s="66">
        <f>AK331*AA331</f>
        <v/>
      </c>
      <c r="AV331" s="66">
        <f>AL331*AB331</f>
        <v/>
      </c>
      <c r="AW331" s="66">
        <f>AM331*AC331</f>
        <v/>
      </c>
      <c r="AX331" s="66">
        <f>AN331*AD331</f>
        <v/>
      </c>
      <c r="AY331" s="66">
        <f>AO331*AE331</f>
        <v/>
      </c>
      <c r="AZ331" s="66">
        <f>INDEX(Projects[Automation Equipment],330)&amp;""</f>
        <v/>
      </c>
      <c r="BA331" s="66">
        <f>IF(OR(A331="",'Smart Search'!H13=0),"",MAX(0,BE331*BF331*MAX(0,1-BG331)))</f>
        <v/>
      </c>
      <c r="BB331" s="66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66">
        <f>IF('Smart Search'!G13=1,IFERROR(1/'Smart Search'!H13,0),0)</f>
        <v/>
      </c>
      <c r="BD331" s="66">
        <f>BB331*BC331</f>
        <v/>
      </c>
      <c r="BE331" s="66">
        <f>AP331+AQ331+AR331+AS331+AT331+AU331+AV331+AW331+AX331+AY331+BD331</f>
        <v/>
      </c>
      <c r="BF331" s="5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5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5">
        <f>IF(AND(A331&lt;&gt;"",OR('Smart Search'!$L$5="",'Smart Search'!$L$5="All",TRIM(BZ331)=TRIM('Smart Search'!$L$5)),OR(TRIM('Smart Search'!$L$6)="",TRIM('Smart Search'!$L$6)="All",ISNUMBER(SEARCH(SUBSTITUTE(SUBSTITUTE(SUBSTITUTE(TRIM('Smart Search'!$L$6),"~","~~"),"*","~*"),"?","~?"),CA331))),OR('Smart Search'!$L$7="",AND(CB331&lt;&gt;0,CB331='Smart Search'!$L$7)),OR('Smart Search'!$L$8="",'Smart Search'!$L$8="All",TRIM(CC331)=TRIM('Smart Search'!$L$8))),IF(BA331="","",BA331+ROW()*0.0000000001),"")</f>
        <v/>
      </c>
      <c r="BI331" s="5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5">
        <f>IF(A331="","",N(INDEX(Projects[Mech Inst],330)))</f>
        <v/>
      </c>
      <c r="BK331" s="5">
        <f>IF(A331="","",N(INDEX(Projects[Elec Inst],330)))</f>
        <v/>
      </c>
      <c r="BL331" s="5">
        <f>IF(A331="","",N(INDEX(Projects[Project Management],330)))</f>
        <v/>
      </c>
      <c r="BM331" s="5">
        <f>IF(A331="","",N(INDEX(Projects[Systems Eng],330)))</f>
        <v/>
      </c>
      <c r="BN331" s="5">
        <f>IF(A331="","",N(INDEX(Projects[Mechanical Eng],330)))</f>
        <v/>
      </c>
      <c r="BO331" s="5">
        <f>IF(A331="","",N(INDEX(Projects[Structural Engineering],330)))</f>
        <v/>
      </c>
      <c r="BP331" s="5">
        <f>IF(A331="","",N(INDEX(Projects[Site Sup],330)))</f>
        <v/>
      </c>
      <c r="BQ331" s="5">
        <f>IF(A331="","",N(INDEX(Projects[Controls Commissioning],330)))</f>
        <v/>
      </c>
      <c r="BR331" s="5">
        <f>IF(A331="","",N(INDEX(Projects[Systems Commissioning],330)))</f>
        <v/>
      </c>
      <c r="BS331" s="5">
        <f>IF(A331="","",N(INDEX(Projects[Service Commissioning],330)))</f>
        <v/>
      </c>
      <c r="BT331" s="5">
        <f>IF(A331="","",N(INDEX(Projects[Controls Eng],330)))</f>
        <v/>
      </c>
      <c r="BU331" s="5">
        <f>IF(A331="","",N(INDEX(Projects[Controls Purchase],330)))</f>
        <v/>
      </c>
      <c r="BV331" s="5">
        <f>IF(A331="","",N(INDEX(Projects[Software Eng],330)))</f>
        <v/>
      </c>
      <c r="BW331" s="5">
        <f>IF(A331="","",N(INDEX(Projects[Misc],330)))</f>
        <v/>
      </c>
      <c r="BX331" s="5">
        <f>IF(A331="","",SUM(BJ331:BW331))</f>
        <v/>
      </c>
      <c r="BY331" s="5">
        <f>IF(A331="","",IFERROR(IF(ISNUMBER(U331),U331,VALUE(SUBSTITUTE(SUBSTITUTE(SUBSTITUTE(UPPER(TRIM(U331)),"M",""),",","")," ",""))),0))</f>
        <v/>
      </c>
      <c r="BZ331" s="5">
        <f>INDEX(Projects[Solution Type],330)&amp;""</f>
        <v/>
      </c>
      <c r="CA331" s="5">
        <f>INDEX(Projects[Client / Region],330)&amp;""</f>
        <v/>
      </c>
      <c r="CB331" s="5">
        <f>INDEX(Projects[Year],330)</f>
        <v/>
      </c>
      <c r="CC331" s="5">
        <f>INDEX(Projects[Won?],330)&amp;""</f>
        <v/>
      </c>
      <c r="CD331" s="5">
        <f>INDEX(Projects[Value (USD M)],330)</f>
        <v/>
      </c>
    </row>
    <row r="332" ht="15" customHeight="1" s="74">
      <c r="A332" s="66">
        <f>INDEX(Projects[Project ID *],331)&amp;""</f>
        <v/>
      </c>
      <c r="B332" s="66">
        <f>INDEX(Projects[Project Name *],331)&amp;""</f>
        <v/>
      </c>
      <c r="C332" s="66">
        <f>INDEX(Projects[MS Shuttles],331)</f>
        <v/>
      </c>
      <c r="D332" s="66">
        <f>INDEX(Projects[MS Tote Locations],331)</f>
        <v/>
      </c>
      <c r="E332" s="66">
        <f>INDEX(Projects[AS Robots],331)</f>
        <v/>
      </c>
      <c r="F332" s="66">
        <f>INDEX(Projects[AS Tote Locations],331)</f>
        <v/>
      </c>
      <c r="G332" s="66">
        <f>INDEX(Projects[PS Shuttles],331)</f>
        <v/>
      </c>
      <c r="H332" s="66">
        <f>INDEX(Projects[PS Pallet Locations],331)</f>
        <v/>
      </c>
      <c r="I332" s="66">
        <f>INDEX(Projects[SRM Cranes],331)</f>
        <v/>
      </c>
      <c r="J332" s="66">
        <f>INDEX(Projects[SRM Pallet Locations],331)</f>
        <v/>
      </c>
      <c r="K332" s="66">
        <f>INDEX(Projects[Case Conv (m)],331)</f>
        <v/>
      </c>
      <c r="L332" s="66">
        <f>INDEX(Projects[Pallet Conv (m)],331)</f>
        <v/>
      </c>
      <c r="M332" s="66">
        <f>INDEX(Projects[Mech Eng (wks)],331)</f>
        <v/>
      </c>
      <c r="N332" s="66">
        <f>INDEX(Projects[Controls Eng (wks)],331)</f>
        <v/>
      </c>
      <c r="O332" s="66">
        <f>INDEX(Projects[Systems Eng (wks)],331)</f>
        <v/>
      </c>
      <c r="P332" s="66">
        <f>INDEX(Projects[Software Eng (wks)],331)</f>
        <v/>
      </c>
      <c r="Q332" s="66">
        <f>INDEX(Projects[M&amp;E Installation (wks)],331)</f>
        <v/>
      </c>
      <c r="R332" s="66">
        <f>INDEX(Projects[Commissioning (wks)],331)</f>
        <v/>
      </c>
      <c r="S332" s="66">
        <f>INDEX(Projects[Total Timeline (wks)],331)</f>
        <v/>
      </c>
      <c r="T332" s="66">
        <f>INDEX(Projects[Currency],331)&amp;""</f>
        <v/>
      </c>
      <c r="U332" s="67">
        <f>INDEX(Projects[Value (M)],331)</f>
        <v/>
      </c>
      <c r="V332" s="66">
        <f>IF('Smart Search'!B13=1,IFERROR(1/'Smart Search'!H13,0),0)</f>
        <v/>
      </c>
      <c r="W332" s="66">
        <f>IF('Smart Search'!B13=1,IFERROR(1/'Smart Search'!H13,0),0)</f>
        <v/>
      </c>
      <c r="X332" s="66">
        <f>IF('Smart Search'!C13=1,IFERROR(1/'Smart Search'!H13,0),0)</f>
        <v/>
      </c>
      <c r="Y332" s="66">
        <f>IF('Smart Search'!C13=1,IFERROR(1/'Smart Search'!H13,0),0)</f>
        <v/>
      </c>
      <c r="Z332" s="66">
        <f>IF('Smart Search'!D13=1,IFERROR(1/'Smart Search'!H13,0),0)</f>
        <v/>
      </c>
      <c r="AA332" s="66">
        <f>IF('Smart Search'!D13=1,IFERROR(1/'Smart Search'!H13,0),0)</f>
        <v/>
      </c>
      <c r="AB332" s="66">
        <f>IF('Smart Search'!E13=1,IFERROR(1/'Smart Search'!H13,0),0)</f>
        <v/>
      </c>
      <c r="AC332" s="66">
        <f>IF('Smart Search'!E13=1,IFERROR(1/'Smart Search'!H13,0),0)</f>
        <v/>
      </c>
      <c r="AD332" s="66">
        <f>IF('Smart Search'!F13=1,IFERROR(1/'Smart Search'!H13,0),0)</f>
        <v/>
      </c>
      <c r="AE332" s="66">
        <f>IF('Smart Search'!F13=1,IFERROR(1/'Smart Search'!H13,0),0)</f>
        <v/>
      </c>
      <c r="AF332" s="66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66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66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66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66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66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66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66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66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66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66">
        <f>AF332*V332</f>
        <v/>
      </c>
      <c r="AQ332" s="66">
        <f>AG332*W332</f>
        <v/>
      </c>
      <c r="AR332" s="66">
        <f>AH332*X332</f>
        <v/>
      </c>
      <c r="AS332" s="66">
        <f>AI332*Y332</f>
        <v/>
      </c>
      <c r="AT332" s="66">
        <f>AJ332*Z332</f>
        <v/>
      </c>
      <c r="AU332" s="66">
        <f>AK332*AA332</f>
        <v/>
      </c>
      <c r="AV332" s="66">
        <f>AL332*AB332</f>
        <v/>
      </c>
      <c r="AW332" s="66">
        <f>AM332*AC332</f>
        <v/>
      </c>
      <c r="AX332" s="66">
        <f>AN332*AD332</f>
        <v/>
      </c>
      <c r="AY332" s="66">
        <f>AO332*AE332</f>
        <v/>
      </c>
      <c r="AZ332" s="66">
        <f>INDEX(Projects[Automation Equipment],331)&amp;""</f>
        <v/>
      </c>
      <c r="BA332" s="66">
        <f>IF(OR(A332="",'Smart Search'!H13=0),"",MAX(0,BE332*BF332*MAX(0,1-BG332)))</f>
        <v/>
      </c>
      <c r="BB332" s="66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66">
        <f>IF('Smart Search'!G13=1,IFERROR(1/'Smart Search'!H13,0),0)</f>
        <v/>
      </c>
      <c r="BD332" s="66">
        <f>BB332*BC332</f>
        <v/>
      </c>
      <c r="BE332" s="66">
        <f>AP332+AQ332+AR332+AS332+AT332+AU332+AV332+AW332+AX332+AY332+BD332</f>
        <v/>
      </c>
      <c r="BF332" s="5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5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5">
        <f>IF(AND(A332&lt;&gt;"",OR('Smart Search'!$L$5="",'Smart Search'!$L$5="All",TRIM(BZ332)=TRIM('Smart Search'!$L$5)),OR(TRIM('Smart Search'!$L$6)="",TRIM('Smart Search'!$L$6)="All",ISNUMBER(SEARCH(SUBSTITUTE(SUBSTITUTE(SUBSTITUTE(TRIM('Smart Search'!$L$6),"~","~~"),"*","~*"),"?","~?"),CA332))),OR('Smart Search'!$L$7="",AND(CB332&lt;&gt;0,CB332='Smart Search'!$L$7)),OR('Smart Search'!$L$8="",'Smart Search'!$L$8="All",TRIM(CC332)=TRIM('Smart Search'!$L$8))),IF(BA332="","",BA332+ROW()*0.0000000001),"")</f>
        <v/>
      </c>
      <c r="BI332" s="5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5">
        <f>IF(A332="","",N(INDEX(Projects[Mech Inst],331)))</f>
        <v/>
      </c>
      <c r="BK332" s="5">
        <f>IF(A332="","",N(INDEX(Projects[Elec Inst],331)))</f>
        <v/>
      </c>
      <c r="BL332" s="5">
        <f>IF(A332="","",N(INDEX(Projects[Project Management],331)))</f>
        <v/>
      </c>
      <c r="BM332" s="5">
        <f>IF(A332="","",N(INDEX(Projects[Systems Eng],331)))</f>
        <v/>
      </c>
      <c r="BN332" s="5">
        <f>IF(A332="","",N(INDEX(Projects[Mechanical Eng],331)))</f>
        <v/>
      </c>
      <c r="BO332" s="5">
        <f>IF(A332="","",N(INDEX(Projects[Structural Engineering],331)))</f>
        <v/>
      </c>
      <c r="BP332" s="5">
        <f>IF(A332="","",N(INDEX(Projects[Site Sup],331)))</f>
        <v/>
      </c>
      <c r="BQ332" s="5">
        <f>IF(A332="","",N(INDEX(Projects[Controls Commissioning],331)))</f>
        <v/>
      </c>
      <c r="BR332" s="5">
        <f>IF(A332="","",N(INDEX(Projects[Systems Commissioning],331)))</f>
        <v/>
      </c>
      <c r="BS332" s="5">
        <f>IF(A332="","",N(INDEX(Projects[Service Commissioning],331)))</f>
        <v/>
      </c>
      <c r="BT332" s="5">
        <f>IF(A332="","",N(INDEX(Projects[Controls Eng],331)))</f>
        <v/>
      </c>
      <c r="BU332" s="5">
        <f>IF(A332="","",N(INDEX(Projects[Controls Purchase],331)))</f>
        <v/>
      </c>
      <c r="BV332" s="5">
        <f>IF(A332="","",N(INDEX(Projects[Software Eng],331)))</f>
        <v/>
      </c>
      <c r="BW332" s="5">
        <f>IF(A332="","",N(INDEX(Projects[Misc],331)))</f>
        <v/>
      </c>
      <c r="BX332" s="5">
        <f>IF(A332="","",SUM(BJ332:BW332))</f>
        <v/>
      </c>
      <c r="BY332" s="5">
        <f>IF(A332="","",IFERROR(IF(ISNUMBER(U332),U332,VALUE(SUBSTITUTE(SUBSTITUTE(SUBSTITUTE(UPPER(TRIM(U332)),"M",""),",","")," ",""))),0))</f>
        <v/>
      </c>
      <c r="BZ332" s="5">
        <f>INDEX(Projects[Solution Type],331)&amp;""</f>
        <v/>
      </c>
      <c r="CA332" s="5">
        <f>INDEX(Projects[Client / Region],331)&amp;""</f>
        <v/>
      </c>
      <c r="CB332" s="5">
        <f>INDEX(Projects[Year],331)</f>
        <v/>
      </c>
      <c r="CC332" s="5">
        <f>INDEX(Projects[Won?],331)&amp;""</f>
        <v/>
      </c>
      <c r="CD332" s="5">
        <f>INDEX(Projects[Value (USD M)],331)</f>
        <v/>
      </c>
    </row>
    <row r="333" ht="15" customHeight="1" s="74">
      <c r="A333" s="66">
        <f>INDEX(Projects[Project ID *],332)&amp;""</f>
        <v/>
      </c>
      <c r="B333" s="66">
        <f>INDEX(Projects[Project Name *],332)&amp;""</f>
        <v/>
      </c>
      <c r="C333" s="66">
        <f>INDEX(Projects[MS Shuttles],332)</f>
        <v/>
      </c>
      <c r="D333" s="66">
        <f>INDEX(Projects[MS Tote Locations],332)</f>
        <v/>
      </c>
      <c r="E333" s="66">
        <f>INDEX(Projects[AS Robots],332)</f>
        <v/>
      </c>
      <c r="F333" s="66">
        <f>INDEX(Projects[AS Tote Locations],332)</f>
        <v/>
      </c>
      <c r="G333" s="66">
        <f>INDEX(Projects[PS Shuttles],332)</f>
        <v/>
      </c>
      <c r="H333" s="66">
        <f>INDEX(Projects[PS Pallet Locations],332)</f>
        <v/>
      </c>
      <c r="I333" s="66">
        <f>INDEX(Projects[SRM Cranes],332)</f>
        <v/>
      </c>
      <c r="J333" s="66">
        <f>INDEX(Projects[SRM Pallet Locations],332)</f>
        <v/>
      </c>
      <c r="K333" s="66">
        <f>INDEX(Projects[Case Conv (m)],332)</f>
        <v/>
      </c>
      <c r="L333" s="66">
        <f>INDEX(Projects[Pallet Conv (m)],332)</f>
        <v/>
      </c>
      <c r="M333" s="66">
        <f>INDEX(Projects[Mech Eng (wks)],332)</f>
        <v/>
      </c>
      <c r="N333" s="66">
        <f>INDEX(Projects[Controls Eng (wks)],332)</f>
        <v/>
      </c>
      <c r="O333" s="66">
        <f>INDEX(Projects[Systems Eng (wks)],332)</f>
        <v/>
      </c>
      <c r="P333" s="66">
        <f>INDEX(Projects[Software Eng (wks)],332)</f>
        <v/>
      </c>
      <c r="Q333" s="66">
        <f>INDEX(Projects[M&amp;E Installation (wks)],332)</f>
        <v/>
      </c>
      <c r="R333" s="66">
        <f>INDEX(Projects[Commissioning (wks)],332)</f>
        <v/>
      </c>
      <c r="S333" s="66">
        <f>INDEX(Projects[Total Timeline (wks)],332)</f>
        <v/>
      </c>
      <c r="T333" s="66">
        <f>INDEX(Projects[Currency],332)&amp;""</f>
        <v/>
      </c>
      <c r="U333" s="67">
        <f>INDEX(Projects[Value (M)],332)</f>
        <v/>
      </c>
      <c r="V333" s="66">
        <f>IF('Smart Search'!B13=1,IFERROR(1/'Smart Search'!H13,0),0)</f>
        <v/>
      </c>
      <c r="W333" s="66">
        <f>IF('Smart Search'!B13=1,IFERROR(1/'Smart Search'!H13,0),0)</f>
        <v/>
      </c>
      <c r="X333" s="66">
        <f>IF('Smart Search'!C13=1,IFERROR(1/'Smart Search'!H13,0),0)</f>
        <v/>
      </c>
      <c r="Y333" s="66">
        <f>IF('Smart Search'!C13=1,IFERROR(1/'Smart Search'!H13,0),0)</f>
        <v/>
      </c>
      <c r="Z333" s="66">
        <f>IF('Smart Search'!D13=1,IFERROR(1/'Smart Search'!H13,0),0)</f>
        <v/>
      </c>
      <c r="AA333" s="66">
        <f>IF('Smart Search'!D13=1,IFERROR(1/'Smart Search'!H13,0),0)</f>
        <v/>
      </c>
      <c r="AB333" s="66">
        <f>IF('Smart Search'!E13=1,IFERROR(1/'Smart Search'!H13,0),0)</f>
        <v/>
      </c>
      <c r="AC333" s="66">
        <f>IF('Smart Search'!E13=1,IFERROR(1/'Smart Search'!H13,0),0)</f>
        <v/>
      </c>
      <c r="AD333" s="66">
        <f>IF('Smart Search'!F13=1,IFERROR(1/'Smart Search'!H13,0),0)</f>
        <v/>
      </c>
      <c r="AE333" s="66">
        <f>IF('Smart Search'!F13=1,IFERROR(1/'Smart Search'!H13,0),0)</f>
        <v/>
      </c>
      <c r="AF333" s="66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66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66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66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66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66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66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66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66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66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66">
        <f>AF333*V333</f>
        <v/>
      </c>
      <c r="AQ333" s="66">
        <f>AG333*W333</f>
        <v/>
      </c>
      <c r="AR333" s="66">
        <f>AH333*X333</f>
        <v/>
      </c>
      <c r="AS333" s="66">
        <f>AI333*Y333</f>
        <v/>
      </c>
      <c r="AT333" s="66">
        <f>AJ333*Z333</f>
        <v/>
      </c>
      <c r="AU333" s="66">
        <f>AK333*AA333</f>
        <v/>
      </c>
      <c r="AV333" s="66">
        <f>AL333*AB333</f>
        <v/>
      </c>
      <c r="AW333" s="66">
        <f>AM333*AC333</f>
        <v/>
      </c>
      <c r="AX333" s="66">
        <f>AN333*AD333</f>
        <v/>
      </c>
      <c r="AY333" s="66">
        <f>AO333*AE333</f>
        <v/>
      </c>
      <c r="AZ333" s="66">
        <f>INDEX(Projects[Automation Equipment],332)&amp;""</f>
        <v/>
      </c>
      <c r="BA333" s="66">
        <f>IF(OR(A333="",'Smart Search'!H13=0),"",MAX(0,BE333*BF333*MAX(0,1-BG333)))</f>
        <v/>
      </c>
      <c r="BB333" s="66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66">
        <f>IF('Smart Search'!G13=1,IFERROR(1/'Smart Search'!H13,0),0)</f>
        <v/>
      </c>
      <c r="BD333" s="66">
        <f>BB333*BC333</f>
        <v/>
      </c>
      <c r="BE333" s="66">
        <f>AP333+AQ333+AR333+AS333+AT333+AU333+AV333+AW333+AX333+AY333+BD333</f>
        <v/>
      </c>
      <c r="BF333" s="5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5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5">
        <f>IF(AND(A333&lt;&gt;"",OR('Smart Search'!$L$5="",'Smart Search'!$L$5="All",TRIM(BZ333)=TRIM('Smart Search'!$L$5)),OR(TRIM('Smart Search'!$L$6)="",TRIM('Smart Search'!$L$6)="All",ISNUMBER(SEARCH(SUBSTITUTE(SUBSTITUTE(SUBSTITUTE(TRIM('Smart Search'!$L$6),"~","~~"),"*","~*"),"?","~?"),CA333))),OR('Smart Search'!$L$7="",AND(CB333&lt;&gt;0,CB333='Smart Search'!$L$7)),OR('Smart Search'!$L$8="",'Smart Search'!$L$8="All",TRIM(CC333)=TRIM('Smart Search'!$L$8))),IF(BA333="","",BA333+ROW()*0.0000000001),"")</f>
        <v/>
      </c>
      <c r="BI333" s="5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5">
        <f>IF(A333="","",N(INDEX(Projects[Mech Inst],332)))</f>
        <v/>
      </c>
      <c r="BK333" s="5">
        <f>IF(A333="","",N(INDEX(Projects[Elec Inst],332)))</f>
        <v/>
      </c>
      <c r="BL333" s="5">
        <f>IF(A333="","",N(INDEX(Projects[Project Management],332)))</f>
        <v/>
      </c>
      <c r="BM333" s="5">
        <f>IF(A333="","",N(INDEX(Projects[Systems Eng],332)))</f>
        <v/>
      </c>
      <c r="BN333" s="5">
        <f>IF(A333="","",N(INDEX(Projects[Mechanical Eng],332)))</f>
        <v/>
      </c>
      <c r="BO333" s="5">
        <f>IF(A333="","",N(INDEX(Projects[Structural Engineering],332)))</f>
        <v/>
      </c>
      <c r="BP333" s="5">
        <f>IF(A333="","",N(INDEX(Projects[Site Sup],332)))</f>
        <v/>
      </c>
      <c r="BQ333" s="5">
        <f>IF(A333="","",N(INDEX(Projects[Controls Commissioning],332)))</f>
        <v/>
      </c>
      <c r="BR333" s="5">
        <f>IF(A333="","",N(INDEX(Projects[Systems Commissioning],332)))</f>
        <v/>
      </c>
      <c r="BS333" s="5">
        <f>IF(A333="","",N(INDEX(Projects[Service Commissioning],332)))</f>
        <v/>
      </c>
      <c r="BT333" s="5">
        <f>IF(A333="","",N(INDEX(Projects[Controls Eng],332)))</f>
        <v/>
      </c>
      <c r="BU333" s="5">
        <f>IF(A333="","",N(INDEX(Projects[Controls Purchase],332)))</f>
        <v/>
      </c>
      <c r="BV333" s="5">
        <f>IF(A333="","",N(INDEX(Projects[Software Eng],332)))</f>
        <v/>
      </c>
      <c r="BW333" s="5">
        <f>IF(A333="","",N(INDEX(Projects[Misc],332)))</f>
        <v/>
      </c>
      <c r="BX333" s="5">
        <f>IF(A333="","",SUM(BJ333:BW333))</f>
        <v/>
      </c>
      <c r="BY333" s="5">
        <f>IF(A333="","",IFERROR(IF(ISNUMBER(U333),U333,VALUE(SUBSTITUTE(SUBSTITUTE(SUBSTITUTE(UPPER(TRIM(U333)),"M",""),",","")," ",""))),0))</f>
        <v/>
      </c>
      <c r="BZ333" s="5">
        <f>INDEX(Projects[Solution Type],332)&amp;""</f>
        <v/>
      </c>
      <c r="CA333" s="5">
        <f>INDEX(Projects[Client / Region],332)&amp;""</f>
        <v/>
      </c>
      <c r="CB333" s="5">
        <f>INDEX(Projects[Year],332)</f>
        <v/>
      </c>
      <c r="CC333" s="5">
        <f>INDEX(Projects[Won?],332)&amp;""</f>
        <v/>
      </c>
      <c r="CD333" s="5">
        <f>INDEX(Projects[Value (USD M)],332)</f>
        <v/>
      </c>
    </row>
    <row r="334" ht="15" customHeight="1" s="74">
      <c r="A334" s="66">
        <f>INDEX(Projects[Project ID *],333)&amp;""</f>
        <v/>
      </c>
      <c r="B334" s="66">
        <f>INDEX(Projects[Project Name *],333)&amp;""</f>
        <v/>
      </c>
      <c r="C334" s="66">
        <f>INDEX(Projects[MS Shuttles],333)</f>
        <v/>
      </c>
      <c r="D334" s="66">
        <f>INDEX(Projects[MS Tote Locations],333)</f>
        <v/>
      </c>
      <c r="E334" s="66">
        <f>INDEX(Projects[AS Robots],333)</f>
        <v/>
      </c>
      <c r="F334" s="66">
        <f>INDEX(Projects[AS Tote Locations],333)</f>
        <v/>
      </c>
      <c r="G334" s="66">
        <f>INDEX(Projects[PS Shuttles],333)</f>
        <v/>
      </c>
      <c r="H334" s="66">
        <f>INDEX(Projects[PS Pallet Locations],333)</f>
        <v/>
      </c>
      <c r="I334" s="66">
        <f>INDEX(Projects[SRM Cranes],333)</f>
        <v/>
      </c>
      <c r="J334" s="66">
        <f>INDEX(Projects[SRM Pallet Locations],333)</f>
        <v/>
      </c>
      <c r="K334" s="66">
        <f>INDEX(Projects[Case Conv (m)],333)</f>
        <v/>
      </c>
      <c r="L334" s="66">
        <f>INDEX(Projects[Pallet Conv (m)],333)</f>
        <v/>
      </c>
      <c r="M334" s="66">
        <f>INDEX(Projects[Mech Eng (wks)],333)</f>
        <v/>
      </c>
      <c r="N334" s="66">
        <f>INDEX(Projects[Controls Eng (wks)],333)</f>
        <v/>
      </c>
      <c r="O334" s="66">
        <f>INDEX(Projects[Systems Eng (wks)],333)</f>
        <v/>
      </c>
      <c r="P334" s="66">
        <f>INDEX(Projects[Software Eng (wks)],333)</f>
        <v/>
      </c>
      <c r="Q334" s="66">
        <f>INDEX(Projects[M&amp;E Installation (wks)],333)</f>
        <v/>
      </c>
      <c r="R334" s="66">
        <f>INDEX(Projects[Commissioning (wks)],333)</f>
        <v/>
      </c>
      <c r="S334" s="66">
        <f>INDEX(Projects[Total Timeline (wks)],333)</f>
        <v/>
      </c>
      <c r="T334" s="66">
        <f>INDEX(Projects[Currency],333)&amp;""</f>
        <v/>
      </c>
      <c r="U334" s="67">
        <f>INDEX(Projects[Value (M)],333)</f>
        <v/>
      </c>
      <c r="V334" s="66">
        <f>IF('Smart Search'!B13=1,IFERROR(1/'Smart Search'!H13,0),0)</f>
        <v/>
      </c>
      <c r="W334" s="66">
        <f>IF('Smart Search'!B13=1,IFERROR(1/'Smart Search'!H13,0),0)</f>
        <v/>
      </c>
      <c r="X334" s="66">
        <f>IF('Smart Search'!C13=1,IFERROR(1/'Smart Search'!H13,0),0)</f>
        <v/>
      </c>
      <c r="Y334" s="66">
        <f>IF('Smart Search'!C13=1,IFERROR(1/'Smart Search'!H13,0),0)</f>
        <v/>
      </c>
      <c r="Z334" s="66">
        <f>IF('Smart Search'!D13=1,IFERROR(1/'Smart Search'!H13,0),0)</f>
        <v/>
      </c>
      <c r="AA334" s="66">
        <f>IF('Smart Search'!D13=1,IFERROR(1/'Smart Search'!H13,0),0)</f>
        <v/>
      </c>
      <c r="AB334" s="66">
        <f>IF('Smart Search'!E13=1,IFERROR(1/'Smart Search'!H13,0),0)</f>
        <v/>
      </c>
      <c r="AC334" s="66">
        <f>IF('Smart Search'!E13=1,IFERROR(1/'Smart Search'!H13,0),0)</f>
        <v/>
      </c>
      <c r="AD334" s="66">
        <f>IF('Smart Search'!F13=1,IFERROR(1/'Smart Search'!H13,0),0)</f>
        <v/>
      </c>
      <c r="AE334" s="66">
        <f>IF('Smart Search'!F13=1,IFERROR(1/'Smart Search'!H13,0),0)</f>
        <v/>
      </c>
      <c r="AF334" s="66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66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66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66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66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66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66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66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66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66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66">
        <f>AF334*V334</f>
        <v/>
      </c>
      <c r="AQ334" s="66">
        <f>AG334*W334</f>
        <v/>
      </c>
      <c r="AR334" s="66">
        <f>AH334*X334</f>
        <v/>
      </c>
      <c r="AS334" s="66">
        <f>AI334*Y334</f>
        <v/>
      </c>
      <c r="AT334" s="66">
        <f>AJ334*Z334</f>
        <v/>
      </c>
      <c r="AU334" s="66">
        <f>AK334*AA334</f>
        <v/>
      </c>
      <c r="AV334" s="66">
        <f>AL334*AB334</f>
        <v/>
      </c>
      <c r="AW334" s="66">
        <f>AM334*AC334</f>
        <v/>
      </c>
      <c r="AX334" s="66">
        <f>AN334*AD334</f>
        <v/>
      </c>
      <c r="AY334" s="66">
        <f>AO334*AE334</f>
        <v/>
      </c>
      <c r="AZ334" s="66">
        <f>INDEX(Projects[Automation Equipment],333)&amp;""</f>
        <v/>
      </c>
      <c r="BA334" s="66">
        <f>IF(OR(A334="",'Smart Search'!H13=0),"",MAX(0,BE334*BF334*MAX(0,1-BG334)))</f>
        <v/>
      </c>
      <c r="BB334" s="66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66">
        <f>IF('Smart Search'!G13=1,IFERROR(1/'Smart Search'!H13,0),0)</f>
        <v/>
      </c>
      <c r="BD334" s="66">
        <f>BB334*BC334</f>
        <v/>
      </c>
      <c r="BE334" s="66">
        <f>AP334+AQ334+AR334+AS334+AT334+AU334+AV334+AW334+AX334+AY334+BD334</f>
        <v/>
      </c>
      <c r="BF334" s="5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5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5">
        <f>IF(AND(A334&lt;&gt;"",OR('Smart Search'!$L$5="",'Smart Search'!$L$5="All",TRIM(BZ334)=TRIM('Smart Search'!$L$5)),OR(TRIM('Smart Search'!$L$6)="",TRIM('Smart Search'!$L$6)="All",ISNUMBER(SEARCH(SUBSTITUTE(SUBSTITUTE(SUBSTITUTE(TRIM('Smart Search'!$L$6),"~","~~"),"*","~*"),"?","~?"),CA334))),OR('Smart Search'!$L$7="",AND(CB334&lt;&gt;0,CB334='Smart Search'!$L$7)),OR('Smart Search'!$L$8="",'Smart Search'!$L$8="All",TRIM(CC334)=TRIM('Smart Search'!$L$8))),IF(BA334="","",BA334+ROW()*0.0000000001),"")</f>
        <v/>
      </c>
      <c r="BI334" s="5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5">
        <f>IF(A334="","",N(INDEX(Projects[Mech Inst],333)))</f>
        <v/>
      </c>
      <c r="BK334" s="5">
        <f>IF(A334="","",N(INDEX(Projects[Elec Inst],333)))</f>
        <v/>
      </c>
      <c r="BL334" s="5">
        <f>IF(A334="","",N(INDEX(Projects[Project Management],333)))</f>
        <v/>
      </c>
      <c r="BM334" s="5">
        <f>IF(A334="","",N(INDEX(Projects[Systems Eng],333)))</f>
        <v/>
      </c>
      <c r="BN334" s="5">
        <f>IF(A334="","",N(INDEX(Projects[Mechanical Eng],333)))</f>
        <v/>
      </c>
      <c r="BO334" s="5">
        <f>IF(A334="","",N(INDEX(Projects[Structural Engineering],333)))</f>
        <v/>
      </c>
      <c r="BP334" s="5">
        <f>IF(A334="","",N(INDEX(Projects[Site Sup],333)))</f>
        <v/>
      </c>
      <c r="BQ334" s="5">
        <f>IF(A334="","",N(INDEX(Projects[Controls Commissioning],333)))</f>
        <v/>
      </c>
      <c r="BR334" s="5">
        <f>IF(A334="","",N(INDEX(Projects[Systems Commissioning],333)))</f>
        <v/>
      </c>
      <c r="BS334" s="5">
        <f>IF(A334="","",N(INDEX(Projects[Service Commissioning],333)))</f>
        <v/>
      </c>
      <c r="BT334" s="5">
        <f>IF(A334="","",N(INDEX(Projects[Controls Eng],333)))</f>
        <v/>
      </c>
      <c r="BU334" s="5">
        <f>IF(A334="","",N(INDEX(Projects[Controls Purchase],333)))</f>
        <v/>
      </c>
      <c r="BV334" s="5">
        <f>IF(A334="","",N(INDEX(Projects[Software Eng],333)))</f>
        <v/>
      </c>
      <c r="BW334" s="5">
        <f>IF(A334="","",N(INDEX(Projects[Misc],333)))</f>
        <v/>
      </c>
      <c r="BX334" s="5">
        <f>IF(A334="","",SUM(BJ334:BW334))</f>
        <v/>
      </c>
      <c r="BY334" s="5">
        <f>IF(A334="","",IFERROR(IF(ISNUMBER(U334),U334,VALUE(SUBSTITUTE(SUBSTITUTE(SUBSTITUTE(UPPER(TRIM(U334)),"M",""),",","")," ",""))),0))</f>
        <v/>
      </c>
      <c r="BZ334" s="5">
        <f>INDEX(Projects[Solution Type],333)&amp;""</f>
        <v/>
      </c>
      <c r="CA334" s="5">
        <f>INDEX(Projects[Client / Region],333)&amp;""</f>
        <v/>
      </c>
      <c r="CB334" s="5">
        <f>INDEX(Projects[Year],333)</f>
        <v/>
      </c>
      <c r="CC334" s="5">
        <f>INDEX(Projects[Won?],333)&amp;""</f>
        <v/>
      </c>
      <c r="CD334" s="5">
        <f>INDEX(Projects[Value (USD M)],333)</f>
        <v/>
      </c>
    </row>
    <row r="335" ht="15" customHeight="1" s="74">
      <c r="A335" s="66">
        <f>INDEX(Projects[Project ID *],334)&amp;""</f>
        <v/>
      </c>
      <c r="B335" s="66">
        <f>INDEX(Projects[Project Name *],334)&amp;""</f>
        <v/>
      </c>
      <c r="C335" s="66">
        <f>INDEX(Projects[MS Shuttles],334)</f>
        <v/>
      </c>
      <c r="D335" s="66">
        <f>INDEX(Projects[MS Tote Locations],334)</f>
        <v/>
      </c>
      <c r="E335" s="66">
        <f>INDEX(Projects[AS Robots],334)</f>
        <v/>
      </c>
      <c r="F335" s="66">
        <f>INDEX(Projects[AS Tote Locations],334)</f>
        <v/>
      </c>
      <c r="G335" s="66">
        <f>INDEX(Projects[PS Shuttles],334)</f>
        <v/>
      </c>
      <c r="H335" s="66">
        <f>INDEX(Projects[PS Pallet Locations],334)</f>
        <v/>
      </c>
      <c r="I335" s="66">
        <f>INDEX(Projects[SRM Cranes],334)</f>
        <v/>
      </c>
      <c r="J335" s="66">
        <f>INDEX(Projects[SRM Pallet Locations],334)</f>
        <v/>
      </c>
      <c r="K335" s="66">
        <f>INDEX(Projects[Case Conv (m)],334)</f>
        <v/>
      </c>
      <c r="L335" s="66">
        <f>INDEX(Projects[Pallet Conv (m)],334)</f>
        <v/>
      </c>
      <c r="M335" s="66">
        <f>INDEX(Projects[Mech Eng (wks)],334)</f>
        <v/>
      </c>
      <c r="N335" s="66">
        <f>INDEX(Projects[Controls Eng (wks)],334)</f>
        <v/>
      </c>
      <c r="O335" s="66">
        <f>INDEX(Projects[Systems Eng (wks)],334)</f>
        <v/>
      </c>
      <c r="P335" s="66">
        <f>INDEX(Projects[Software Eng (wks)],334)</f>
        <v/>
      </c>
      <c r="Q335" s="66">
        <f>INDEX(Projects[M&amp;E Installation (wks)],334)</f>
        <v/>
      </c>
      <c r="R335" s="66">
        <f>INDEX(Projects[Commissioning (wks)],334)</f>
        <v/>
      </c>
      <c r="S335" s="66">
        <f>INDEX(Projects[Total Timeline (wks)],334)</f>
        <v/>
      </c>
      <c r="T335" s="66">
        <f>INDEX(Projects[Currency],334)&amp;""</f>
        <v/>
      </c>
      <c r="U335" s="67">
        <f>INDEX(Projects[Value (M)],334)</f>
        <v/>
      </c>
      <c r="V335" s="66">
        <f>IF('Smart Search'!B13=1,IFERROR(1/'Smart Search'!H13,0),0)</f>
        <v/>
      </c>
      <c r="W335" s="66">
        <f>IF('Smart Search'!B13=1,IFERROR(1/'Smart Search'!H13,0),0)</f>
        <v/>
      </c>
      <c r="X335" s="66">
        <f>IF('Smart Search'!C13=1,IFERROR(1/'Smart Search'!H13,0),0)</f>
        <v/>
      </c>
      <c r="Y335" s="66">
        <f>IF('Smart Search'!C13=1,IFERROR(1/'Smart Search'!H13,0),0)</f>
        <v/>
      </c>
      <c r="Z335" s="66">
        <f>IF('Smart Search'!D13=1,IFERROR(1/'Smart Search'!H13,0),0)</f>
        <v/>
      </c>
      <c r="AA335" s="66">
        <f>IF('Smart Search'!D13=1,IFERROR(1/'Smart Search'!H13,0),0)</f>
        <v/>
      </c>
      <c r="AB335" s="66">
        <f>IF('Smart Search'!E13=1,IFERROR(1/'Smart Search'!H13,0),0)</f>
        <v/>
      </c>
      <c r="AC335" s="66">
        <f>IF('Smart Search'!E13=1,IFERROR(1/'Smart Search'!H13,0),0)</f>
        <v/>
      </c>
      <c r="AD335" s="66">
        <f>IF('Smart Search'!F13=1,IFERROR(1/'Smart Search'!H13,0),0)</f>
        <v/>
      </c>
      <c r="AE335" s="66">
        <f>IF('Smart Search'!F13=1,IFERROR(1/'Smart Search'!H13,0),0)</f>
        <v/>
      </c>
      <c r="AF335" s="66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66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66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66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66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66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66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66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66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66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66">
        <f>AF335*V335</f>
        <v/>
      </c>
      <c r="AQ335" s="66">
        <f>AG335*W335</f>
        <v/>
      </c>
      <c r="AR335" s="66">
        <f>AH335*X335</f>
        <v/>
      </c>
      <c r="AS335" s="66">
        <f>AI335*Y335</f>
        <v/>
      </c>
      <c r="AT335" s="66">
        <f>AJ335*Z335</f>
        <v/>
      </c>
      <c r="AU335" s="66">
        <f>AK335*AA335</f>
        <v/>
      </c>
      <c r="AV335" s="66">
        <f>AL335*AB335</f>
        <v/>
      </c>
      <c r="AW335" s="66">
        <f>AM335*AC335</f>
        <v/>
      </c>
      <c r="AX335" s="66">
        <f>AN335*AD335</f>
        <v/>
      </c>
      <c r="AY335" s="66">
        <f>AO335*AE335</f>
        <v/>
      </c>
      <c r="AZ335" s="66">
        <f>INDEX(Projects[Automation Equipment],334)&amp;""</f>
        <v/>
      </c>
      <c r="BA335" s="66">
        <f>IF(OR(A335="",'Smart Search'!H13=0),"",MAX(0,BE335*BF335*MAX(0,1-BG335)))</f>
        <v/>
      </c>
      <c r="BB335" s="66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66">
        <f>IF('Smart Search'!G13=1,IFERROR(1/'Smart Search'!H13,0),0)</f>
        <v/>
      </c>
      <c r="BD335" s="66">
        <f>BB335*BC335</f>
        <v/>
      </c>
      <c r="BE335" s="66">
        <f>AP335+AQ335+AR335+AS335+AT335+AU335+AV335+AW335+AX335+AY335+BD335</f>
        <v/>
      </c>
      <c r="BF335" s="5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5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5">
        <f>IF(AND(A335&lt;&gt;"",OR('Smart Search'!$L$5="",'Smart Search'!$L$5="All",TRIM(BZ335)=TRIM('Smart Search'!$L$5)),OR(TRIM('Smart Search'!$L$6)="",TRIM('Smart Search'!$L$6)="All",ISNUMBER(SEARCH(SUBSTITUTE(SUBSTITUTE(SUBSTITUTE(TRIM('Smart Search'!$L$6),"~","~~"),"*","~*"),"?","~?"),CA335))),OR('Smart Search'!$L$7="",AND(CB335&lt;&gt;0,CB335='Smart Search'!$L$7)),OR('Smart Search'!$L$8="",'Smart Search'!$L$8="All",TRIM(CC335)=TRIM('Smart Search'!$L$8))),IF(BA335="","",BA335+ROW()*0.0000000001),"")</f>
        <v/>
      </c>
      <c r="BI335" s="5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5">
        <f>IF(A335="","",N(INDEX(Projects[Mech Inst],334)))</f>
        <v/>
      </c>
      <c r="BK335" s="5">
        <f>IF(A335="","",N(INDEX(Projects[Elec Inst],334)))</f>
        <v/>
      </c>
      <c r="BL335" s="5">
        <f>IF(A335="","",N(INDEX(Projects[Project Management],334)))</f>
        <v/>
      </c>
      <c r="BM335" s="5">
        <f>IF(A335="","",N(INDEX(Projects[Systems Eng],334)))</f>
        <v/>
      </c>
      <c r="BN335" s="5">
        <f>IF(A335="","",N(INDEX(Projects[Mechanical Eng],334)))</f>
        <v/>
      </c>
      <c r="BO335" s="5">
        <f>IF(A335="","",N(INDEX(Projects[Structural Engineering],334)))</f>
        <v/>
      </c>
      <c r="BP335" s="5">
        <f>IF(A335="","",N(INDEX(Projects[Site Sup],334)))</f>
        <v/>
      </c>
      <c r="BQ335" s="5">
        <f>IF(A335="","",N(INDEX(Projects[Controls Commissioning],334)))</f>
        <v/>
      </c>
      <c r="BR335" s="5">
        <f>IF(A335="","",N(INDEX(Projects[Systems Commissioning],334)))</f>
        <v/>
      </c>
      <c r="BS335" s="5">
        <f>IF(A335="","",N(INDEX(Projects[Service Commissioning],334)))</f>
        <v/>
      </c>
      <c r="BT335" s="5">
        <f>IF(A335="","",N(INDEX(Projects[Controls Eng],334)))</f>
        <v/>
      </c>
      <c r="BU335" s="5">
        <f>IF(A335="","",N(INDEX(Projects[Controls Purchase],334)))</f>
        <v/>
      </c>
      <c r="BV335" s="5">
        <f>IF(A335="","",N(INDEX(Projects[Software Eng],334)))</f>
        <v/>
      </c>
      <c r="BW335" s="5">
        <f>IF(A335="","",N(INDEX(Projects[Misc],334)))</f>
        <v/>
      </c>
      <c r="BX335" s="5">
        <f>IF(A335="","",SUM(BJ335:BW335))</f>
        <v/>
      </c>
      <c r="BY335" s="5">
        <f>IF(A335="","",IFERROR(IF(ISNUMBER(U335),U335,VALUE(SUBSTITUTE(SUBSTITUTE(SUBSTITUTE(UPPER(TRIM(U335)),"M",""),",","")," ",""))),0))</f>
        <v/>
      </c>
      <c r="BZ335" s="5">
        <f>INDEX(Projects[Solution Type],334)&amp;""</f>
        <v/>
      </c>
      <c r="CA335" s="5">
        <f>INDEX(Projects[Client / Region],334)&amp;""</f>
        <v/>
      </c>
      <c r="CB335" s="5">
        <f>INDEX(Projects[Year],334)</f>
        <v/>
      </c>
      <c r="CC335" s="5">
        <f>INDEX(Projects[Won?],334)&amp;""</f>
        <v/>
      </c>
      <c r="CD335" s="5">
        <f>INDEX(Projects[Value (USD M)],334)</f>
        <v/>
      </c>
    </row>
    <row r="336" ht="15" customHeight="1" s="74">
      <c r="A336" s="66">
        <f>INDEX(Projects[Project ID *],335)&amp;""</f>
        <v/>
      </c>
      <c r="B336" s="66">
        <f>INDEX(Projects[Project Name *],335)&amp;""</f>
        <v/>
      </c>
      <c r="C336" s="66">
        <f>INDEX(Projects[MS Shuttles],335)</f>
        <v/>
      </c>
      <c r="D336" s="66">
        <f>INDEX(Projects[MS Tote Locations],335)</f>
        <v/>
      </c>
      <c r="E336" s="66">
        <f>INDEX(Projects[AS Robots],335)</f>
        <v/>
      </c>
      <c r="F336" s="66">
        <f>INDEX(Projects[AS Tote Locations],335)</f>
        <v/>
      </c>
      <c r="G336" s="66">
        <f>INDEX(Projects[PS Shuttles],335)</f>
        <v/>
      </c>
      <c r="H336" s="66">
        <f>INDEX(Projects[PS Pallet Locations],335)</f>
        <v/>
      </c>
      <c r="I336" s="66">
        <f>INDEX(Projects[SRM Cranes],335)</f>
        <v/>
      </c>
      <c r="J336" s="66">
        <f>INDEX(Projects[SRM Pallet Locations],335)</f>
        <v/>
      </c>
      <c r="K336" s="66">
        <f>INDEX(Projects[Case Conv (m)],335)</f>
        <v/>
      </c>
      <c r="L336" s="66">
        <f>INDEX(Projects[Pallet Conv (m)],335)</f>
        <v/>
      </c>
      <c r="M336" s="66">
        <f>INDEX(Projects[Mech Eng (wks)],335)</f>
        <v/>
      </c>
      <c r="N336" s="66">
        <f>INDEX(Projects[Controls Eng (wks)],335)</f>
        <v/>
      </c>
      <c r="O336" s="66">
        <f>INDEX(Projects[Systems Eng (wks)],335)</f>
        <v/>
      </c>
      <c r="P336" s="66">
        <f>INDEX(Projects[Software Eng (wks)],335)</f>
        <v/>
      </c>
      <c r="Q336" s="66">
        <f>INDEX(Projects[M&amp;E Installation (wks)],335)</f>
        <v/>
      </c>
      <c r="R336" s="66">
        <f>INDEX(Projects[Commissioning (wks)],335)</f>
        <v/>
      </c>
      <c r="S336" s="66">
        <f>INDEX(Projects[Total Timeline (wks)],335)</f>
        <v/>
      </c>
      <c r="T336" s="66">
        <f>INDEX(Projects[Currency],335)&amp;""</f>
        <v/>
      </c>
      <c r="U336" s="67">
        <f>INDEX(Projects[Value (M)],335)</f>
        <v/>
      </c>
      <c r="V336" s="66">
        <f>IF('Smart Search'!B13=1,IFERROR(1/'Smart Search'!H13,0),0)</f>
        <v/>
      </c>
      <c r="W336" s="66">
        <f>IF('Smart Search'!B13=1,IFERROR(1/'Smart Search'!H13,0),0)</f>
        <v/>
      </c>
      <c r="X336" s="66">
        <f>IF('Smart Search'!C13=1,IFERROR(1/'Smart Search'!H13,0),0)</f>
        <v/>
      </c>
      <c r="Y336" s="66">
        <f>IF('Smart Search'!C13=1,IFERROR(1/'Smart Search'!H13,0),0)</f>
        <v/>
      </c>
      <c r="Z336" s="66">
        <f>IF('Smart Search'!D13=1,IFERROR(1/'Smart Search'!H13,0),0)</f>
        <v/>
      </c>
      <c r="AA336" s="66">
        <f>IF('Smart Search'!D13=1,IFERROR(1/'Smart Search'!H13,0),0)</f>
        <v/>
      </c>
      <c r="AB336" s="66">
        <f>IF('Smart Search'!E13=1,IFERROR(1/'Smart Search'!H13,0),0)</f>
        <v/>
      </c>
      <c r="AC336" s="66">
        <f>IF('Smart Search'!E13=1,IFERROR(1/'Smart Search'!H13,0),0)</f>
        <v/>
      </c>
      <c r="AD336" s="66">
        <f>IF('Smart Search'!F13=1,IFERROR(1/'Smart Search'!H13,0),0)</f>
        <v/>
      </c>
      <c r="AE336" s="66">
        <f>IF('Smart Search'!F13=1,IFERROR(1/'Smart Search'!H13,0),0)</f>
        <v/>
      </c>
      <c r="AF336" s="66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66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66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66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66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66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66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66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66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66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66">
        <f>AF336*V336</f>
        <v/>
      </c>
      <c r="AQ336" s="66">
        <f>AG336*W336</f>
        <v/>
      </c>
      <c r="AR336" s="66">
        <f>AH336*X336</f>
        <v/>
      </c>
      <c r="AS336" s="66">
        <f>AI336*Y336</f>
        <v/>
      </c>
      <c r="AT336" s="66">
        <f>AJ336*Z336</f>
        <v/>
      </c>
      <c r="AU336" s="66">
        <f>AK336*AA336</f>
        <v/>
      </c>
      <c r="AV336" s="66">
        <f>AL336*AB336</f>
        <v/>
      </c>
      <c r="AW336" s="66">
        <f>AM336*AC336</f>
        <v/>
      </c>
      <c r="AX336" s="66">
        <f>AN336*AD336</f>
        <v/>
      </c>
      <c r="AY336" s="66">
        <f>AO336*AE336</f>
        <v/>
      </c>
      <c r="AZ336" s="66">
        <f>INDEX(Projects[Automation Equipment],335)&amp;""</f>
        <v/>
      </c>
      <c r="BA336" s="66">
        <f>IF(OR(A336="",'Smart Search'!H13=0),"",MAX(0,BE336*BF336*MAX(0,1-BG336)))</f>
        <v/>
      </c>
      <c r="BB336" s="66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66">
        <f>IF('Smart Search'!G13=1,IFERROR(1/'Smart Search'!H13,0),0)</f>
        <v/>
      </c>
      <c r="BD336" s="66">
        <f>BB336*BC336</f>
        <v/>
      </c>
      <c r="BE336" s="66">
        <f>AP336+AQ336+AR336+AS336+AT336+AU336+AV336+AW336+AX336+AY336+BD336</f>
        <v/>
      </c>
      <c r="BF336" s="5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5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5">
        <f>IF(AND(A336&lt;&gt;"",OR('Smart Search'!$L$5="",'Smart Search'!$L$5="All",TRIM(BZ336)=TRIM('Smart Search'!$L$5)),OR(TRIM('Smart Search'!$L$6)="",TRIM('Smart Search'!$L$6)="All",ISNUMBER(SEARCH(SUBSTITUTE(SUBSTITUTE(SUBSTITUTE(TRIM('Smart Search'!$L$6),"~","~~"),"*","~*"),"?","~?"),CA336))),OR('Smart Search'!$L$7="",AND(CB336&lt;&gt;0,CB336='Smart Search'!$L$7)),OR('Smart Search'!$L$8="",'Smart Search'!$L$8="All",TRIM(CC336)=TRIM('Smart Search'!$L$8))),IF(BA336="","",BA336+ROW()*0.0000000001),"")</f>
        <v/>
      </c>
      <c r="BI336" s="5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5">
        <f>IF(A336="","",N(INDEX(Projects[Mech Inst],335)))</f>
        <v/>
      </c>
      <c r="BK336" s="5">
        <f>IF(A336="","",N(INDEX(Projects[Elec Inst],335)))</f>
        <v/>
      </c>
      <c r="BL336" s="5">
        <f>IF(A336="","",N(INDEX(Projects[Project Management],335)))</f>
        <v/>
      </c>
      <c r="BM336" s="5">
        <f>IF(A336="","",N(INDEX(Projects[Systems Eng],335)))</f>
        <v/>
      </c>
      <c r="BN336" s="5">
        <f>IF(A336="","",N(INDEX(Projects[Mechanical Eng],335)))</f>
        <v/>
      </c>
      <c r="BO336" s="5">
        <f>IF(A336="","",N(INDEX(Projects[Structural Engineering],335)))</f>
        <v/>
      </c>
      <c r="BP336" s="5">
        <f>IF(A336="","",N(INDEX(Projects[Site Sup],335)))</f>
        <v/>
      </c>
      <c r="BQ336" s="5">
        <f>IF(A336="","",N(INDEX(Projects[Controls Commissioning],335)))</f>
        <v/>
      </c>
      <c r="BR336" s="5">
        <f>IF(A336="","",N(INDEX(Projects[Systems Commissioning],335)))</f>
        <v/>
      </c>
      <c r="BS336" s="5">
        <f>IF(A336="","",N(INDEX(Projects[Service Commissioning],335)))</f>
        <v/>
      </c>
      <c r="BT336" s="5">
        <f>IF(A336="","",N(INDEX(Projects[Controls Eng],335)))</f>
        <v/>
      </c>
      <c r="BU336" s="5">
        <f>IF(A336="","",N(INDEX(Projects[Controls Purchase],335)))</f>
        <v/>
      </c>
      <c r="BV336" s="5">
        <f>IF(A336="","",N(INDEX(Projects[Software Eng],335)))</f>
        <v/>
      </c>
      <c r="BW336" s="5">
        <f>IF(A336="","",N(INDEX(Projects[Misc],335)))</f>
        <v/>
      </c>
      <c r="BX336" s="5">
        <f>IF(A336="","",SUM(BJ336:BW336))</f>
        <v/>
      </c>
      <c r="BY336" s="5">
        <f>IF(A336="","",IFERROR(IF(ISNUMBER(U336),U336,VALUE(SUBSTITUTE(SUBSTITUTE(SUBSTITUTE(UPPER(TRIM(U336)),"M",""),",","")," ",""))),0))</f>
        <v/>
      </c>
      <c r="BZ336" s="5">
        <f>INDEX(Projects[Solution Type],335)&amp;""</f>
        <v/>
      </c>
      <c r="CA336" s="5">
        <f>INDEX(Projects[Client / Region],335)&amp;""</f>
        <v/>
      </c>
      <c r="CB336" s="5">
        <f>INDEX(Projects[Year],335)</f>
        <v/>
      </c>
      <c r="CC336" s="5">
        <f>INDEX(Projects[Won?],335)&amp;""</f>
        <v/>
      </c>
      <c r="CD336" s="5">
        <f>INDEX(Projects[Value (USD M)],335)</f>
        <v/>
      </c>
    </row>
    <row r="337" ht="15" customHeight="1" s="74">
      <c r="A337" s="66">
        <f>INDEX(Projects[Project ID *],336)&amp;""</f>
        <v/>
      </c>
      <c r="B337" s="66">
        <f>INDEX(Projects[Project Name *],336)&amp;""</f>
        <v/>
      </c>
      <c r="C337" s="66">
        <f>INDEX(Projects[MS Shuttles],336)</f>
        <v/>
      </c>
      <c r="D337" s="66">
        <f>INDEX(Projects[MS Tote Locations],336)</f>
        <v/>
      </c>
      <c r="E337" s="66">
        <f>INDEX(Projects[AS Robots],336)</f>
        <v/>
      </c>
      <c r="F337" s="66">
        <f>INDEX(Projects[AS Tote Locations],336)</f>
        <v/>
      </c>
      <c r="G337" s="66">
        <f>INDEX(Projects[PS Shuttles],336)</f>
        <v/>
      </c>
      <c r="H337" s="66">
        <f>INDEX(Projects[PS Pallet Locations],336)</f>
        <v/>
      </c>
      <c r="I337" s="66">
        <f>INDEX(Projects[SRM Cranes],336)</f>
        <v/>
      </c>
      <c r="J337" s="66">
        <f>INDEX(Projects[SRM Pallet Locations],336)</f>
        <v/>
      </c>
      <c r="K337" s="66">
        <f>INDEX(Projects[Case Conv (m)],336)</f>
        <v/>
      </c>
      <c r="L337" s="66">
        <f>INDEX(Projects[Pallet Conv (m)],336)</f>
        <v/>
      </c>
      <c r="M337" s="66">
        <f>INDEX(Projects[Mech Eng (wks)],336)</f>
        <v/>
      </c>
      <c r="N337" s="66">
        <f>INDEX(Projects[Controls Eng (wks)],336)</f>
        <v/>
      </c>
      <c r="O337" s="66">
        <f>INDEX(Projects[Systems Eng (wks)],336)</f>
        <v/>
      </c>
      <c r="P337" s="66">
        <f>INDEX(Projects[Software Eng (wks)],336)</f>
        <v/>
      </c>
      <c r="Q337" s="66">
        <f>INDEX(Projects[M&amp;E Installation (wks)],336)</f>
        <v/>
      </c>
      <c r="R337" s="66">
        <f>INDEX(Projects[Commissioning (wks)],336)</f>
        <v/>
      </c>
      <c r="S337" s="66">
        <f>INDEX(Projects[Total Timeline (wks)],336)</f>
        <v/>
      </c>
      <c r="T337" s="66">
        <f>INDEX(Projects[Currency],336)&amp;""</f>
        <v/>
      </c>
      <c r="U337" s="67">
        <f>INDEX(Projects[Value (M)],336)</f>
        <v/>
      </c>
      <c r="V337" s="66">
        <f>IF('Smart Search'!B13=1,IFERROR(1/'Smart Search'!H13,0),0)</f>
        <v/>
      </c>
      <c r="W337" s="66">
        <f>IF('Smart Search'!B13=1,IFERROR(1/'Smart Search'!H13,0),0)</f>
        <v/>
      </c>
      <c r="X337" s="66">
        <f>IF('Smart Search'!C13=1,IFERROR(1/'Smart Search'!H13,0),0)</f>
        <v/>
      </c>
      <c r="Y337" s="66">
        <f>IF('Smart Search'!C13=1,IFERROR(1/'Smart Search'!H13,0),0)</f>
        <v/>
      </c>
      <c r="Z337" s="66">
        <f>IF('Smart Search'!D13=1,IFERROR(1/'Smart Search'!H13,0),0)</f>
        <v/>
      </c>
      <c r="AA337" s="66">
        <f>IF('Smart Search'!D13=1,IFERROR(1/'Smart Search'!H13,0),0)</f>
        <v/>
      </c>
      <c r="AB337" s="66">
        <f>IF('Smart Search'!E13=1,IFERROR(1/'Smart Search'!H13,0),0)</f>
        <v/>
      </c>
      <c r="AC337" s="66">
        <f>IF('Smart Search'!E13=1,IFERROR(1/'Smart Search'!H13,0),0)</f>
        <v/>
      </c>
      <c r="AD337" s="66">
        <f>IF('Smart Search'!F13=1,IFERROR(1/'Smart Search'!H13,0),0)</f>
        <v/>
      </c>
      <c r="AE337" s="66">
        <f>IF('Smart Search'!F13=1,IFERROR(1/'Smart Search'!H13,0),0)</f>
        <v/>
      </c>
      <c r="AF337" s="66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66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66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66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66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66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66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66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66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66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66">
        <f>AF337*V337</f>
        <v/>
      </c>
      <c r="AQ337" s="66">
        <f>AG337*W337</f>
        <v/>
      </c>
      <c r="AR337" s="66">
        <f>AH337*X337</f>
        <v/>
      </c>
      <c r="AS337" s="66">
        <f>AI337*Y337</f>
        <v/>
      </c>
      <c r="AT337" s="66">
        <f>AJ337*Z337</f>
        <v/>
      </c>
      <c r="AU337" s="66">
        <f>AK337*AA337</f>
        <v/>
      </c>
      <c r="AV337" s="66">
        <f>AL337*AB337</f>
        <v/>
      </c>
      <c r="AW337" s="66">
        <f>AM337*AC337</f>
        <v/>
      </c>
      <c r="AX337" s="66">
        <f>AN337*AD337</f>
        <v/>
      </c>
      <c r="AY337" s="66">
        <f>AO337*AE337</f>
        <v/>
      </c>
      <c r="AZ337" s="66">
        <f>INDEX(Projects[Automation Equipment],336)&amp;""</f>
        <v/>
      </c>
      <c r="BA337" s="66">
        <f>IF(OR(A337="",'Smart Search'!H13=0),"",MAX(0,BE337*BF337*MAX(0,1-BG337)))</f>
        <v/>
      </c>
      <c r="BB337" s="66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66">
        <f>IF('Smart Search'!G13=1,IFERROR(1/'Smart Search'!H13,0),0)</f>
        <v/>
      </c>
      <c r="BD337" s="66">
        <f>BB337*BC337</f>
        <v/>
      </c>
      <c r="BE337" s="66">
        <f>AP337+AQ337+AR337+AS337+AT337+AU337+AV337+AW337+AX337+AY337+BD337</f>
        <v/>
      </c>
      <c r="BF337" s="5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5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5">
        <f>IF(AND(A337&lt;&gt;"",OR('Smart Search'!$L$5="",'Smart Search'!$L$5="All",TRIM(BZ337)=TRIM('Smart Search'!$L$5)),OR(TRIM('Smart Search'!$L$6)="",TRIM('Smart Search'!$L$6)="All",ISNUMBER(SEARCH(SUBSTITUTE(SUBSTITUTE(SUBSTITUTE(TRIM('Smart Search'!$L$6),"~","~~"),"*","~*"),"?","~?"),CA337))),OR('Smart Search'!$L$7="",AND(CB337&lt;&gt;0,CB337='Smart Search'!$L$7)),OR('Smart Search'!$L$8="",'Smart Search'!$L$8="All",TRIM(CC337)=TRIM('Smart Search'!$L$8))),IF(BA337="","",BA337+ROW()*0.0000000001),"")</f>
        <v/>
      </c>
      <c r="BI337" s="5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5">
        <f>IF(A337="","",N(INDEX(Projects[Mech Inst],336)))</f>
        <v/>
      </c>
      <c r="BK337" s="5">
        <f>IF(A337="","",N(INDEX(Projects[Elec Inst],336)))</f>
        <v/>
      </c>
      <c r="BL337" s="5">
        <f>IF(A337="","",N(INDEX(Projects[Project Management],336)))</f>
        <v/>
      </c>
      <c r="BM337" s="5">
        <f>IF(A337="","",N(INDEX(Projects[Systems Eng],336)))</f>
        <v/>
      </c>
      <c r="BN337" s="5">
        <f>IF(A337="","",N(INDEX(Projects[Mechanical Eng],336)))</f>
        <v/>
      </c>
      <c r="BO337" s="5">
        <f>IF(A337="","",N(INDEX(Projects[Structural Engineering],336)))</f>
        <v/>
      </c>
      <c r="BP337" s="5">
        <f>IF(A337="","",N(INDEX(Projects[Site Sup],336)))</f>
        <v/>
      </c>
      <c r="BQ337" s="5">
        <f>IF(A337="","",N(INDEX(Projects[Controls Commissioning],336)))</f>
        <v/>
      </c>
      <c r="BR337" s="5">
        <f>IF(A337="","",N(INDEX(Projects[Systems Commissioning],336)))</f>
        <v/>
      </c>
      <c r="BS337" s="5">
        <f>IF(A337="","",N(INDEX(Projects[Service Commissioning],336)))</f>
        <v/>
      </c>
      <c r="BT337" s="5">
        <f>IF(A337="","",N(INDEX(Projects[Controls Eng],336)))</f>
        <v/>
      </c>
      <c r="BU337" s="5">
        <f>IF(A337="","",N(INDEX(Projects[Controls Purchase],336)))</f>
        <v/>
      </c>
      <c r="BV337" s="5">
        <f>IF(A337="","",N(INDEX(Projects[Software Eng],336)))</f>
        <v/>
      </c>
      <c r="BW337" s="5">
        <f>IF(A337="","",N(INDEX(Projects[Misc],336)))</f>
        <v/>
      </c>
      <c r="BX337" s="5">
        <f>IF(A337="","",SUM(BJ337:BW337))</f>
        <v/>
      </c>
      <c r="BY337" s="5">
        <f>IF(A337="","",IFERROR(IF(ISNUMBER(U337),U337,VALUE(SUBSTITUTE(SUBSTITUTE(SUBSTITUTE(UPPER(TRIM(U337)),"M",""),",","")," ",""))),0))</f>
        <v/>
      </c>
      <c r="BZ337" s="5">
        <f>INDEX(Projects[Solution Type],336)&amp;""</f>
        <v/>
      </c>
      <c r="CA337" s="5">
        <f>INDEX(Projects[Client / Region],336)&amp;""</f>
        <v/>
      </c>
      <c r="CB337" s="5">
        <f>INDEX(Projects[Year],336)</f>
        <v/>
      </c>
      <c r="CC337" s="5">
        <f>INDEX(Projects[Won?],336)&amp;""</f>
        <v/>
      </c>
      <c r="CD337" s="5">
        <f>INDEX(Projects[Value (USD M)],336)</f>
        <v/>
      </c>
    </row>
    <row r="338" ht="15" customHeight="1" s="74">
      <c r="A338" s="66">
        <f>INDEX(Projects[Project ID *],337)&amp;""</f>
        <v/>
      </c>
      <c r="B338" s="66">
        <f>INDEX(Projects[Project Name *],337)&amp;""</f>
        <v/>
      </c>
      <c r="C338" s="66">
        <f>INDEX(Projects[MS Shuttles],337)</f>
        <v/>
      </c>
      <c r="D338" s="66">
        <f>INDEX(Projects[MS Tote Locations],337)</f>
        <v/>
      </c>
      <c r="E338" s="66">
        <f>INDEX(Projects[AS Robots],337)</f>
        <v/>
      </c>
      <c r="F338" s="66">
        <f>INDEX(Projects[AS Tote Locations],337)</f>
        <v/>
      </c>
      <c r="G338" s="66">
        <f>INDEX(Projects[PS Shuttles],337)</f>
        <v/>
      </c>
      <c r="H338" s="66">
        <f>INDEX(Projects[PS Pallet Locations],337)</f>
        <v/>
      </c>
      <c r="I338" s="66">
        <f>INDEX(Projects[SRM Cranes],337)</f>
        <v/>
      </c>
      <c r="J338" s="66">
        <f>INDEX(Projects[SRM Pallet Locations],337)</f>
        <v/>
      </c>
      <c r="K338" s="66">
        <f>INDEX(Projects[Case Conv (m)],337)</f>
        <v/>
      </c>
      <c r="L338" s="66">
        <f>INDEX(Projects[Pallet Conv (m)],337)</f>
        <v/>
      </c>
      <c r="M338" s="66">
        <f>INDEX(Projects[Mech Eng (wks)],337)</f>
        <v/>
      </c>
      <c r="N338" s="66">
        <f>INDEX(Projects[Controls Eng (wks)],337)</f>
        <v/>
      </c>
      <c r="O338" s="66">
        <f>INDEX(Projects[Systems Eng (wks)],337)</f>
        <v/>
      </c>
      <c r="P338" s="66">
        <f>INDEX(Projects[Software Eng (wks)],337)</f>
        <v/>
      </c>
      <c r="Q338" s="66">
        <f>INDEX(Projects[M&amp;E Installation (wks)],337)</f>
        <v/>
      </c>
      <c r="R338" s="66">
        <f>INDEX(Projects[Commissioning (wks)],337)</f>
        <v/>
      </c>
      <c r="S338" s="66">
        <f>INDEX(Projects[Total Timeline (wks)],337)</f>
        <v/>
      </c>
      <c r="T338" s="66">
        <f>INDEX(Projects[Currency],337)&amp;""</f>
        <v/>
      </c>
      <c r="U338" s="67">
        <f>INDEX(Projects[Value (M)],337)</f>
        <v/>
      </c>
      <c r="V338" s="66">
        <f>IF('Smart Search'!B13=1,IFERROR(1/'Smart Search'!H13,0),0)</f>
        <v/>
      </c>
      <c r="W338" s="66">
        <f>IF('Smart Search'!B13=1,IFERROR(1/'Smart Search'!H13,0),0)</f>
        <v/>
      </c>
      <c r="X338" s="66">
        <f>IF('Smart Search'!C13=1,IFERROR(1/'Smart Search'!H13,0),0)</f>
        <v/>
      </c>
      <c r="Y338" s="66">
        <f>IF('Smart Search'!C13=1,IFERROR(1/'Smart Search'!H13,0),0)</f>
        <v/>
      </c>
      <c r="Z338" s="66">
        <f>IF('Smart Search'!D13=1,IFERROR(1/'Smart Search'!H13,0),0)</f>
        <v/>
      </c>
      <c r="AA338" s="66">
        <f>IF('Smart Search'!D13=1,IFERROR(1/'Smart Search'!H13,0),0)</f>
        <v/>
      </c>
      <c r="AB338" s="66">
        <f>IF('Smart Search'!E13=1,IFERROR(1/'Smart Search'!H13,0),0)</f>
        <v/>
      </c>
      <c r="AC338" s="66">
        <f>IF('Smart Search'!E13=1,IFERROR(1/'Smart Search'!H13,0),0)</f>
        <v/>
      </c>
      <c r="AD338" s="66">
        <f>IF('Smart Search'!F13=1,IFERROR(1/'Smart Search'!H13,0),0)</f>
        <v/>
      </c>
      <c r="AE338" s="66">
        <f>IF('Smart Search'!F13=1,IFERROR(1/'Smart Search'!H13,0),0)</f>
        <v/>
      </c>
      <c r="AF338" s="66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66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66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66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66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66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66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66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66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66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66">
        <f>AF338*V338</f>
        <v/>
      </c>
      <c r="AQ338" s="66">
        <f>AG338*W338</f>
        <v/>
      </c>
      <c r="AR338" s="66">
        <f>AH338*X338</f>
        <v/>
      </c>
      <c r="AS338" s="66">
        <f>AI338*Y338</f>
        <v/>
      </c>
      <c r="AT338" s="66">
        <f>AJ338*Z338</f>
        <v/>
      </c>
      <c r="AU338" s="66">
        <f>AK338*AA338</f>
        <v/>
      </c>
      <c r="AV338" s="66">
        <f>AL338*AB338</f>
        <v/>
      </c>
      <c r="AW338" s="66">
        <f>AM338*AC338</f>
        <v/>
      </c>
      <c r="AX338" s="66">
        <f>AN338*AD338</f>
        <v/>
      </c>
      <c r="AY338" s="66">
        <f>AO338*AE338</f>
        <v/>
      </c>
      <c r="AZ338" s="66">
        <f>INDEX(Projects[Automation Equipment],337)&amp;""</f>
        <v/>
      </c>
      <c r="BA338" s="66">
        <f>IF(OR(A338="",'Smart Search'!H13=0),"",MAX(0,BE338*BF338*MAX(0,1-BG338)))</f>
        <v/>
      </c>
      <c r="BB338" s="66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66">
        <f>IF('Smart Search'!G13=1,IFERROR(1/'Smart Search'!H13,0),0)</f>
        <v/>
      </c>
      <c r="BD338" s="66">
        <f>BB338*BC338</f>
        <v/>
      </c>
      <c r="BE338" s="66">
        <f>AP338+AQ338+AR338+AS338+AT338+AU338+AV338+AW338+AX338+AY338+BD338</f>
        <v/>
      </c>
      <c r="BF338" s="5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5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5">
        <f>IF(AND(A338&lt;&gt;"",OR('Smart Search'!$L$5="",'Smart Search'!$L$5="All",TRIM(BZ338)=TRIM('Smart Search'!$L$5)),OR(TRIM('Smart Search'!$L$6)="",TRIM('Smart Search'!$L$6)="All",ISNUMBER(SEARCH(SUBSTITUTE(SUBSTITUTE(SUBSTITUTE(TRIM('Smart Search'!$L$6),"~","~~"),"*","~*"),"?","~?"),CA338))),OR('Smart Search'!$L$7="",AND(CB338&lt;&gt;0,CB338='Smart Search'!$L$7)),OR('Smart Search'!$L$8="",'Smart Search'!$L$8="All",TRIM(CC338)=TRIM('Smart Search'!$L$8))),IF(BA338="","",BA338+ROW()*0.0000000001),"")</f>
        <v/>
      </c>
      <c r="BI338" s="5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5">
        <f>IF(A338="","",N(INDEX(Projects[Mech Inst],337)))</f>
        <v/>
      </c>
      <c r="BK338" s="5">
        <f>IF(A338="","",N(INDEX(Projects[Elec Inst],337)))</f>
        <v/>
      </c>
      <c r="BL338" s="5">
        <f>IF(A338="","",N(INDEX(Projects[Project Management],337)))</f>
        <v/>
      </c>
      <c r="BM338" s="5">
        <f>IF(A338="","",N(INDEX(Projects[Systems Eng],337)))</f>
        <v/>
      </c>
      <c r="BN338" s="5">
        <f>IF(A338="","",N(INDEX(Projects[Mechanical Eng],337)))</f>
        <v/>
      </c>
      <c r="BO338" s="5">
        <f>IF(A338="","",N(INDEX(Projects[Structural Engineering],337)))</f>
        <v/>
      </c>
      <c r="BP338" s="5">
        <f>IF(A338="","",N(INDEX(Projects[Site Sup],337)))</f>
        <v/>
      </c>
      <c r="BQ338" s="5">
        <f>IF(A338="","",N(INDEX(Projects[Controls Commissioning],337)))</f>
        <v/>
      </c>
      <c r="BR338" s="5">
        <f>IF(A338="","",N(INDEX(Projects[Systems Commissioning],337)))</f>
        <v/>
      </c>
      <c r="BS338" s="5">
        <f>IF(A338="","",N(INDEX(Projects[Service Commissioning],337)))</f>
        <v/>
      </c>
      <c r="BT338" s="5">
        <f>IF(A338="","",N(INDEX(Projects[Controls Eng],337)))</f>
        <v/>
      </c>
      <c r="BU338" s="5">
        <f>IF(A338="","",N(INDEX(Projects[Controls Purchase],337)))</f>
        <v/>
      </c>
      <c r="BV338" s="5">
        <f>IF(A338="","",N(INDEX(Projects[Software Eng],337)))</f>
        <v/>
      </c>
      <c r="BW338" s="5">
        <f>IF(A338="","",N(INDEX(Projects[Misc],337)))</f>
        <v/>
      </c>
      <c r="BX338" s="5">
        <f>IF(A338="","",SUM(BJ338:BW338))</f>
        <v/>
      </c>
      <c r="BY338" s="5">
        <f>IF(A338="","",IFERROR(IF(ISNUMBER(U338),U338,VALUE(SUBSTITUTE(SUBSTITUTE(SUBSTITUTE(UPPER(TRIM(U338)),"M",""),",","")," ",""))),0))</f>
        <v/>
      </c>
      <c r="BZ338" s="5">
        <f>INDEX(Projects[Solution Type],337)&amp;""</f>
        <v/>
      </c>
      <c r="CA338" s="5">
        <f>INDEX(Projects[Client / Region],337)&amp;""</f>
        <v/>
      </c>
      <c r="CB338" s="5">
        <f>INDEX(Projects[Year],337)</f>
        <v/>
      </c>
      <c r="CC338" s="5">
        <f>INDEX(Projects[Won?],337)&amp;""</f>
        <v/>
      </c>
      <c r="CD338" s="5">
        <f>INDEX(Projects[Value (USD M)],337)</f>
        <v/>
      </c>
    </row>
    <row r="339" ht="15" customHeight="1" s="74">
      <c r="A339" s="66">
        <f>INDEX(Projects[Project ID *],338)&amp;""</f>
        <v/>
      </c>
      <c r="B339" s="66">
        <f>INDEX(Projects[Project Name *],338)&amp;""</f>
        <v/>
      </c>
      <c r="C339" s="66">
        <f>INDEX(Projects[MS Shuttles],338)</f>
        <v/>
      </c>
      <c r="D339" s="66">
        <f>INDEX(Projects[MS Tote Locations],338)</f>
        <v/>
      </c>
      <c r="E339" s="66">
        <f>INDEX(Projects[AS Robots],338)</f>
        <v/>
      </c>
      <c r="F339" s="66">
        <f>INDEX(Projects[AS Tote Locations],338)</f>
        <v/>
      </c>
      <c r="G339" s="66">
        <f>INDEX(Projects[PS Shuttles],338)</f>
        <v/>
      </c>
      <c r="H339" s="66">
        <f>INDEX(Projects[PS Pallet Locations],338)</f>
        <v/>
      </c>
      <c r="I339" s="66">
        <f>INDEX(Projects[SRM Cranes],338)</f>
        <v/>
      </c>
      <c r="J339" s="66">
        <f>INDEX(Projects[SRM Pallet Locations],338)</f>
        <v/>
      </c>
      <c r="K339" s="66">
        <f>INDEX(Projects[Case Conv (m)],338)</f>
        <v/>
      </c>
      <c r="L339" s="66">
        <f>INDEX(Projects[Pallet Conv (m)],338)</f>
        <v/>
      </c>
      <c r="M339" s="66">
        <f>INDEX(Projects[Mech Eng (wks)],338)</f>
        <v/>
      </c>
      <c r="N339" s="66">
        <f>INDEX(Projects[Controls Eng (wks)],338)</f>
        <v/>
      </c>
      <c r="O339" s="66">
        <f>INDEX(Projects[Systems Eng (wks)],338)</f>
        <v/>
      </c>
      <c r="P339" s="66">
        <f>INDEX(Projects[Software Eng (wks)],338)</f>
        <v/>
      </c>
      <c r="Q339" s="66">
        <f>INDEX(Projects[M&amp;E Installation (wks)],338)</f>
        <v/>
      </c>
      <c r="R339" s="66">
        <f>INDEX(Projects[Commissioning (wks)],338)</f>
        <v/>
      </c>
      <c r="S339" s="66">
        <f>INDEX(Projects[Total Timeline (wks)],338)</f>
        <v/>
      </c>
      <c r="T339" s="66">
        <f>INDEX(Projects[Currency],338)&amp;""</f>
        <v/>
      </c>
      <c r="U339" s="67">
        <f>INDEX(Projects[Value (M)],338)</f>
        <v/>
      </c>
      <c r="V339" s="66">
        <f>IF('Smart Search'!B13=1,IFERROR(1/'Smart Search'!H13,0),0)</f>
        <v/>
      </c>
      <c r="W339" s="66">
        <f>IF('Smart Search'!B13=1,IFERROR(1/'Smart Search'!H13,0),0)</f>
        <v/>
      </c>
      <c r="X339" s="66">
        <f>IF('Smart Search'!C13=1,IFERROR(1/'Smart Search'!H13,0),0)</f>
        <v/>
      </c>
      <c r="Y339" s="66">
        <f>IF('Smart Search'!C13=1,IFERROR(1/'Smart Search'!H13,0),0)</f>
        <v/>
      </c>
      <c r="Z339" s="66">
        <f>IF('Smart Search'!D13=1,IFERROR(1/'Smart Search'!H13,0),0)</f>
        <v/>
      </c>
      <c r="AA339" s="66">
        <f>IF('Smart Search'!D13=1,IFERROR(1/'Smart Search'!H13,0),0)</f>
        <v/>
      </c>
      <c r="AB339" s="66">
        <f>IF('Smart Search'!E13=1,IFERROR(1/'Smart Search'!H13,0),0)</f>
        <v/>
      </c>
      <c r="AC339" s="66">
        <f>IF('Smart Search'!E13=1,IFERROR(1/'Smart Search'!H13,0),0)</f>
        <v/>
      </c>
      <c r="AD339" s="66">
        <f>IF('Smart Search'!F13=1,IFERROR(1/'Smart Search'!H13,0),0)</f>
        <v/>
      </c>
      <c r="AE339" s="66">
        <f>IF('Smart Search'!F13=1,IFERROR(1/'Smart Search'!H13,0),0)</f>
        <v/>
      </c>
      <c r="AF339" s="66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66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66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66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66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66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66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66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66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66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66">
        <f>AF339*V339</f>
        <v/>
      </c>
      <c r="AQ339" s="66">
        <f>AG339*W339</f>
        <v/>
      </c>
      <c r="AR339" s="66">
        <f>AH339*X339</f>
        <v/>
      </c>
      <c r="AS339" s="66">
        <f>AI339*Y339</f>
        <v/>
      </c>
      <c r="AT339" s="66">
        <f>AJ339*Z339</f>
        <v/>
      </c>
      <c r="AU339" s="66">
        <f>AK339*AA339</f>
        <v/>
      </c>
      <c r="AV339" s="66">
        <f>AL339*AB339</f>
        <v/>
      </c>
      <c r="AW339" s="66">
        <f>AM339*AC339</f>
        <v/>
      </c>
      <c r="AX339" s="66">
        <f>AN339*AD339</f>
        <v/>
      </c>
      <c r="AY339" s="66">
        <f>AO339*AE339</f>
        <v/>
      </c>
      <c r="AZ339" s="66">
        <f>INDEX(Projects[Automation Equipment],338)&amp;""</f>
        <v/>
      </c>
      <c r="BA339" s="66">
        <f>IF(OR(A339="",'Smart Search'!H13=0),"",MAX(0,BE339*BF339*MAX(0,1-BG339)))</f>
        <v/>
      </c>
      <c r="BB339" s="66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66">
        <f>IF('Smart Search'!G13=1,IFERROR(1/'Smart Search'!H13,0),0)</f>
        <v/>
      </c>
      <c r="BD339" s="66">
        <f>BB339*BC339</f>
        <v/>
      </c>
      <c r="BE339" s="66">
        <f>AP339+AQ339+AR339+AS339+AT339+AU339+AV339+AW339+AX339+AY339+BD339</f>
        <v/>
      </c>
      <c r="BF339" s="5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5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5">
        <f>IF(AND(A339&lt;&gt;"",OR('Smart Search'!$L$5="",'Smart Search'!$L$5="All",TRIM(BZ339)=TRIM('Smart Search'!$L$5)),OR(TRIM('Smart Search'!$L$6)="",TRIM('Smart Search'!$L$6)="All",ISNUMBER(SEARCH(SUBSTITUTE(SUBSTITUTE(SUBSTITUTE(TRIM('Smart Search'!$L$6),"~","~~"),"*","~*"),"?","~?"),CA339))),OR('Smart Search'!$L$7="",AND(CB339&lt;&gt;0,CB339='Smart Search'!$L$7)),OR('Smart Search'!$L$8="",'Smart Search'!$L$8="All",TRIM(CC339)=TRIM('Smart Search'!$L$8))),IF(BA339="","",BA339+ROW()*0.0000000001),"")</f>
        <v/>
      </c>
      <c r="BI339" s="5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5">
        <f>IF(A339="","",N(INDEX(Projects[Mech Inst],338)))</f>
        <v/>
      </c>
      <c r="BK339" s="5">
        <f>IF(A339="","",N(INDEX(Projects[Elec Inst],338)))</f>
        <v/>
      </c>
      <c r="BL339" s="5">
        <f>IF(A339="","",N(INDEX(Projects[Project Management],338)))</f>
        <v/>
      </c>
      <c r="BM339" s="5">
        <f>IF(A339="","",N(INDEX(Projects[Systems Eng],338)))</f>
        <v/>
      </c>
      <c r="BN339" s="5">
        <f>IF(A339="","",N(INDEX(Projects[Mechanical Eng],338)))</f>
        <v/>
      </c>
      <c r="BO339" s="5">
        <f>IF(A339="","",N(INDEX(Projects[Structural Engineering],338)))</f>
        <v/>
      </c>
      <c r="BP339" s="5">
        <f>IF(A339="","",N(INDEX(Projects[Site Sup],338)))</f>
        <v/>
      </c>
      <c r="BQ339" s="5">
        <f>IF(A339="","",N(INDEX(Projects[Controls Commissioning],338)))</f>
        <v/>
      </c>
      <c r="BR339" s="5">
        <f>IF(A339="","",N(INDEX(Projects[Systems Commissioning],338)))</f>
        <v/>
      </c>
      <c r="BS339" s="5">
        <f>IF(A339="","",N(INDEX(Projects[Service Commissioning],338)))</f>
        <v/>
      </c>
      <c r="BT339" s="5">
        <f>IF(A339="","",N(INDEX(Projects[Controls Eng],338)))</f>
        <v/>
      </c>
      <c r="BU339" s="5">
        <f>IF(A339="","",N(INDEX(Projects[Controls Purchase],338)))</f>
        <v/>
      </c>
      <c r="BV339" s="5">
        <f>IF(A339="","",N(INDEX(Projects[Software Eng],338)))</f>
        <v/>
      </c>
      <c r="BW339" s="5">
        <f>IF(A339="","",N(INDEX(Projects[Misc],338)))</f>
        <v/>
      </c>
      <c r="BX339" s="5">
        <f>IF(A339="","",SUM(BJ339:BW339))</f>
        <v/>
      </c>
      <c r="BY339" s="5">
        <f>IF(A339="","",IFERROR(IF(ISNUMBER(U339),U339,VALUE(SUBSTITUTE(SUBSTITUTE(SUBSTITUTE(UPPER(TRIM(U339)),"M",""),",","")," ",""))),0))</f>
        <v/>
      </c>
      <c r="BZ339" s="5">
        <f>INDEX(Projects[Solution Type],338)&amp;""</f>
        <v/>
      </c>
      <c r="CA339" s="5">
        <f>INDEX(Projects[Client / Region],338)&amp;""</f>
        <v/>
      </c>
      <c r="CB339" s="5">
        <f>INDEX(Projects[Year],338)</f>
        <v/>
      </c>
      <c r="CC339" s="5">
        <f>INDEX(Projects[Won?],338)&amp;""</f>
        <v/>
      </c>
      <c r="CD339" s="5">
        <f>INDEX(Projects[Value (USD M)],338)</f>
        <v/>
      </c>
    </row>
    <row r="340" ht="15" customHeight="1" s="74">
      <c r="A340" s="66">
        <f>INDEX(Projects[Project ID *],339)&amp;""</f>
        <v/>
      </c>
      <c r="B340" s="66">
        <f>INDEX(Projects[Project Name *],339)&amp;""</f>
        <v/>
      </c>
      <c r="C340" s="66">
        <f>INDEX(Projects[MS Shuttles],339)</f>
        <v/>
      </c>
      <c r="D340" s="66">
        <f>INDEX(Projects[MS Tote Locations],339)</f>
        <v/>
      </c>
      <c r="E340" s="66">
        <f>INDEX(Projects[AS Robots],339)</f>
        <v/>
      </c>
      <c r="F340" s="66">
        <f>INDEX(Projects[AS Tote Locations],339)</f>
        <v/>
      </c>
      <c r="G340" s="66">
        <f>INDEX(Projects[PS Shuttles],339)</f>
        <v/>
      </c>
      <c r="H340" s="66">
        <f>INDEX(Projects[PS Pallet Locations],339)</f>
        <v/>
      </c>
      <c r="I340" s="66">
        <f>INDEX(Projects[SRM Cranes],339)</f>
        <v/>
      </c>
      <c r="J340" s="66">
        <f>INDEX(Projects[SRM Pallet Locations],339)</f>
        <v/>
      </c>
      <c r="K340" s="66">
        <f>INDEX(Projects[Case Conv (m)],339)</f>
        <v/>
      </c>
      <c r="L340" s="66">
        <f>INDEX(Projects[Pallet Conv (m)],339)</f>
        <v/>
      </c>
      <c r="M340" s="66">
        <f>INDEX(Projects[Mech Eng (wks)],339)</f>
        <v/>
      </c>
      <c r="N340" s="66">
        <f>INDEX(Projects[Controls Eng (wks)],339)</f>
        <v/>
      </c>
      <c r="O340" s="66">
        <f>INDEX(Projects[Systems Eng (wks)],339)</f>
        <v/>
      </c>
      <c r="P340" s="66">
        <f>INDEX(Projects[Software Eng (wks)],339)</f>
        <v/>
      </c>
      <c r="Q340" s="66">
        <f>INDEX(Projects[M&amp;E Installation (wks)],339)</f>
        <v/>
      </c>
      <c r="R340" s="66">
        <f>INDEX(Projects[Commissioning (wks)],339)</f>
        <v/>
      </c>
      <c r="S340" s="66">
        <f>INDEX(Projects[Total Timeline (wks)],339)</f>
        <v/>
      </c>
      <c r="T340" s="66">
        <f>INDEX(Projects[Currency],339)&amp;""</f>
        <v/>
      </c>
      <c r="U340" s="67">
        <f>INDEX(Projects[Value (M)],339)</f>
        <v/>
      </c>
      <c r="V340" s="66">
        <f>IF('Smart Search'!B13=1,IFERROR(1/'Smart Search'!H13,0),0)</f>
        <v/>
      </c>
      <c r="W340" s="66">
        <f>IF('Smart Search'!B13=1,IFERROR(1/'Smart Search'!H13,0),0)</f>
        <v/>
      </c>
      <c r="X340" s="66">
        <f>IF('Smart Search'!C13=1,IFERROR(1/'Smart Search'!H13,0),0)</f>
        <v/>
      </c>
      <c r="Y340" s="66">
        <f>IF('Smart Search'!C13=1,IFERROR(1/'Smart Search'!H13,0),0)</f>
        <v/>
      </c>
      <c r="Z340" s="66">
        <f>IF('Smart Search'!D13=1,IFERROR(1/'Smart Search'!H13,0),0)</f>
        <v/>
      </c>
      <c r="AA340" s="66">
        <f>IF('Smart Search'!D13=1,IFERROR(1/'Smart Search'!H13,0),0)</f>
        <v/>
      </c>
      <c r="AB340" s="66">
        <f>IF('Smart Search'!E13=1,IFERROR(1/'Smart Search'!H13,0),0)</f>
        <v/>
      </c>
      <c r="AC340" s="66">
        <f>IF('Smart Search'!E13=1,IFERROR(1/'Smart Search'!H13,0),0)</f>
        <v/>
      </c>
      <c r="AD340" s="66">
        <f>IF('Smart Search'!F13=1,IFERROR(1/'Smart Search'!H13,0),0)</f>
        <v/>
      </c>
      <c r="AE340" s="66">
        <f>IF('Smart Search'!F13=1,IFERROR(1/'Smart Search'!H13,0),0)</f>
        <v/>
      </c>
      <c r="AF340" s="66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66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66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66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66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66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66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66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66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66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66">
        <f>AF340*V340</f>
        <v/>
      </c>
      <c r="AQ340" s="66">
        <f>AG340*W340</f>
        <v/>
      </c>
      <c r="AR340" s="66">
        <f>AH340*X340</f>
        <v/>
      </c>
      <c r="AS340" s="66">
        <f>AI340*Y340</f>
        <v/>
      </c>
      <c r="AT340" s="66">
        <f>AJ340*Z340</f>
        <v/>
      </c>
      <c r="AU340" s="66">
        <f>AK340*AA340</f>
        <v/>
      </c>
      <c r="AV340" s="66">
        <f>AL340*AB340</f>
        <v/>
      </c>
      <c r="AW340" s="66">
        <f>AM340*AC340</f>
        <v/>
      </c>
      <c r="AX340" s="66">
        <f>AN340*AD340</f>
        <v/>
      </c>
      <c r="AY340" s="66">
        <f>AO340*AE340</f>
        <v/>
      </c>
      <c r="AZ340" s="66">
        <f>INDEX(Projects[Automation Equipment],339)&amp;""</f>
        <v/>
      </c>
      <c r="BA340" s="66">
        <f>IF(OR(A340="",'Smart Search'!H13=0),"",MAX(0,BE340*BF340*MAX(0,1-BG340)))</f>
        <v/>
      </c>
      <c r="BB340" s="66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66">
        <f>IF('Smart Search'!G13=1,IFERROR(1/'Smart Search'!H13,0),0)</f>
        <v/>
      </c>
      <c r="BD340" s="66">
        <f>BB340*BC340</f>
        <v/>
      </c>
      <c r="BE340" s="66">
        <f>AP340+AQ340+AR340+AS340+AT340+AU340+AV340+AW340+AX340+AY340+BD340</f>
        <v/>
      </c>
      <c r="BF340" s="5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5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5">
        <f>IF(AND(A340&lt;&gt;"",OR('Smart Search'!$L$5="",'Smart Search'!$L$5="All",TRIM(BZ340)=TRIM('Smart Search'!$L$5)),OR(TRIM('Smart Search'!$L$6)="",TRIM('Smart Search'!$L$6)="All",ISNUMBER(SEARCH(SUBSTITUTE(SUBSTITUTE(SUBSTITUTE(TRIM('Smart Search'!$L$6),"~","~~"),"*","~*"),"?","~?"),CA340))),OR('Smart Search'!$L$7="",AND(CB340&lt;&gt;0,CB340='Smart Search'!$L$7)),OR('Smart Search'!$L$8="",'Smart Search'!$L$8="All",TRIM(CC340)=TRIM('Smart Search'!$L$8))),IF(BA340="","",BA340+ROW()*0.0000000001),"")</f>
        <v/>
      </c>
      <c r="BI340" s="5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5">
        <f>IF(A340="","",N(INDEX(Projects[Mech Inst],339)))</f>
        <v/>
      </c>
      <c r="BK340" s="5">
        <f>IF(A340="","",N(INDEX(Projects[Elec Inst],339)))</f>
        <v/>
      </c>
      <c r="BL340" s="5">
        <f>IF(A340="","",N(INDEX(Projects[Project Management],339)))</f>
        <v/>
      </c>
      <c r="BM340" s="5">
        <f>IF(A340="","",N(INDEX(Projects[Systems Eng],339)))</f>
        <v/>
      </c>
      <c r="BN340" s="5">
        <f>IF(A340="","",N(INDEX(Projects[Mechanical Eng],339)))</f>
        <v/>
      </c>
      <c r="BO340" s="5">
        <f>IF(A340="","",N(INDEX(Projects[Structural Engineering],339)))</f>
        <v/>
      </c>
      <c r="BP340" s="5">
        <f>IF(A340="","",N(INDEX(Projects[Site Sup],339)))</f>
        <v/>
      </c>
      <c r="BQ340" s="5">
        <f>IF(A340="","",N(INDEX(Projects[Controls Commissioning],339)))</f>
        <v/>
      </c>
      <c r="BR340" s="5">
        <f>IF(A340="","",N(INDEX(Projects[Systems Commissioning],339)))</f>
        <v/>
      </c>
      <c r="BS340" s="5">
        <f>IF(A340="","",N(INDEX(Projects[Service Commissioning],339)))</f>
        <v/>
      </c>
      <c r="BT340" s="5">
        <f>IF(A340="","",N(INDEX(Projects[Controls Eng],339)))</f>
        <v/>
      </c>
      <c r="BU340" s="5">
        <f>IF(A340="","",N(INDEX(Projects[Controls Purchase],339)))</f>
        <v/>
      </c>
      <c r="BV340" s="5">
        <f>IF(A340="","",N(INDEX(Projects[Software Eng],339)))</f>
        <v/>
      </c>
      <c r="BW340" s="5">
        <f>IF(A340="","",N(INDEX(Projects[Misc],339)))</f>
        <v/>
      </c>
      <c r="BX340" s="5">
        <f>IF(A340="","",SUM(BJ340:BW340))</f>
        <v/>
      </c>
      <c r="BY340" s="5">
        <f>IF(A340="","",IFERROR(IF(ISNUMBER(U340),U340,VALUE(SUBSTITUTE(SUBSTITUTE(SUBSTITUTE(UPPER(TRIM(U340)),"M",""),",","")," ",""))),0))</f>
        <v/>
      </c>
      <c r="BZ340" s="5">
        <f>INDEX(Projects[Solution Type],339)&amp;""</f>
        <v/>
      </c>
      <c r="CA340" s="5">
        <f>INDEX(Projects[Client / Region],339)&amp;""</f>
        <v/>
      </c>
      <c r="CB340" s="5">
        <f>INDEX(Projects[Year],339)</f>
        <v/>
      </c>
      <c r="CC340" s="5">
        <f>INDEX(Projects[Won?],339)&amp;""</f>
        <v/>
      </c>
      <c r="CD340" s="5">
        <f>INDEX(Projects[Value (USD M)],339)</f>
        <v/>
      </c>
    </row>
    <row r="341" ht="15" customHeight="1" s="74">
      <c r="A341" s="66">
        <f>INDEX(Projects[Project ID *],340)&amp;""</f>
        <v/>
      </c>
      <c r="B341" s="66">
        <f>INDEX(Projects[Project Name *],340)&amp;""</f>
        <v/>
      </c>
      <c r="C341" s="66">
        <f>INDEX(Projects[MS Shuttles],340)</f>
        <v/>
      </c>
      <c r="D341" s="66">
        <f>INDEX(Projects[MS Tote Locations],340)</f>
        <v/>
      </c>
      <c r="E341" s="66">
        <f>INDEX(Projects[AS Robots],340)</f>
        <v/>
      </c>
      <c r="F341" s="66">
        <f>INDEX(Projects[AS Tote Locations],340)</f>
        <v/>
      </c>
      <c r="G341" s="66">
        <f>INDEX(Projects[PS Shuttles],340)</f>
        <v/>
      </c>
      <c r="H341" s="66">
        <f>INDEX(Projects[PS Pallet Locations],340)</f>
        <v/>
      </c>
      <c r="I341" s="66">
        <f>INDEX(Projects[SRM Cranes],340)</f>
        <v/>
      </c>
      <c r="J341" s="66">
        <f>INDEX(Projects[SRM Pallet Locations],340)</f>
        <v/>
      </c>
      <c r="K341" s="66">
        <f>INDEX(Projects[Case Conv (m)],340)</f>
        <v/>
      </c>
      <c r="L341" s="66">
        <f>INDEX(Projects[Pallet Conv (m)],340)</f>
        <v/>
      </c>
      <c r="M341" s="66">
        <f>INDEX(Projects[Mech Eng (wks)],340)</f>
        <v/>
      </c>
      <c r="N341" s="66">
        <f>INDEX(Projects[Controls Eng (wks)],340)</f>
        <v/>
      </c>
      <c r="O341" s="66">
        <f>INDEX(Projects[Systems Eng (wks)],340)</f>
        <v/>
      </c>
      <c r="P341" s="66">
        <f>INDEX(Projects[Software Eng (wks)],340)</f>
        <v/>
      </c>
      <c r="Q341" s="66">
        <f>INDEX(Projects[M&amp;E Installation (wks)],340)</f>
        <v/>
      </c>
      <c r="R341" s="66">
        <f>INDEX(Projects[Commissioning (wks)],340)</f>
        <v/>
      </c>
      <c r="S341" s="66">
        <f>INDEX(Projects[Total Timeline (wks)],340)</f>
        <v/>
      </c>
      <c r="T341" s="66">
        <f>INDEX(Projects[Currency],340)&amp;""</f>
        <v/>
      </c>
      <c r="U341" s="67">
        <f>INDEX(Projects[Value (M)],340)</f>
        <v/>
      </c>
      <c r="V341" s="66">
        <f>IF('Smart Search'!B13=1,IFERROR(1/'Smart Search'!H13,0),0)</f>
        <v/>
      </c>
      <c r="W341" s="66">
        <f>IF('Smart Search'!B13=1,IFERROR(1/'Smart Search'!H13,0),0)</f>
        <v/>
      </c>
      <c r="X341" s="66">
        <f>IF('Smart Search'!C13=1,IFERROR(1/'Smart Search'!H13,0),0)</f>
        <v/>
      </c>
      <c r="Y341" s="66">
        <f>IF('Smart Search'!C13=1,IFERROR(1/'Smart Search'!H13,0),0)</f>
        <v/>
      </c>
      <c r="Z341" s="66">
        <f>IF('Smart Search'!D13=1,IFERROR(1/'Smart Search'!H13,0),0)</f>
        <v/>
      </c>
      <c r="AA341" s="66">
        <f>IF('Smart Search'!D13=1,IFERROR(1/'Smart Search'!H13,0),0)</f>
        <v/>
      </c>
      <c r="AB341" s="66">
        <f>IF('Smart Search'!E13=1,IFERROR(1/'Smart Search'!H13,0),0)</f>
        <v/>
      </c>
      <c r="AC341" s="66">
        <f>IF('Smart Search'!E13=1,IFERROR(1/'Smart Search'!H13,0),0)</f>
        <v/>
      </c>
      <c r="AD341" s="66">
        <f>IF('Smart Search'!F13=1,IFERROR(1/'Smart Search'!H13,0),0)</f>
        <v/>
      </c>
      <c r="AE341" s="66">
        <f>IF('Smart Search'!F13=1,IFERROR(1/'Smart Search'!H13,0),0)</f>
        <v/>
      </c>
      <c r="AF341" s="66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66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66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66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66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66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66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66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66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66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66">
        <f>AF341*V341</f>
        <v/>
      </c>
      <c r="AQ341" s="66">
        <f>AG341*W341</f>
        <v/>
      </c>
      <c r="AR341" s="66">
        <f>AH341*X341</f>
        <v/>
      </c>
      <c r="AS341" s="66">
        <f>AI341*Y341</f>
        <v/>
      </c>
      <c r="AT341" s="66">
        <f>AJ341*Z341</f>
        <v/>
      </c>
      <c r="AU341" s="66">
        <f>AK341*AA341</f>
        <v/>
      </c>
      <c r="AV341" s="66">
        <f>AL341*AB341</f>
        <v/>
      </c>
      <c r="AW341" s="66">
        <f>AM341*AC341</f>
        <v/>
      </c>
      <c r="AX341" s="66">
        <f>AN341*AD341</f>
        <v/>
      </c>
      <c r="AY341" s="66">
        <f>AO341*AE341</f>
        <v/>
      </c>
      <c r="AZ341" s="66">
        <f>INDEX(Projects[Automation Equipment],340)&amp;""</f>
        <v/>
      </c>
      <c r="BA341" s="66">
        <f>IF(OR(A341="",'Smart Search'!H13=0),"",MAX(0,BE341*BF341*MAX(0,1-BG341)))</f>
        <v/>
      </c>
      <c r="BB341" s="66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66">
        <f>IF('Smart Search'!G13=1,IFERROR(1/'Smart Search'!H13,0),0)</f>
        <v/>
      </c>
      <c r="BD341" s="66">
        <f>BB341*BC341</f>
        <v/>
      </c>
      <c r="BE341" s="66">
        <f>AP341+AQ341+AR341+AS341+AT341+AU341+AV341+AW341+AX341+AY341+BD341</f>
        <v/>
      </c>
      <c r="BF341" s="5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5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5">
        <f>IF(AND(A341&lt;&gt;"",OR('Smart Search'!$L$5="",'Smart Search'!$L$5="All",TRIM(BZ341)=TRIM('Smart Search'!$L$5)),OR(TRIM('Smart Search'!$L$6)="",TRIM('Smart Search'!$L$6)="All",ISNUMBER(SEARCH(SUBSTITUTE(SUBSTITUTE(SUBSTITUTE(TRIM('Smart Search'!$L$6),"~","~~"),"*","~*"),"?","~?"),CA341))),OR('Smart Search'!$L$7="",AND(CB341&lt;&gt;0,CB341='Smart Search'!$L$7)),OR('Smart Search'!$L$8="",'Smart Search'!$L$8="All",TRIM(CC341)=TRIM('Smart Search'!$L$8))),IF(BA341="","",BA341+ROW()*0.0000000001),"")</f>
        <v/>
      </c>
      <c r="BI341" s="5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5">
        <f>IF(A341="","",N(INDEX(Projects[Mech Inst],340)))</f>
        <v/>
      </c>
      <c r="BK341" s="5">
        <f>IF(A341="","",N(INDEX(Projects[Elec Inst],340)))</f>
        <v/>
      </c>
      <c r="BL341" s="5">
        <f>IF(A341="","",N(INDEX(Projects[Project Management],340)))</f>
        <v/>
      </c>
      <c r="BM341" s="5">
        <f>IF(A341="","",N(INDEX(Projects[Systems Eng],340)))</f>
        <v/>
      </c>
      <c r="BN341" s="5">
        <f>IF(A341="","",N(INDEX(Projects[Mechanical Eng],340)))</f>
        <v/>
      </c>
      <c r="BO341" s="5">
        <f>IF(A341="","",N(INDEX(Projects[Structural Engineering],340)))</f>
        <v/>
      </c>
      <c r="BP341" s="5">
        <f>IF(A341="","",N(INDEX(Projects[Site Sup],340)))</f>
        <v/>
      </c>
      <c r="BQ341" s="5">
        <f>IF(A341="","",N(INDEX(Projects[Controls Commissioning],340)))</f>
        <v/>
      </c>
      <c r="BR341" s="5">
        <f>IF(A341="","",N(INDEX(Projects[Systems Commissioning],340)))</f>
        <v/>
      </c>
      <c r="BS341" s="5">
        <f>IF(A341="","",N(INDEX(Projects[Service Commissioning],340)))</f>
        <v/>
      </c>
      <c r="BT341" s="5">
        <f>IF(A341="","",N(INDEX(Projects[Controls Eng],340)))</f>
        <v/>
      </c>
      <c r="BU341" s="5">
        <f>IF(A341="","",N(INDEX(Projects[Controls Purchase],340)))</f>
        <v/>
      </c>
      <c r="BV341" s="5">
        <f>IF(A341="","",N(INDEX(Projects[Software Eng],340)))</f>
        <v/>
      </c>
      <c r="BW341" s="5">
        <f>IF(A341="","",N(INDEX(Projects[Misc],340)))</f>
        <v/>
      </c>
      <c r="BX341" s="5">
        <f>IF(A341="","",SUM(BJ341:BW341))</f>
        <v/>
      </c>
      <c r="BY341" s="5">
        <f>IF(A341="","",IFERROR(IF(ISNUMBER(U341),U341,VALUE(SUBSTITUTE(SUBSTITUTE(SUBSTITUTE(UPPER(TRIM(U341)),"M",""),",","")," ",""))),0))</f>
        <v/>
      </c>
      <c r="BZ341" s="5">
        <f>INDEX(Projects[Solution Type],340)&amp;""</f>
        <v/>
      </c>
      <c r="CA341" s="5">
        <f>INDEX(Projects[Client / Region],340)&amp;""</f>
        <v/>
      </c>
      <c r="CB341" s="5">
        <f>INDEX(Projects[Year],340)</f>
        <v/>
      </c>
      <c r="CC341" s="5">
        <f>INDEX(Projects[Won?],340)&amp;""</f>
        <v/>
      </c>
      <c r="CD341" s="5">
        <f>INDEX(Projects[Value (USD M)],340)</f>
        <v/>
      </c>
    </row>
    <row r="342" ht="15" customHeight="1" s="74">
      <c r="A342" s="66">
        <f>INDEX(Projects[Project ID *],341)&amp;""</f>
        <v/>
      </c>
      <c r="B342" s="66">
        <f>INDEX(Projects[Project Name *],341)&amp;""</f>
        <v/>
      </c>
      <c r="C342" s="66">
        <f>INDEX(Projects[MS Shuttles],341)</f>
        <v/>
      </c>
      <c r="D342" s="66">
        <f>INDEX(Projects[MS Tote Locations],341)</f>
        <v/>
      </c>
      <c r="E342" s="66">
        <f>INDEX(Projects[AS Robots],341)</f>
        <v/>
      </c>
      <c r="F342" s="66">
        <f>INDEX(Projects[AS Tote Locations],341)</f>
        <v/>
      </c>
      <c r="G342" s="66">
        <f>INDEX(Projects[PS Shuttles],341)</f>
        <v/>
      </c>
      <c r="H342" s="66">
        <f>INDEX(Projects[PS Pallet Locations],341)</f>
        <v/>
      </c>
      <c r="I342" s="66">
        <f>INDEX(Projects[SRM Cranes],341)</f>
        <v/>
      </c>
      <c r="J342" s="66">
        <f>INDEX(Projects[SRM Pallet Locations],341)</f>
        <v/>
      </c>
      <c r="K342" s="66">
        <f>INDEX(Projects[Case Conv (m)],341)</f>
        <v/>
      </c>
      <c r="L342" s="66">
        <f>INDEX(Projects[Pallet Conv (m)],341)</f>
        <v/>
      </c>
      <c r="M342" s="66">
        <f>INDEX(Projects[Mech Eng (wks)],341)</f>
        <v/>
      </c>
      <c r="N342" s="66">
        <f>INDEX(Projects[Controls Eng (wks)],341)</f>
        <v/>
      </c>
      <c r="O342" s="66">
        <f>INDEX(Projects[Systems Eng (wks)],341)</f>
        <v/>
      </c>
      <c r="P342" s="66">
        <f>INDEX(Projects[Software Eng (wks)],341)</f>
        <v/>
      </c>
      <c r="Q342" s="66">
        <f>INDEX(Projects[M&amp;E Installation (wks)],341)</f>
        <v/>
      </c>
      <c r="R342" s="66">
        <f>INDEX(Projects[Commissioning (wks)],341)</f>
        <v/>
      </c>
      <c r="S342" s="66">
        <f>INDEX(Projects[Total Timeline (wks)],341)</f>
        <v/>
      </c>
      <c r="T342" s="66">
        <f>INDEX(Projects[Currency],341)&amp;""</f>
        <v/>
      </c>
      <c r="U342" s="67">
        <f>INDEX(Projects[Value (M)],341)</f>
        <v/>
      </c>
      <c r="V342" s="66">
        <f>IF('Smart Search'!B13=1,IFERROR(1/'Smart Search'!H13,0),0)</f>
        <v/>
      </c>
      <c r="W342" s="66">
        <f>IF('Smart Search'!B13=1,IFERROR(1/'Smart Search'!H13,0),0)</f>
        <v/>
      </c>
      <c r="X342" s="66">
        <f>IF('Smart Search'!C13=1,IFERROR(1/'Smart Search'!H13,0),0)</f>
        <v/>
      </c>
      <c r="Y342" s="66">
        <f>IF('Smart Search'!C13=1,IFERROR(1/'Smart Search'!H13,0),0)</f>
        <v/>
      </c>
      <c r="Z342" s="66">
        <f>IF('Smart Search'!D13=1,IFERROR(1/'Smart Search'!H13,0),0)</f>
        <v/>
      </c>
      <c r="AA342" s="66">
        <f>IF('Smart Search'!D13=1,IFERROR(1/'Smart Search'!H13,0),0)</f>
        <v/>
      </c>
      <c r="AB342" s="66">
        <f>IF('Smart Search'!E13=1,IFERROR(1/'Smart Search'!H13,0),0)</f>
        <v/>
      </c>
      <c r="AC342" s="66">
        <f>IF('Smart Search'!E13=1,IFERROR(1/'Smart Search'!H13,0),0)</f>
        <v/>
      </c>
      <c r="AD342" s="66">
        <f>IF('Smart Search'!F13=1,IFERROR(1/'Smart Search'!H13,0),0)</f>
        <v/>
      </c>
      <c r="AE342" s="66">
        <f>IF('Smart Search'!F13=1,IFERROR(1/'Smart Search'!H13,0),0)</f>
        <v/>
      </c>
      <c r="AF342" s="66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66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66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66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66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66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66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66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66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66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66">
        <f>AF342*V342</f>
        <v/>
      </c>
      <c r="AQ342" s="66">
        <f>AG342*W342</f>
        <v/>
      </c>
      <c r="AR342" s="66">
        <f>AH342*X342</f>
        <v/>
      </c>
      <c r="AS342" s="66">
        <f>AI342*Y342</f>
        <v/>
      </c>
      <c r="AT342" s="66">
        <f>AJ342*Z342</f>
        <v/>
      </c>
      <c r="AU342" s="66">
        <f>AK342*AA342</f>
        <v/>
      </c>
      <c r="AV342" s="66">
        <f>AL342*AB342</f>
        <v/>
      </c>
      <c r="AW342" s="66">
        <f>AM342*AC342</f>
        <v/>
      </c>
      <c r="AX342" s="66">
        <f>AN342*AD342</f>
        <v/>
      </c>
      <c r="AY342" s="66">
        <f>AO342*AE342</f>
        <v/>
      </c>
      <c r="AZ342" s="66">
        <f>INDEX(Projects[Automation Equipment],341)&amp;""</f>
        <v/>
      </c>
      <c r="BA342" s="66">
        <f>IF(OR(A342="",'Smart Search'!H13=0),"",MAX(0,BE342*BF342*MAX(0,1-BG342)))</f>
        <v/>
      </c>
      <c r="BB342" s="66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66">
        <f>IF('Smart Search'!G13=1,IFERROR(1/'Smart Search'!H13,0),0)</f>
        <v/>
      </c>
      <c r="BD342" s="66">
        <f>BB342*BC342</f>
        <v/>
      </c>
      <c r="BE342" s="66">
        <f>AP342+AQ342+AR342+AS342+AT342+AU342+AV342+AW342+AX342+AY342+BD342</f>
        <v/>
      </c>
      <c r="BF342" s="5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5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5">
        <f>IF(AND(A342&lt;&gt;"",OR('Smart Search'!$L$5="",'Smart Search'!$L$5="All",TRIM(BZ342)=TRIM('Smart Search'!$L$5)),OR(TRIM('Smart Search'!$L$6)="",TRIM('Smart Search'!$L$6)="All",ISNUMBER(SEARCH(SUBSTITUTE(SUBSTITUTE(SUBSTITUTE(TRIM('Smart Search'!$L$6),"~","~~"),"*","~*"),"?","~?"),CA342))),OR('Smart Search'!$L$7="",AND(CB342&lt;&gt;0,CB342='Smart Search'!$L$7)),OR('Smart Search'!$L$8="",'Smart Search'!$L$8="All",TRIM(CC342)=TRIM('Smart Search'!$L$8))),IF(BA342="","",BA342+ROW()*0.0000000001),"")</f>
        <v/>
      </c>
      <c r="BI342" s="5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5">
        <f>IF(A342="","",N(INDEX(Projects[Mech Inst],341)))</f>
        <v/>
      </c>
      <c r="BK342" s="5">
        <f>IF(A342="","",N(INDEX(Projects[Elec Inst],341)))</f>
        <v/>
      </c>
      <c r="BL342" s="5">
        <f>IF(A342="","",N(INDEX(Projects[Project Management],341)))</f>
        <v/>
      </c>
      <c r="BM342" s="5">
        <f>IF(A342="","",N(INDEX(Projects[Systems Eng],341)))</f>
        <v/>
      </c>
      <c r="BN342" s="5">
        <f>IF(A342="","",N(INDEX(Projects[Mechanical Eng],341)))</f>
        <v/>
      </c>
      <c r="BO342" s="5">
        <f>IF(A342="","",N(INDEX(Projects[Structural Engineering],341)))</f>
        <v/>
      </c>
      <c r="BP342" s="5">
        <f>IF(A342="","",N(INDEX(Projects[Site Sup],341)))</f>
        <v/>
      </c>
      <c r="BQ342" s="5">
        <f>IF(A342="","",N(INDEX(Projects[Controls Commissioning],341)))</f>
        <v/>
      </c>
      <c r="BR342" s="5">
        <f>IF(A342="","",N(INDEX(Projects[Systems Commissioning],341)))</f>
        <v/>
      </c>
      <c r="BS342" s="5">
        <f>IF(A342="","",N(INDEX(Projects[Service Commissioning],341)))</f>
        <v/>
      </c>
      <c r="BT342" s="5">
        <f>IF(A342="","",N(INDEX(Projects[Controls Eng],341)))</f>
        <v/>
      </c>
      <c r="BU342" s="5">
        <f>IF(A342="","",N(INDEX(Projects[Controls Purchase],341)))</f>
        <v/>
      </c>
      <c r="BV342" s="5">
        <f>IF(A342="","",N(INDEX(Projects[Software Eng],341)))</f>
        <v/>
      </c>
      <c r="BW342" s="5">
        <f>IF(A342="","",N(INDEX(Projects[Misc],341)))</f>
        <v/>
      </c>
      <c r="BX342" s="5">
        <f>IF(A342="","",SUM(BJ342:BW342))</f>
        <v/>
      </c>
      <c r="BY342" s="5">
        <f>IF(A342="","",IFERROR(IF(ISNUMBER(U342),U342,VALUE(SUBSTITUTE(SUBSTITUTE(SUBSTITUTE(UPPER(TRIM(U342)),"M",""),",","")," ",""))),0))</f>
        <v/>
      </c>
      <c r="BZ342" s="5">
        <f>INDEX(Projects[Solution Type],341)&amp;""</f>
        <v/>
      </c>
      <c r="CA342" s="5">
        <f>INDEX(Projects[Client / Region],341)&amp;""</f>
        <v/>
      </c>
      <c r="CB342" s="5">
        <f>INDEX(Projects[Year],341)</f>
        <v/>
      </c>
      <c r="CC342" s="5">
        <f>INDEX(Projects[Won?],341)&amp;""</f>
        <v/>
      </c>
      <c r="CD342" s="5">
        <f>INDEX(Projects[Value (USD M)],341)</f>
        <v/>
      </c>
    </row>
    <row r="343" ht="15" customHeight="1" s="74">
      <c r="A343" s="66">
        <f>INDEX(Projects[Project ID *],342)&amp;""</f>
        <v/>
      </c>
      <c r="B343" s="66">
        <f>INDEX(Projects[Project Name *],342)&amp;""</f>
        <v/>
      </c>
      <c r="C343" s="66">
        <f>INDEX(Projects[MS Shuttles],342)</f>
        <v/>
      </c>
      <c r="D343" s="66">
        <f>INDEX(Projects[MS Tote Locations],342)</f>
        <v/>
      </c>
      <c r="E343" s="66">
        <f>INDEX(Projects[AS Robots],342)</f>
        <v/>
      </c>
      <c r="F343" s="66">
        <f>INDEX(Projects[AS Tote Locations],342)</f>
        <v/>
      </c>
      <c r="G343" s="66">
        <f>INDEX(Projects[PS Shuttles],342)</f>
        <v/>
      </c>
      <c r="H343" s="66">
        <f>INDEX(Projects[PS Pallet Locations],342)</f>
        <v/>
      </c>
      <c r="I343" s="66">
        <f>INDEX(Projects[SRM Cranes],342)</f>
        <v/>
      </c>
      <c r="J343" s="66">
        <f>INDEX(Projects[SRM Pallet Locations],342)</f>
        <v/>
      </c>
      <c r="K343" s="66">
        <f>INDEX(Projects[Case Conv (m)],342)</f>
        <v/>
      </c>
      <c r="L343" s="66">
        <f>INDEX(Projects[Pallet Conv (m)],342)</f>
        <v/>
      </c>
      <c r="M343" s="66">
        <f>INDEX(Projects[Mech Eng (wks)],342)</f>
        <v/>
      </c>
      <c r="N343" s="66">
        <f>INDEX(Projects[Controls Eng (wks)],342)</f>
        <v/>
      </c>
      <c r="O343" s="66">
        <f>INDEX(Projects[Systems Eng (wks)],342)</f>
        <v/>
      </c>
      <c r="P343" s="66">
        <f>INDEX(Projects[Software Eng (wks)],342)</f>
        <v/>
      </c>
      <c r="Q343" s="66">
        <f>INDEX(Projects[M&amp;E Installation (wks)],342)</f>
        <v/>
      </c>
      <c r="R343" s="66">
        <f>INDEX(Projects[Commissioning (wks)],342)</f>
        <v/>
      </c>
      <c r="S343" s="66">
        <f>INDEX(Projects[Total Timeline (wks)],342)</f>
        <v/>
      </c>
      <c r="T343" s="66">
        <f>INDEX(Projects[Currency],342)&amp;""</f>
        <v/>
      </c>
      <c r="U343" s="67">
        <f>INDEX(Projects[Value (M)],342)</f>
        <v/>
      </c>
      <c r="V343" s="66">
        <f>IF('Smart Search'!B13=1,IFERROR(1/'Smart Search'!H13,0),0)</f>
        <v/>
      </c>
      <c r="W343" s="66">
        <f>IF('Smart Search'!B13=1,IFERROR(1/'Smart Search'!H13,0),0)</f>
        <v/>
      </c>
      <c r="X343" s="66">
        <f>IF('Smart Search'!C13=1,IFERROR(1/'Smart Search'!H13,0),0)</f>
        <v/>
      </c>
      <c r="Y343" s="66">
        <f>IF('Smart Search'!C13=1,IFERROR(1/'Smart Search'!H13,0),0)</f>
        <v/>
      </c>
      <c r="Z343" s="66">
        <f>IF('Smart Search'!D13=1,IFERROR(1/'Smart Search'!H13,0),0)</f>
        <v/>
      </c>
      <c r="AA343" s="66">
        <f>IF('Smart Search'!D13=1,IFERROR(1/'Smart Search'!H13,0),0)</f>
        <v/>
      </c>
      <c r="AB343" s="66">
        <f>IF('Smart Search'!E13=1,IFERROR(1/'Smart Search'!H13,0),0)</f>
        <v/>
      </c>
      <c r="AC343" s="66">
        <f>IF('Smart Search'!E13=1,IFERROR(1/'Smart Search'!H13,0),0)</f>
        <v/>
      </c>
      <c r="AD343" s="66">
        <f>IF('Smart Search'!F13=1,IFERROR(1/'Smart Search'!H13,0),0)</f>
        <v/>
      </c>
      <c r="AE343" s="66">
        <f>IF('Smart Search'!F13=1,IFERROR(1/'Smart Search'!H13,0),0)</f>
        <v/>
      </c>
      <c r="AF343" s="66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66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66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66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66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66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66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66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66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66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66">
        <f>AF343*V343</f>
        <v/>
      </c>
      <c r="AQ343" s="66">
        <f>AG343*W343</f>
        <v/>
      </c>
      <c r="AR343" s="66">
        <f>AH343*X343</f>
        <v/>
      </c>
      <c r="AS343" s="66">
        <f>AI343*Y343</f>
        <v/>
      </c>
      <c r="AT343" s="66">
        <f>AJ343*Z343</f>
        <v/>
      </c>
      <c r="AU343" s="66">
        <f>AK343*AA343</f>
        <v/>
      </c>
      <c r="AV343" s="66">
        <f>AL343*AB343</f>
        <v/>
      </c>
      <c r="AW343" s="66">
        <f>AM343*AC343</f>
        <v/>
      </c>
      <c r="AX343" s="66">
        <f>AN343*AD343</f>
        <v/>
      </c>
      <c r="AY343" s="66">
        <f>AO343*AE343</f>
        <v/>
      </c>
      <c r="AZ343" s="66">
        <f>INDEX(Projects[Automation Equipment],342)&amp;""</f>
        <v/>
      </c>
      <c r="BA343" s="66">
        <f>IF(OR(A343="",'Smart Search'!H13=0),"",MAX(0,BE343*BF343*MAX(0,1-BG343)))</f>
        <v/>
      </c>
      <c r="BB343" s="66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66">
        <f>IF('Smart Search'!G13=1,IFERROR(1/'Smart Search'!H13,0),0)</f>
        <v/>
      </c>
      <c r="BD343" s="66">
        <f>BB343*BC343</f>
        <v/>
      </c>
      <c r="BE343" s="66">
        <f>AP343+AQ343+AR343+AS343+AT343+AU343+AV343+AW343+AX343+AY343+BD343</f>
        <v/>
      </c>
      <c r="BF343" s="5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5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5">
        <f>IF(AND(A343&lt;&gt;"",OR('Smart Search'!$L$5="",'Smart Search'!$L$5="All",TRIM(BZ343)=TRIM('Smart Search'!$L$5)),OR(TRIM('Smart Search'!$L$6)="",TRIM('Smart Search'!$L$6)="All",ISNUMBER(SEARCH(SUBSTITUTE(SUBSTITUTE(SUBSTITUTE(TRIM('Smart Search'!$L$6),"~","~~"),"*","~*"),"?","~?"),CA343))),OR('Smart Search'!$L$7="",AND(CB343&lt;&gt;0,CB343='Smart Search'!$L$7)),OR('Smart Search'!$L$8="",'Smart Search'!$L$8="All",TRIM(CC343)=TRIM('Smart Search'!$L$8))),IF(BA343="","",BA343+ROW()*0.0000000001),"")</f>
        <v/>
      </c>
      <c r="BI343" s="5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5">
        <f>IF(A343="","",N(INDEX(Projects[Mech Inst],342)))</f>
        <v/>
      </c>
      <c r="BK343" s="5">
        <f>IF(A343="","",N(INDEX(Projects[Elec Inst],342)))</f>
        <v/>
      </c>
      <c r="BL343" s="5">
        <f>IF(A343="","",N(INDEX(Projects[Project Management],342)))</f>
        <v/>
      </c>
      <c r="BM343" s="5">
        <f>IF(A343="","",N(INDEX(Projects[Systems Eng],342)))</f>
        <v/>
      </c>
      <c r="BN343" s="5">
        <f>IF(A343="","",N(INDEX(Projects[Mechanical Eng],342)))</f>
        <v/>
      </c>
      <c r="BO343" s="5">
        <f>IF(A343="","",N(INDEX(Projects[Structural Engineering],342)))</f>
        <v/>
      </c>
      <c r="BP343" s="5">
        <f>IF(A343="","",N(INDEX(Projects[Site Sup],342)))</f>
        <v/>
      </c>
      <c r="BQ343" s="5">
        <f>IF(A343="","",N(INDEX(Projects[Controls Commissioning],342)))</f>
        <v/>
      </c>
      <c r="BR343" s="5">
        <f>IF(A343="","",N(INDEX(Projects[Systems Commissioning],342)))</f>
        <v/>
      </c>
      <c r="BS343" s="5">
        <f>IF(A343="","",N(INDEX(Projects[Service Commissioning],342)))</f>
        <v/>
      </c>
      <c r="BT343" s="5">
        <f>IF(A343="","",N(INDEX(Projects[Controls Eng],342)))</f>
        <v/>
      </c>
      <c r="BU343" s="5">
        <f>IF(A343="","",N(INDEX(Projects[Controls Purchase],342)))</f>
        <v/>
      </c>
      <c r="BV343" s="5">
        <f>IF(A343="","",N(INDEX(Projects[Software Eng],342)))</f>
        <v/>
      </c>
      <c r="BW343" s="5">
        <f>IF(A343="","",N(INDEX(Projects[Misc],342)))</f>
        <v/>
      </c>
      <c r="BX343" s="5">
        <f>IF(A343="","",SUM(BJ343:BW343))</f>
        <v/>
      </c>
      <c r="BY343" s="5">
        <f>IF(A343="","",IFERROR(IF(ISNUMBER(U343),U343,VALUE(SUBSTITUTE(SUBSTITUTE(SUBSTITUTE(UPPER(TRIM(U343)),"M",""),",","")," ",""))),0))</f>
        <v/>
      </c>
      <c r="BZ343" s="5">
        <f>INDEX(Projects[Solution Type],342)&amp;""</f>
        <v/>
      </c>
      <c r="CA343" s="5">
        <f>INDEX(Projects[Client / Region],342)&amp;""</f>
        <v/>
      </c>
      <c r="CB343" s="5">
        <f>INDEX(Projects[Year],342)</f>
        <v/>
      </c>
      <c r="CC343" s="5">
        <f>INDEX(Projects[Won?],342)&amp;""</f>
        <v/>
      </c>
      <c r="CD343" s="5">
        <f>INDEX(Projects[Value (USD M)],342)</f>
        <v/>
      </c>
    </row>
    <row r="344" ht="15" customHeight="1" s="74">
      <c r="A344" s="66">
        <f>INDEX(Projects[Project ID *],343)&amp;""</f>
        <v/>
      </c>
      <c r="B344" s="66">
        <f>INDEX(Projects[Project Name *],343)&amp;""</f>
        <v/>
      </c>
      <c r="C344" s="66">
        <f>INDEX(Projects[MS Shuttles],343)</f>
        <v/>
      </c>
      <c r="D344" s="66">
        <f>INDEX(Projects[MS Tote Locations],343)</f>
        <v/>
      </c>
      <c r="E344" s="66">
        <f>INDEX(Projects[AS Robots],343)</f>
        <v/>
      </c>
      <c r="F344" s="66">
        <f>INDEX(Projects[AS Tote Locations],343)</f>
        <v/>
      </c>
      <c r="G344" s="66">
        <f>INDEX(Projects[PS Shuttles],343)</f>
        <v/>
      </c>
      <c r="H344" s="66">
        <f>INDEX(Projects[PS Pallet Locations],343)</f>
        <v/>
      </c>
      <c r="I344" s="66">
        <f>INDEX(Projects[SRM Cranes],343)</f>
        <v/>
      </c>
      <c r="J344" s="66">
        <f>INDEX(Projects[SRM Pallet Locations],343)</f>
        <v/>
      </c>
      <c r="K344" s="66">
        <f>INDEX(Projects[Case Conv (m)],343)</f>
        <v/>
      </c>
      <c r="L344" s="66">
        <f>INDEX(Projects[Pallet Conv (m)],343)</f>
        <v/>
      </c>
      <c r="M344" s="66">
        <f>INDEX(Projects[Mech Eng (wks)],343)</f>
        <v/>
      </c>
      <c r="N344" s="66">
        <f>INDEX(Projects[Controls Eng (wks)],343)</f>
        <v/>
      </c>
      <c r="O344" s="66">
        <f>INDEX(Projects[Systems Eng (wks)],343)</f>
        <v/>
      </c>
      <c r="P344" s="66">
        <f>INDEX(Projects[Software Eng (wks)],343)</f>
        <v/>
      </c>
      <c r="Q344" s="66">
        <f>INDEX(Projects[M&amp;E Installation (wks)],343)</f>
        <v/>
      </c>
      <c r="R344" s="66">
        <f>INDEX(Projects[Commissioning (wks)],343)</f>
        <v/>
      </c>
      <c r="S344" s="66">
        <f>INDEX(Projects[Total Timeline (wks)],343)</f>
        <v/>
      </c>
      <c r="T344" s="66">
        <f>INDEX(Projects[Currency],343)&amp;""</f>
        <v/>
      </c>
      <c r="U344" s="67">
        <f>INDEX(Projects[Value (M)],343)</f>
        <v/>
      </c>
      <c r="V344" s="66">
        <f>IF('Smart Search'!B13=1,IFERROR(1/'Smart Search'!H13,0),0)</f>
        <v/>
      </c>
      <c r="W344" s="66">
        <f>IF('Smart Search'!B13=1,IFERROR(1/'Smart Search'!H13,0),0)</f>
        <v/>
      </c>
      <c r="X344" s="66">
        <f>IF('Smart Search'!C13=1,IFERROR(1/'Smart Search'!H13,0),0)</f>
        <v/>
      </c>
      <c r="Y344" s="66">
        <f>IF('Smart Search'!C13=1,IFERROR(1/'Smart Search'!H13,0),0)</f>
        <v/>
      </c>
      <c r="Z344" s="66">
        <f>IF('Smart Search'!D13=1,IFERROR(1/'Smart Search'!H13,0),0)</f>
        <v/>
      </c>
      <c r="AA344" s="66">
        <f>IF('Smart Search'!D13=1,IFERROR(1/'Smart Search'!H13,0),0)</f>
        <v/>
      </c>
      <c r="AB344" s="66">
        <f>IF('Smart Search'!E13=1,IFERROR(1/'Smart Search'!H13,0),0)</f>
        <v/>
      </c>
      <c r="AC344" s="66">
        <f>IF('Smart Search'!E13=1,IFERROR(1/'Smart Search'!H13,0),0)</f>
        <v/>
      </c>
      <c r="AD344" s="66">
        <f>IF('Smart Search'!F13=1,IFERROR(1/'Smart Search'!H13,0),0)</f>
        <v/>
      </c>
      <c r="AE344" s="66">
        <f>IF('Smart Search'!F13=1,IFERROR(1/'Smart Search'!H13,0),0)</f>
        <v/>
      </c>
      <c r="AF344" s="66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66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66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66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66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66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66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66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66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66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66">
        <f>AF344*V344</f>
        <v/>
      </c>
      <c r="AQ344" s="66">
        <f>AG344*W344</f>
        <v/>
      </c>
      <c r="AR344" s="66">
        <f>AH344*X344</f>
        <v/>
      </c>
      <c r="AS344" s="66">
        <f>AI344*Y344</f>
        <v/>
      </c>
      <c r="AT344" s="66">
        <f>AJ344*Z344</f>
        <v/>
      </c>
      <c r="AU344" s="66">
        <f>AK344*AA344</f>
        <v/>
      </c>
      <c r="AV344" s="66">
        <f>AL344*AB344</f>
        <v/>
      </c>
      <c r="AW344" s="66">
        <f>AM344*AC344</f>
        <v/>
      </c>
      <c r="AX344" s="66">
        <f>AN344*AD344</f>
        <v/>
      </c>
      <c r="AY344" s="66">
        <f>AO344*AE344</f>
        <v/>
      </c>
      <c r="AZ344" s="66">
        <f>INDEX(Projects[Automation Equipment],343)&amp;""</f>
        <v/>
      </c>
      <c r="BA344" s="66">
        <f>IF(OR(A344="",'Smart Search'!H13=0),"",MAX(0,BE344*BF344*MAX(0,1-BG344)))</f>
        <v/>
      </c>
      <c r="BB344" s="66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66">
        <f>IF('Smart Search'!G13=1,IFERROR(1/'Smart Search'!H13,0),0)</f>
        <v/>
      </c>
      <c r="BD344" s="66">
        <f>BB344*BC344</f>
        <v/>
      </c>
      <c r="BE344" s="66">
        <f>AP344+AQ344+AR344+AS344+AT344+AU344+AV344+AW344+AX344+AY344+BD344</f>
        <v/>
      </c>
      <c r="BF344" s="5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5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5">
        <f>IF(AND(A344&lt;&gt;"",OR('Smart Search'!$L$5="",'Smart Search'!$L$5="All",TRIM(BZ344)=TRIM('Smart Search'!$L$5)),OR(TRIM('Smart Search'!$L$6)="",TRIM('Smart Search'!$L$6)="All",ISNUMBER(SEARCH(SUBSTITUTE(SUBSTITUTE(SUBSTITUTE(TRIM('Smart Search'!$L$6),"~","~~"),"*","~*"),"?","~?"),CA344))),OR('Smart Search'!$L$7="",AND(CB344&lt;&gt;0,CB344='Smart Search'!$L$7)),OR('Smart Search'!$L$8="",'Smart Search'!$L$8="All",TRIM(CC344)=TRIM('Smart Search'!$L$8))),IF(BA344="","",BA344+ROW()*0.0000000001),"")</f>
        <v/>
      </c>
      <c r="BI344" s="5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5">
        <f>IF(A344="","",N(INDEX(Projects[Mech Inst],343)))</f>
        <v/>
      </c>
      <c r="BK344" s="5">
        <f>IF(A344="","",N(INDEX(Projects[Elec Inst],343)))</f>
        <v/>
      </c>
      <c r="BL344" s="5">
        <f>IF(A344="","",N(INDEX(Projects[Project Management],343)))</f>
        <v/>
      </c>
      <c r="BM344" s="5">
        <f>IF(A344="","",N(INDEX(Projects[Systems Eng],343)))</f>
        <v/>
      </c>
      <c r="BN344" s="5">
        <f>IF(A344="","",N(INDEX(Projects[Mechanical Eng],343)))</f>
        <v/>
      </c>
      <c r="BO344" s="5">
        <f>IF(A344="","",N(INDEX(Projects[Structural Engineering],343)))</f>
        <v/>
      </c>
      <c r="BP344" s="5">
        <f>IF(A344="","",N(INDEX(Projects[Site Sup],343)))</f>
        <v/>
      </c>
      <c r="BQ344" s="5">
        <f>IF(A344="","",N(INDEX(Projects[Controls Commissioning],343)))</f>
        <v/>
      </c>
      <c r="BR344" s="5">
        <f>IF(A344="","",N(INDEX(Projects[Systems Commissioning],343)))</f>
        <v/>
      </c>
      <c r="BS344" s="5">
        <f>IF(A344="","",N(INDEX(Projects[Service Commissioning],343)))</f>
        <v/>
      </c>
      <c r="BT344" s="5">
        <f>IF(A344="","",N(INDEX(Projects[Controls Eng],343)))</f>
        <v/>
      </c>
      <c r="BU344" s="5">
        <f>IF(A344="","",N(INDEX(Projects[Controls Purchase],343)))</f>
        <v/>
      </c>
      <c r="BV344" s="5">
        <f>IF(A344="","",N(INDEX(Projects[Software Eng],343)))</f>
        <v/>
      </c>
      <c r="BW344" s="5">
        <f>IF(A344="","",N(INDEX(Projects[Misc],343)))</f>
        <v/>
      </c>
      <c r="BX344" s="5">
        <f>IF(A344="","",SUM(BJ344:BW344))</f>
        <v/>
      </c>
      <c r="BY344" s="5">
        <f>IF(A344="","",IFERROR(IF(ISNUMBER(U344),U344,VALUE(SUBSTITUTE(SUBSTITUTE(SUBSTITUTE(UPPER(TRIM(U344)),"M",""),",","")," ",""))),0))</f>
        <v/>
      </c>
      <c r="BZ344" s="5">
        <f>INDEX(Projects[Solution Type],343)&amp;""</f>
        <v/>
      </c>
      <c r="CA344" s="5">
        <f>INDEX(Projects[Client / Region],343)&amp;""</f>
        <v/>
      </c>
      <c r="CB344" s="5">
        <f>INDEX(Projects[Year],343)</f>
        <v/>
      </c>
      <c r="CC344" s="5">
        <f>INDEX(Projects[Won?],343)&amp;""</f>
        <v/>
      </c>
      <c r="CD344" s="5">
        <f>INDEX(Projects[Value (USD M)],343)</f>
        <v/>
      </c>
    </row>
    <row r="345" ht="15" customHeight="1" s="74">
      <c r="A345" s="66">
        <f>INDEX(Projects[Project ID *],344)&amp;""</f>
        <v/>
      </c>
      <c r="B345" s="66">
        <f>INDEX(Projects[Project Name *],344)&amp;""</f>
        <v/>
      </c>
      <c r="C345" s="66">
        <f>INDEX(Projects[MS Shuttles],344)</f>
        <v/>
      </c>
      <c r="D345" s="66">
        <f>INDEX(Projects[MS Tote Locations],344)</f>
        <v/>
      </c>
      <c r="E345" s="66">
        <f>INDEX(Projects[AS Robots],344)</f>
        <v/>
      </c>
      <c r="F345" s="66">
        <f>INDEX(Projects[AS Tote Locations],344)</f>
        <v/>
      </c>
      <c r="G345" s="66">
        <f>INDEX(Projects[PS Shuttles],344)</f>
        <v/>
      </c>
      <c r="H345" s="66">
        <f>INDEX(Projects[PS Pallet Locations],344)</f>
        <v/>
      </c>
      <c r="I345" s="66">
        <f>INDEX(Projects[SRM Cranes],344)</f>
        <v/>
      </c>
      <c r="J345" s="66">
        <f>INDEX(Projects[SRM Pallet Locations],344)</f>
        <v/>
      </c>
      <c r="K345" s="66">
        <f>INDEX(Projects[Case Conv (m)],344)</f>
        <v/>
      </c>
      <c r="L345" s="66">
        <f>INDEX(Projects[Pallet Conv (m)],344)</f>
        <v/>
      </c>
      <c r="M345" s="66">
        <f>INDEX(Projects[Mech Eng (wks)],344)</f>
        <v/>
      </c>
      <c r="N345" s="66">
        <f>INDEX(Projects[Controls Eng (wks)],344)</f>
        <v/>
      </c>
      <c r="O345" s="66">
        <f>INDEX(Projects[Systems Eng (wks)],344)</f>
        <v/>
      </c>
      <c r="P345" s="66">
        <f>INDEX(Projects[Software Eng (wks)],344)</f>
        <v/>
      </c>
      <c r="Q345" s="66">
        <f>INDEX(Projects[M&amp;E Installation (wks)],344)</f>
        <v/>
      </c>
      <c r="R345" s="66">
        <f>INDEX(Projects[Commissioning (wks)],344)</f>
        <v/>
      </c>
      <c r="S345" s="66">
        <f>INDEX(Projects[Total Timeline (wks)],344)</f>
        <v/>
      </c>
      <c r="T345" s="66">
        <f>INDEX(Projects[Currency],344)&amp;""</f>
        <v/>
      </c>
      <c r="U345" s="67">
        <f>INDEX(Projects[Value (M)],344)</f>
        <v/>
      </c>
      <c r="V345" s="66">
        <f>IF('Smart Search'!B13=1,IFERROR(1/'Smart Search'!H13,0),0)</f>
        <v/>
      </c>
      <c r="W345" s="66">
        <f>IF('Smart Search'!B13=1,IFERROR(1/'Smart Search'!H13,0),0)</f>
        <v/>
      </c>
      <c r="X345" s="66">
        <f>IF('Smart Search'!C13=1,IFERROR(1/'Smart Search'!H13,0),0)</f>
        <v/>
      </c>
      <c r="Y345" s="66">
        <f>IF('Smart Search'!C13=1,IFERROR(1/'Smart Search'!H13,0),0)</f>
        <v/>
      </c>
      <c r="Z345" s="66">
        <f>IF('Smart Search'!D13=1,IFERROR(1/'Smart Search'!H13,0),0)</f>
        <v/>
      </c>
      <c r="AA345" s="66">
        <f>IF('Smart Search'!D13=1,IFERROR(1/'Smart Search'!H13,0),0)</f>
        <v/>
      </c>
      <c r="AB345" s="66">
        <f>IF('Smart Search'!E13=1,IFERROR(1/'Smart Search'!H13,0),0)</f>
        <v/>
      </c>
      <c r="AC345" s="66">
        <f>IF('Smart Search'!E13=1,IFERROR(1/'Smart Search'!H13,0),0)</f>
        <v/>
      </c>
      <c r="AD345" s="66">
        <f>IF('Smart Search'!F13=1,IFERROR(1/'Smart Search'!H13,0),0)</f>
        <v/>
      </c>
      <c r="AE345" s="66">
        <f>IF('Smart Search'!F13=1,IFERROR(1/'Smart Search'!H13,0),0)</f>
        <v/>
      </c>
      <c r="AF345" s="66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66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66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66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66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66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66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66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66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66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66">
        <f>AF345*V345</f>
        <v/>
      </c>
      <c r="AQ345" s="66">
        <f>AG345*W345</f>
        <v/>
      </c>
      <c r="AR345" s="66">
        <f>AH345*X345</f>
        <v/>
      </c>
      <c r="AS345" s="66">
        <f>AI345*Y345</f>
        <v/>
      </c>
      <c r="AT345" s="66">
        <f>AJ345*Z345</f>
        <v/>
      </c>
      <c r="AU345" s="66">
        <f>AK345*AA345</f>
        <v/>
      </c>
      <c r="AV345" s="66">
        <f>AL345*AB345</f>
        <v/>
      </c>
      <c r="AW345" s="66">
        <f>AM345*AC345</f>
        <v/>
      </c>
      <c r="AX345" s="66">
        <f>AN345*AD345</f>
        <v/>
      </c>
      <c r="AY345" s="66">
        <f>AO345*AE345</f>
        <v/>
      </c>
      <c r="AZ345" s="66">
        <f>INDEX(Projects[Automation Equipment],344)&amp;""</f>
        <v/>
      </c>
      <c r="BA345" s="66">
        <f>IF(OR(A345="",'Smart Search'!H13=0),"",MAX(0,BE345*BF345*MAX(0,1-BG345)))</f>
        <v/>
      </c>
      <c r="BB345" s="66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66">
        <f>IF('Smart Search'!G13=1,IFERROR(1/'Smart Search'!H13,0),0)</f>
        <v/>
      </c>
      <c r="BD345" s="66">
        <f>BB345*BC345</f>
        <v/>
      </c>
      <c r="BE345" s="66">
        <f>AP345+AQ345+AR345+AS345+AT345+AU345+AV345+AW345+AX345+AY345+BD345</f>
        <v/>
      </c>
      <c r="BF345" s="5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5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5">
        <f>IF(AND(A345&lt;&gt;"",OR('Smart Search'!$L$5="",'Smart Search'!$L$5="All",TRIM(BZ345)=TRIM('Smart Search'!$L$5)),OR(TRIM('Smart Search'!$L$6)="",TRIM('Smart Search'!$L$6)="All",ISNUMBER(SEARCH(SUBSTITUTE(SUBSTITUTE(SUBSTITUTE(TRIM('Smart Search'!$L$6),"~","~~"),"*","~*"),"?","~?"),CA345))),OR('Smart Search'!$L$7="",AND(CB345&lt;&gt;0,CB345='Smart Search'!$L$7)),OR('Smart Search'!$L$8="",'Smart Search'!$L$8="All",TRIM(CC345)=TRIM('Smart Search'!$L$8))),IF(BA345="","",BA345+ROW()*0.0000000001),"")</f>
        <v/>
      </c>
      <c r="BI345" s="5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5">
        <f>IF(A345="","",N(INDEX(Projects[Mech Inst],344)))</f>
        <v/>
      </c>
      <c r="BK345" s="5">
        <f>IF(A345="","",N(INDEX(Projects[Elec Inst],344)))</f>
        <v/>
      </c>
      <c r="BL345" s="5">
        <f>IF(A345="","",N(INDEX(Projects[Project Management],344)))</f>
        <v/>
      </c>
      <c r="BM345" s="5">
        <f>IF(A345="","",N(INDEX(Projects[Systems Eng],344)))</f>
        <v/>
      </c>
      <c r="BN345" s="5">
        <f>IF(A345="","",N(INDEX(Projects[Mechanical Eng],344)))</f>
        <v/>
      </c>
      <c r="BO345" s="5">
        <f>IF(A345="","",N(INDEX(Projects[Structural Engineering],344)))</f>
        <v/>
      </c>
      <c r="BP345" s="5">
        <f>IF(A345="","",N(INDEX(Projects[Site Sup],344)))</f>
        <v/>
      </c>
      <c r="BQ345" s="5">
        <f>IF(A345="","",N(INDEX(Projects[Controls Commissioning],344)))</f>
        <v/>
      </c>
      <c r="BR345" s="5">
        <f>IF(A345="","",N(INDEX(Projects[Systems Commissioning],344)))</f>
        <v/>
      </c>
      <c r="BS345" s="5">
        <f>IF(A345="","",N(INDEX(Projects[Service Commissioning],344)))</f>
        <v/>
      </c>
      <c r="BT345" s="5">
        <f>IF(A345="","",N(INDEX(Projects[Controls Eng],344)))</f>
        <v/>
      </c>
      <c r="BU345" s="5">
        <f>IF(A345="","",N(INDEX(Projects[Controls Purchase],344)))</f>
        <v/>
      </c>
      <c r="BV345" s="5">
        <f>IF(A345="","",N(INDEX(Projects[Software Eng],344)))</f>
        <v/>
      </c>
      <c r="BW345" s="5">
        <f>IF(A345="","",N(INDEX(Projects[Misc],344)))</f>
        <v/>
      </c>
      <c r="BX345" s="5">
        <f>IF(A345="","",SUM(BJ345:BW345))</f>
        <v/>
      </c>
      <c r="BY345" s="5">
        <f>IF(A345="","",IFERROR(IF(ISNUMBER(U345),U345,VALUE(SUBSTITUTE(SUBSTITUTE(SUBSTITUTE(UPPER(TRIM(U345)),"M",""),",","")," ",""))),0))</f>
        <v/>
      </c>
      <c r="BZ345" s="5">
        <f>INDEX(Projects[Solution Type],344)&amp;""</f>
        <v/>
      </c>
      <c r="CA345" s="5">
        <f>INDEX(Projects[Client / Region],344)&amp;""</f>
        <v/>
      </c>
      <c r="CB345" s="5">
        <f>INDEX(Projects[Year],344)</f>
        <v/>
      </c>
      <c r="CC345" s="5">
        <f>INDEX(Projects[Won?],344)&amp;""</f>
        <v/>
      </c>
      <c r="CD345" s="5">
        <f>INDEX(Projects[Value (USD M)],344)</f>
        <v/>
      </c>
    </row>
    <row r="346" ht="15" customHeight="1" s="74">
      <c r="A346" s="66">
        <f>INDEX(Projects[Project ID *],345)&amp;""</f>
        <v/>
      </c>
      <c r="B346" s="66">
        <f>INDEX(Projects[Project Name *],345)&amp;""</f>
        <v/>
      </c>
      <c r="C346" s="66">
        <f>INDEX(Projects[MS Shuttles],345)</f>
        <v/>
      </c>
      <c r="D346" s="66">
        <f>INDEX(Projects[MS Tote Locations],345)</f>
        <v/>
      </c>
      <c r="E346" s="66">
        <f>INDEX(Projects[AS Robots],345)</f>
        <v/>
      </c>
      <c r="F346" s="66">
        <f>INDEX(Projects[AS Tote Locations],345)</f>
        <v/>
      </c>
      <c r="G346" s="66">
        <f>INDEX(Projects[PS Shuttles],345)</f>
        <v/>
      </c>
      <c r="H346" s="66">
        <f>INDEX(Projects[PS Pallet Locations],345)</f>
        <v/>
      </c>
      <c r="I346" s="66">
        <f>INDEX(Projects[SRM Cranes],345)</f>
        <v/>
      </c>
      <c r="J346" s="66">
        <f>INDEX(Projects[SRM Pallet Locations],345)</f>
        <v/>
      </c>
      <c r="K346" s="66">
        <f>INDEX(Projects[Case Conv (m)],345)</f>
        <v/>
      </c>
      <c r="L346" s="66">
        <f>INDEX(Projects[Pallet Conv (m)],345)</f>
        <v/>
      </c>
      <c r="M346" s="66">
        <f>INDEX(Projects[Mech Eng (wks)],345)</f>
        <v/>
      </c>
      <c r="N346" s="66">
        <f>INDEX(Projects[Controls Eng (wks)],345)</f>
        <v/>
      </c>
      <c r="O346" s="66">
        <f>INDEX(Projects[Systems Eng (wks)],345)</f>
        <v/>
      </c>
      <c r="P346" s="66">
        <f>INDEX(Projects[Software Eng (wks)],345)</f>
        <v/>
      </c>
      <c r="Q346" s="66">
        <f>INDEX(Projects[M&amp;E Installation (wks)],345)</f>
        <v/>
      </c>
      <c r="R346" s="66">
        <f>INDEX(Projects[Commissioning (wks)],345)</f>
        <v/>
      </c>
      <c r="S346" s="66">
        <f>INDEX(Projects[Total Timeline (wks)],345)</f>
        <v/>
      </c>
      <c r="T346" s="66">
        <f>INDEX(Projects[Currency],345)&amp;""</f>
        <v/>
      </c>
      <c r="U346" s="67">
        <f>INDEX(Projects[Value (M)],345)</f>
        <v/>
      </c>
      <c r="V346" s="66">
        <f>IF('Smart Search'!B13=1,IFERROR(1/'Smart Search'!H13,0),0)</f>
        <v/>
      </c>
      <c r="W346" s="66">
        <f>IF('Smart Search'!B13=1,IFERROR(1/'Smart Search'!H13,0),0)</f>
        <v/>
      </c>
      <c r="X346" s="66">
        <f>IF('Smart Search'!C13=1,IFERROR(1/'Smart Search'!H13,0),0)</f>
        <v/>
      </c>
      <c r="Y346" s="66">
        <f>IF('Smart Search'!C13=1,IFERROR(1/'Smart Search'!H13,0),0)</f>
        <v/>
      </c>
      <c r="Z346" s="66">
        <f>IF('Smart Search'!D13=1,IFERROR(1/'Smart Search'!H13,0),0)</f>
        <v/>
      </c>
      <c r="AA346" s="66">
        <f>IF('Smart Search'!D13=1,IFERROR(1/'Smart Search'!H13,0),0)</f>
        <v/>
      </c>
      <c r="AB346" s="66">
        <f>IF('Smart Search'!E13=1,IFERROR(1/'Smart Search'!H13,0),0)</f>
        <v/>
      </c>
      <c r="AC346" s="66">
        <f>IF('Smart Search'!E13=1,IFERROR(1/'Smart Search'!H13,0),0)</f>
        <v/>
      </c>
      <c r="AD346" s="66">
        <f>IF('Smart Search'!F13=1,IFERROR(1/'Smart Search'!H13,0),0)</f>
        <v/>
      </c>
      <c r="AE346" s="66">
        <f>IF('Smart Search'!F13=1,IFERROR(1/'Smart Search'!H13,0),0)</f>
        <v/>
      </c>
      <c r="AF346" s="66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66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66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66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66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66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66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66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66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66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66">
        <f>AF346*V346</f>
        <v/>
      </c>
      <c r="AQ346" s="66">
        <f>AG346*W346</f>
        <v/>
      </c>
      <c r="AR346" s="66">
        <f>AH346*X346</f>
        <v/>
      </c>
      <c r="AS346" s="66">
        <f>AI346*Y346</f>
        <v/>
      </c>
      <c r="AT346" s="66">
        <f>AJ346*Z346</f>
        <v/>
      </c>
      <c r="AU346" s="66">
        <f>AK346*AA346</f>
        <v/>
      </c>
      <c r="AV346" s="66">
        <f>AL346*AB346</f>
        <v/>
      </c>
      <c r="AW346" s="66">
        <f>AM346*AC346</f>
        <v/>
      </c>
      <c r="AX346" s="66">
        <f>AN346*AD346</f>
        <v/>
      </c>
      <c r="AY346" s="66">
        <f>AO346*AE346</f>
        <v/>
      </c>
      <c r="AZ346" s="66">
        <f>INDEX(Projects[Automation Equipment],345)&amp;""</f>
        <v/>
      </c>
      <c r="BA346" s="66">
        <f>IF(OR(A346="",'Smart Search'!H13=0),"",MAX(0,BE346*BF346*MAX(0,1-BG346)))</f>
        <v/>
      </c>
      <c r="BB346" s="66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66">
        <f>IF('Smart Search'!G13=1,IFERROR(1/'Smart Search'!H13,0),0)</f>
        <v/>
      </c>
      <c r="BD346" s="66">
        <f>BB346*BC346</f>
        <v/>
      </c>
      <c r="BE346" s="66">
        <f>AP346+AQ346+AR346+AS346+AT346+AU346+AV346+AW346+AX346+AY346+BD346</f>
        <v/>
      </c>
      <c r="BF346" s="5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5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5">
        <f>IF(AND(A346&lt;&gt;"",OR('Smart Search'!$L$5="",'Smart Search'!$L$5="All",TRIM(BZ346)=TRIM('Smart Search'!$L$5)),OR(TRIM('Smart Search'!$L$6)="",TRIM('Smart Search'!$L$6)="All",ISNUMBER(SEARCH(SUBSTITUTE(SUBSTITUTE(SUBSTITUTE(TRIM('Smart Search'!$L$6),"~","~~"),"*","~*"),"?","~?"),CA346))),OR('Smart Search'!$L$7="",AND(CB346&lt;&gt;0,CB346='Smart Search'!$L$7)),OR('Smart Search'!$L$8="",'Smart Search'!$L$8="All",TRIM(CC346)=TRIM('Smart Search'!$L$8))),IF(BA346="","",BA346+ROW()*0.0000000001),"")</f>
        <v/>
      </c>
      <c r="BI346" s="5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5">
        <f>IF(A346="","",N(INDEX(Projects[Mech Inst],345)))</f>
        <v/>
      </c>
      <c r="BK346" s="5">
        <f>IF(A346="","",N(INDEX(Projects[Elec Inst],345)))</f>
        <v/>
      </c>
      <c r="BL346" s="5">
        <f>IF(A346="","",N(INDEX(Projects[Project Management],345)))</f>
        <v/>
      </c>
      <c r="BM346" s="5">
        <f>IF(A346="","",N(INDEX(Projects[Systems Eng],345)))</f>
        <v/>
      </c>
      <c r="BN346" s="5">
        <f>IF(A346="","",N(INDEX(Projects[Mechanical Eng],345)))</f>
        <v/>
      </c>
      <c r="BO346" s="5">
        <f>IF(A346="","",N(INDEX(Projects[Structural Engineering],345)))</f>
        <v/>
      </c>
      <c r="BP346" s="5">
        <f>IF(A346="","",N(INDEX(Projects[Site Sup],345)))</f>
        <v/>
      </c>
      <c r="BQ346" s="5">
        <f>IF(A346="","",N(INDEX(Projects[Controls Commissioning],345)))</f>
        <v/>
      </c>
      <c r="BR346" s="5">
        <f>IF(A346="","",N(INDEX(Projects[Systems Commissioning],345)))</f>
        <v/>
      </c>
      <c r="BS346" s="5">
        <f>IF(A346="","",N(INDEX(Projects[Service Commissioning],345)))</f>
        <v/>
      </c>
      <c r="BT346" s="5">
        <f>IF(A346="","",N(INDEX(Projects[Controls Eng],345)))</f>
        <v/>
      </c>
      <c r="BU346" s="5">
        <f>IF(A346="","",N(INDEX(Projects[Controls Purchase],345)))</f>
        <v/>
      </c>
      <c r="BV346" s="5">
        <f>IF(A346="","",N(INDEX(Projects[Software Eng],345)))</f>
        <v/>
      </c>
      <c r="BW346" s="5">
        <f>IF(A346="","",N(INDEX(Projects[Misc],345)))</f>
        <v/>
      </c>
      <c r="BX346" s="5">
        <f>IF(A346="","",SUM(BJ346:BW346))</f>
        <v/>
      </c>
      <c r="BY346" s="5">
        <f>IF(A346="","",IFERROR(IF(ISNUMBER(U346),U346,VALUE(SUBSTITUTE(SUBSTITUTE(SUBSTITUTE(UPPER(TRIM(U346)),"M",""),",","")," ",""))),0))</f>
        <v/>
      </c>
      <c r="BZ346" s="5">
        <f>INDEX(Projects[Solution Type],345)&amp;""</f>
        <v/>
      </c>
      <c r="CA346" s="5">
        <f>INDEX(Projects[Client / Region],345)&amp;""</f>
        <v/>
      </c>
      <c r="CB346" s="5">
        <f>INDEX(Projects[Year],345)</f>
        <v/>
      </c>
      <c r="CC346" s="5">
        <f>INDEX(Projects[Won?],345)&amp;""</f>
        <v/>
      </c>
      <c r="CD346" s="5">
        <f>INDEX(Projects[Value (USD M)],345)</f>
        <v/>
      </c>
    </row>
    <row r="347" ht="15" customHeight="1" s="74">
      <c r="A347" s="66">
        <f>INDEX(Projects[Project ID *],346)&amp;""</f>
        <v/>
      </c>
      <c r="B347" s="66">
        <f>INDEX(Projects[Project Name *],346)&amp;""</f>
        <v/>
      </c>
      <c r="C347" s="66">
        <f>INDEX(Projects[MS Shuttles],346)</f>
        <v/>
      </c>
      <c r="D347" s="66">
        <f>INDEX(Projects[MS Tote Locations],346)</f>
        <v/>
      </c>
      <c r="E347" s="66">
        <f>INDEX(Projects[AS Robots],346)</f>
        <v/>
      </c>
      <c r="F347" s="66">
        <f>INDEX(Projects[AS Tote Locations],346)</f>
        <v/>
      </c>
      <c r="G347" s="66">
        <f>INDEX(Projects[PS Shuttles],346)</f>
        <v/>
      </c>
      <c r="H347" s="66">
        <f>INDEX(Projects[PS Pallet Locations],346)</f>
        <v/>
      </c>
      <c r="I347" s="66">
        <f>INDEX(Projects[SRM Cranes],346)</f>
        <v/>
      </c>
      <c r="J347" s="66">
        <f>INDEX(Projects[SRM Pallet Locations],346)</f>
        <v/>
      </c>
      <c r="K347" s="66">
        <f>INDEX(Projects[Case Conv (m)],346)</f>
        <v/>
      </c>
      <c r="L347" s="66">
        <f>INDEX(Projects[Pallet Conv (m)],346)</f>
        <v/>
      </c>
      <c r="M347" s="66">
        <f>INDEX(Projects[Mech Eng (wks)],346)</f>
        <v/>
      </c>
      <c r="N347" s="66">
        <f>INDEX(Projects[Controls Eng (wks)],346)</f>
        <v/>
      </c>
      <c r="O347" s="66">
        <f>INDEX(Projects[Systems Eng (wks)],346)</f>
        <v/>
      </c>
      <c r="P347" s="66">
        <f>INDEX(Projects[Software Eng (wks)],346)</f>
        <v/>
      </c>
      <c r="Q347" s="66">
        <f>INDEX(Projects[M&amp;E Installation (wks)],346)</f>
        <v/>
      </c>
      <c r="R347" s="66">
        <f>INDEX(Projects[Commissioning (wks)],346)</f>
        <v/>
      </c>
      <c r="S347" s="66">
        <f>INDEX(Projects[Total Timeline (wks)],346)</f>
        <v/>
      </c>
      <c r="T347" s="66">
        <f>INDEX(Projects[Currency],346)&amp;""</f>
        <v/>
      </c>
      <c r="U347" s="67">
        <f>INDEX(Projects[Value (M)],346)</f>
        <v/>
      </c>
      <c r="V347" s="66">
        <f>IF('Smart Search'!B13=1,IFERROR(1/'Smart Search'!H13,0),0)</f>
        <v/>
      </c>
      <c r="W347" s="66">
        <f>IF('Smart Search'!B13=1,IFERROR(1/'Smart Search'!H13,0),0)</f>
        <v/>
      </c>
      <c r="X347" s="66">
        <f>IF('Smart Search'!C13=1,IFERROR(1/'Smart Search'!H13,0),0)</f>
        <v/>
      </c>
      <c r="Y347" s="66">
        <f>IF('Smart Search'!C13=1,IFERROR(1/'Smart Search'!H13,0),0)</f>
        <v/>
      </c>
      <c r="Z347" s="66">
        <f>IF('Smart Search'!D13=1,IFERROR(1/'Smart Search'!H13,0),0)</f>
        <v/>
      </c>
      <c r="AA347" s="66">
        <f>IF('Smart Search'!D13=1,IFERROR(1/'Smart Search'!H13,0),0)</f>
        <v/>
      </c>
      <c r="AB347" s="66">
        <f>IF('Smart Search'!E13=1,IFERROR(1/'Smart Search'!H13,0),0)</f>
        <v/>
      </c>
      <c r="AC347" s="66">
        <f>IF('Smart Search'!E13=1,IFERROR(1/'Smart Search'!H13,0),0)</f>
        <v/>
      </c>
      <c r="AD347" s="66">
        <f>IF('Smart Search'!F13=1,IFERROR(1/'Smart Search'!H13,0),0)</f>
        <v/>
      </c>
      <c r="AE347" s="66">
        <f>IF('Smart Search'!F13=1,IFERROR(1/'Smart Search'!H13,0),0)</f>
        <v/>
      </c>
      <c r="AF347" s="66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66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66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66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66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66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66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66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66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66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66">
        <f>AF347*V347</f>
        <v/>
      </c>
      <c r="AQ347" s="66">
        <f>AG347*W347</f>
        <v/>
      </c>
      <c r="AR347" s="66">
        <f>AH347*X347</f>
        <v/>
      </c>
      <c r="AS347" s="66">
        <f>AI347*Y347</f>
        <v/>
      </c>
      <c r="AT347" s="66">
        <f>AJ347*Z347</f>
        <v/>
      </c>
      <c r="AU347" s="66">
        <f>AK347*AA347</f>
        <v/>
      </c>
      <c r="AV347" s="66">
        <f>AL347*AB347</f>
        <v/>
      </c>
      <c r="AW347" s="66">
        <f>AM347*AC347</f>
        <v/>
      </c>
      <c r="AX347" s="66">
        <f>AN347*AD347</f>
        <v/>
      </c>
      <c r="AY347" s="66">
        <f>AO347*AE347</f>
        <v/>
      </c>
      <c r="AZ347" s="66">
        <f>INDEX(Projects[Automation Equipment],346)&amp;""</f>
        <v/>
      </c>
      <c r="BA347" s="66">
        <f>IF(OR(A347="",'Smart Search'!H13=0),"",MAX(0,BE347*BF347*MAX(0,1-BG347)))</f>
        <v/>
      </c>
      <c r="BB347" s="66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66">
        <f>IF('Smart Search'!G13=1,IFERROR(1/'Smart Search'!H13,0),0)</f>
        <v/>
      </c>
      <c r="BD347" s="66">
        <f>BB347*BC347</f>
        <v/>
      </c>
      <c r="BE347" s="66">
        <f>AP347+AQ347+AR347+AS347+AT347+AU347+AV347+AW347+AX347+AY347+BD347</f>
        <v/>
      </c>
      <c r="BF347" s="5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5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5">
        <f>IF(AND(A347&lt;&gt;"",OR('Smart Search'!$L$5="",'Smart Search'!$L$5="All",TRIM(BZ347)=TRIM('Smart Search'!$L$5)),OR(TRIM('Smart Search'!$L$6)="",TRIM('Smart Search'!$L$6)="All",ISNUMBER(SEARCH(SUBSTITUTE(SUBSTITUTE(SUBSTITUTE(TRIM('Smart Search'!$L$6),"~","~~"),"*","~*"),"?","~?"),CA347))),OR('Smart Search'!$L$7="",AND(CB347&lt;&gt;0,CB347='Smart Search'!$L$7)),OR('Smart Search'!$L$8="",'Smart Search'!$L$8="All",TRIM(CC347)=TRIM('Smart Search'!$L$8))),IF(BA347="","",BA347+ROW()*0.0000000001),"")</f>
        <v/>
      </c>
      <c r="BI347" s="5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5">
        <f>IF(A347="","",N(INDEX(Projects[Mech Inst],346)))</f>
        <v/>
      </c>
      <c r="BK347" s="5">
        <f>IF(A347="","",N(INDEX(Projects[Elec Inst],346)))</f>
        <v/>
      </c>
      <c r="BL347" s="5">
        <f>IF(A347="","",N(INDEX(Projects[Project Management],346)))</f>
        <v/>
      </c>
      <c r="BM347" s="5">
        <f>IF(A347="","",N(INDEX(Projects[Systems Eng],346)))</f>
        <v/>
      </c>
      <c r="BN347" s="5">
        <f>IF(A347="","",N(INDEX(Projects[Mechanical Eng],346)))</f>
        <v/>
      </c>
      <c r="BO347" s="5">
        <f>IF(A347="","",N(INDEX(Projects[Structural Engineering],346)))</f>
        <v/>
      </c>
      <c r="BP347" s="5">
        <f>IF(A347="","",N(INDEX(Projects[Site Sup],346)))</f>
        <v/>
      </c>
      <c r="BQ347" s="5">
        <f>IF(A347="","",N(INDEX(Projects[Controls Commissioning],346)))</f>
        <v/>
      </c>
      <c r="BR347" s="5">
        <f>IF(A347="","",N(INDEX(Projects[Systems Commissioning],346)))</f>
        <v/>
      </c>
      <c r="BS347" s="5">
        <f>IF(A347="","",N(INDEX(Projects[Service Commissioning],346)))</f>
        <v/>
      </c>
      <c r="BT347" s="5">
        <f>IF(A347="","",N(INDEX(Projects[Controls Eng],346)))</f>
        <v/>
      </c>
      <c r="BU347" s="5">
        <f>IF(A347="","",N(INDEX(Projects[Controls Purchase],346)))</f>
        <v/>
      </c>
      <c r="BV347" s="5">
        <f>IF(A347="","",N(INDEX(Projects[Software Eng],346)))</f>
        <v/>
      </c>
      <c r="BW347" s="5">
        <f>IF(A347="","",N(INDEX(Projects[Misc],346)))</f>
        <v/>
      </c>
      <c r="BX347" s="5">
        <f>IF(A347="","",SUM(BJ347:BW347))</f>
        <v/>
      </c>
      <c r="BY347" s="5">
        <f>IF(A347="","",IFERROR(IF(ISNUMBER(U347),U347,VALUE(SUBSTITUTE(SUBSTITUTE(SUBSTITUTE(UPPER(TRIM(U347)),"M",""),",","")," ",""))),0))</f>
        <v/>
      </c>
      <c r="BZ347" s="5">
        <f>INDEX(Projects[Solution Type],346)&amp;""</f>
        <v/>
      </c>
      <c r="CA347" s="5">
        <f>INDEX(Projects[Client / Region],346)&amp;""</f>
        <v/>
      </c>
      <c r="CB347" s="5">
        <f>INDEX(Projects[Year],346)</f>
        <v/>
      </c>
      <c r="CC347" s="5">
        <f>INDEX(Projects[Won?],346)&amp;""</f>
        <v/>
      </c>
      <c r="CD347" s="5">
        <f>INDEX(Projects[Value (USD M)],346)</f>
        <v/>
      </c>
    </row>
    <row r="348" ht="15" customHeight="1" s="74">
      <c r="A348" s="66">
        <f>INDEX(Projects[Project ID *],347)&amp;""</f>
        <v/>
      </c>
      <c r="B348" s="66">
        <f>INDEX(Projects[Project Name *],347)&amp;""</f>
        <v/>
      </c>
      <c r="C348" s="66">
        <f>INDEX(Projects[MS Shuttles],347)</f>
        <v/>
      </c>
      <c r="D348" s="66">
        <f>INDEX(Projects[MS Tote Locations],347)</f>
        <v/>
      </c>
      <c r="E348" s="66">
        <f>INDEX(Projects[AS Robots],347)</f>
        <v/>
      </c>
      <c r="F348" s="66">
        <f>INDEX(Projects[AS Tote Locations],347)</f>
        <v/>
      </c>
      <c r="G348" s="66">
        <f>INDEX(Projects[PS Shuttles],347)</f>
        <v/>
      </c>
      <c r="H348" s="66">
        <f>INDEX(Projects[PS Pallet Locations],347)</f>
        <v/>
      </c>
      <c r="I348" s="66">
        <f>INDEX(Projects[SRM Cranes],347)</f>
        <v/>
      </c>
      <c r="J348" s="66">
        <f>INDEX(Projects[SRM Pallet Locations],347)</f>
        <v/>
      </c>
      <c r="K348" s="66">
        <f>INDEX(Projects[Case Conv (m)],347)</f>
        <v/>
      </c>
      <c r="L348" s="66">
        <f>INDEX(Projects[Pallet Conv (m)],347)</f>
        <v/>
      </c>
      <c r="M348" s="66">
        <f>INDEX(Projects[Mech Eng (wks)],347)</f>
        <v/>
      </c>
      <c r="N348" s="66">
        <f>INDEX(Projects[Controls Eng (wks)],347)</f>
        <v/>
      </c>
      <c r="O348" s="66">
        <f>INDEX(Projects[Systems Eng (wks)],347)</f>
        <v/>
      </c>
      <c r="P348" s="66">
        <f>INDEX(Projects[Software Eng (wks)],347)</f>
        <v/>
      </c>
      <c r="Q348" s="66">
        <f>INDEX(Projects[M&amp;E Installation (wks)],347)</f>
        <v/>
      </c>
      <c r="R348" s="66">
        <f>INDEX(Projects[Commissioning (wks)],347)</f>
        <v/>
      </c>
      <c r="S348" s="66">
        <f>INDEX(Projects[Total Timeline (wks)],347)</f>
        <v/>
      </c>
      <c r="T348" s="66">
        <f>INDEX(Projects[Currency],347)&amp;""</f>
        <v/>
      </c>
      <c r="U348" s="67">
        <f>INDEX(Projects[Value (M)],347)</f>
        <v/>
      </c>
      <c r="V348" s="66">
        <f>IF('Smart Search'!B13=1,IFERROR(1/'Smart Search'!H13,0),0)</f>
        <v/>
      </c>
      <c r="W348" s="66">
        <f>IF('Smart Search'!B13=1,IFERROR(1/'Smart Search'!H13,0),0)</f>
        <v/>
      </c>
      <c r="X348" s="66">
        <f>IF('Smart Search'!C13=1,IFERROR(1/'Smart Search'!H13,0),0)</f>
        <v/>
      </c>
      <c r="Y348" s="66">
        <f>IF('Smart Search'!C13=1,IFERROR(1/'Smart Search'!H13,0),0)</f>
        <v/>
      </c>
      <c r="Z348" s="66">
        <f>IF('Smart Search'!D13=1,IFERROR(1/'Smart Search'!H13,0),0)</f>
        <v/>
      </c>
      <c r="AA348" s="66">
        <f>IF('Smart Search'!D13=1,IFERROR(1/'Smart Search'!H13,0),0)</f>
        <v/>
      </c>
      <c r="AB348" s="66">
        <f>IF('Smart Search'!E13=1,IFERROR(1/'Smart Search'!H13,0),0)</f>
        <v/>
      </c>
      <c r="AC348" s="66">
        <f>IF('Smart Search'!E13=1,IFERROR(1/'Smart Search'!H13,0),0)</f>
        <v/>
      </c>
      <c r="AD348" s="66">
        <f>IF('Smart Search'!F13=1,IFERROR(1/'Smart Search'!H13,0),0)</f>
        <v/>
      </c>
      <c r="AE348" s="66">
        <f>IF('Smart Search'!F13=1,IFERROR(1/'Smart Search'!H13,0),0)</f>
        <v/>
      </c>
      <c r="AF348" s="66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66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66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66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66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66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66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66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66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66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66">
        <f>AF348*V348</f>
        <v/>
      </c>
      <c r="AQ348" s="66">
        <f>AG348*W348</f>
        <v/>
      </c>
      <c r="AR348" s="66">
        <f>AH348*X348</f>
        <v/>
      </c>
      <c r="AS348" s="66">
        <f>AI348*Y348</f>
        <v/>
      </c>
      <c r="AT348" s="66">
        <f>AJ348*Z348</f>
        <v/>
      </c>
      <c r="AU348" s="66">
        <f>AK348*AA348</f>
        <v/>
      </c>
      <c r="AV348" s="66">
        <f>AL348*AB348</f>
        <v/>
      </c>
      <c r="AW348" s="66">
        <f>AM348*AC348</f>
        <v/>
      </c>
      <c r="AX348" s="66">
        <f>AN348*AD348</f>
        <v/>
      </c>
      <c r="AY348" s="66">
        <f>AO348*AE348</f>
        <v/>
      </c>
      <c r="AZ348" s="66">
        <f>INDEX(Projects[Automation Equipment],347)&amp;""</f>
        <v/>
      </c>
      <c r="BA348" s="66">
        <f>IF(OR(A348="",'Smart Search'!H13=0),"",MAX(0,BE348*BF348*MAX(0,1-BG348)))</f>
        <v/>
      </c>
      <c r="BB348" s="66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66">
        <f>IF('Smart Search'!G13=1,IFERROR(1/'Smart Search'!H13,0),0)</f>
        <v/>
      </c>
      <c r="BD348" s="66">
        <f>BB348*BC348</f>
        <v/>
      </c>
      <c r="BE348" s="66">
        <f>AP348+AQ348+AR348+AS348+AT348+AU348+AV348+AW348+AX348+AY348+BD348</f>
        <v/>
      </c>
      <c r="BF348" s="5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5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5">
        <f>IF(AND(A348&lt;&gt;"",OR('Smart Search'!$L$5="",'Smart Search'!$L$5="All",TRIM(BZ348)=TRIM('Smart Search'!$L$5)),OR(TRIM('Smart Search'!$L$6)="",TRIM('Smart Search'!$L$6)="All",ISNUMBER(SEARCH(SUBSTITUTE(SUBSTITUTE(SUBSTITUTE(TRIM('Smart Search'!$L$6),"~","~~"),"*","~*"),"?","~?"),CA348))),OR('Smart Search'!$L$7="",AND(CB348&lt;&gt;0,CB348='Smart Search'!$L$7)),OR('Smart Search'!$L$8="",'Smart Search'!$L$8="All",TRIM(CC348)=TRIM('Smart Search'!$L$8))),IF(BA348="","",BA348+ROW()*0.0000000001),"")</f>
        <v/>
      </c>
      <c r="BI348" s="5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5">
        <f>IF(A348="","",N(INDEX(Projects[Mech Inst],347)))</f>
        <v/>
      </c>
      <c r="BK348" s="5">
        <f>IF(A348="","",N(INDEX(Projects[Elec Inst],347)))</f>
        <v/>
      </c>
      <c r="BL348" s="5">
        <f>IF(A348="","",N(INDEX(Projects[Project Management],347)))</f>
        <v/>
      </c>
      <c r="BM348" s="5">
        <f>IF(A348="","",N(INDEX(Projects[Systems Eng],347)))</f>
        <v/>
      </c>
      <c r="BN348" s="5">
        <f>IF(A348="","",N(INDEX(Projects[Mechanical Eng],347)))</f>
        <v/>
      </c>
      <c r="BO348" s="5">
        <f>IF(A348="","",N(INDEX(Projects[Structural Engineering],347)))</f>
        <v/>
      </c>
      <c r="BP348" s="5">
        <f>IF(A348="","",N(INDEX(Projects[Site Sup],347)))</f>
        <v/>
      </c>
      <c r="BQ348" s="5">
        <f>IF(A348="","",N(INDEX(Projects[Controls Commissioning],347)))</f>
        <v/>
      </c>
      <c r="BR348" s="5">
        <f>IF(A348="","",N(INDEX(Projects[Systems Commissioning],347)))</f>
        <v/>
      </c>
      <c r="BS348" s="5">
        <f>IF(A348="","",N(INDEX(Projects[Service Commissioning],347)))</f>
        <v/>
      </c>
      <c r="BT348" s="5">
        <f>IF(A348="","",N(INDEX(Projects[Controls Eng],347)))</f>
        <v/>
      </c>
      <c r="BU348" s="5">
        <f>IF(A348="","",N(INDEX(Projects[Controls Purchase],347)))</f>
        <v/>
      </c>
      <c r="BV348" s="5">
        <f>IF(A348="","",N(INDEX(Projects[Software Eng],347)))</f>
        <v/>
      </c>
      <c r="BW348" s="5">
        <f>IF(A348="","",N(INDEX(Projects[Misc],347)))</f>
        <v/>
      </c>
      <c r="BX348" s="5">
        <f>IF(A348="","",SUM(BJ348:BW348))</f>
        <v/>
      </c>
      <c r="BY348" s="5">
        <f>IF(A348="","",IFERROR(IF(ISNUMBER(U348),U348,VALUE(SUBSTITUTE(SUBSTITUTE(SUBSTITUTE(UPPER(TRIM(U348)),"M",""),",","")," ",""))),0))</f>
        <v/>
      </c>
      <c r="BZ348" s="5">
        <f>INDEX(Projects[Solution Type],347)&amp;""</f>
        <v/>
      </c>
      <c r="CA348" s="5">
        <f>INDEX(Projects[Client / Region],347)&amp;""</f>
        <v/>
      </c>
      <c r="CB348" s="5">
        <f>INDEX(Projects[Year],347)</f>
        <v/>
      </c>
      <c r="CC348" s="5">
        <f>INDEX(Projects[Won?],347)&amp;""</f>
        <v/>
      </c>
      <c r="CD348" s="5">
        <f>INDEX(Projects[Value (USD M)],347)</f>
        <v/>
      </c>
    </row>
    <row r="349" ht="15" customHeight="1" s="74">
      <c r="A349" s="66">
        <f>INDEX(Projects[Project ID *],348)&amp;""</f>
        <v/>
      </c>
      <c r="B349" s="66">
        <f>INDEX(Projects[Project Name *],348)&amp;""</f>
        <v/>
      </c>
      <c r="C349" s="66">
        <f>INDEX(Projects[MS Shuttles],348)</f>
        <v/>
      </c>
      <c r="D349" s="66">
        <f>INDEX(Projects[MS Tote Locations],348)</f>
        <v/>
      </c>
      <c r="E349" s="66">
        <f>INDEX(Projects[AS Robots],348)</f>
        <v/>
      </c>
      <c r="F349" s="66">
        <f>INDEX(Projects[AS Tote Locations],348)</f>
        <v/>
      </c>
      <c r="G349" s="66">
        <f>INDEX(Projects[PS Shuttles],348)</f>
        <v/>
      </c>
      <c r="H349" s="66">
        <f>INDEX(Projects[PS Pallet Locations],348)</f>
        <v/>
      </c>
      <c r="I349" s="66">
        <f>INDEX(Projects[SRM Cranes],348)</f>
        <v/>
      </c>
      <c r="J349" s="66">
        <f>INDEX(Projects[SRM Pallet Locations],348)</f>
        <v/>
      </c>
      <c r="K349" s="66">
        <f>INDEX(Projects[Case Conv (m)],348)</f>
        <v/>
      </c>
      <c r="L349" s="66">
        <f>INDEX(Projects[Pallet Conv (m)],348)</f>
        <v/>
      </c>
      <c r="M349" s="66">
        <f>INDEX(Projects[Mech Eng (wks)],348)</f>
        <v/>
      </c>
      <c r="N349" s="66">
        <f>INDEX(Projects[Controls Eng (wks)],348)</f>
        <v/>
      </c>
      <c r="O349" s="66">
        <f>INDEX(Projects[Systems Eng (wks)],348)</f>
        <v/>
      </c>
      <c r="P349" s="66">
        <f>INDEX(Projects[Software Eng (wks)],348)</f>
        <v/>
      </c>
      <c r="Q349" s="66">
        <f>INDEX(Projects[M&amp;E Installation (wks)],348)</f>
        <v/>
      </c>
      <c r="R349" s="66">
        <f>INDEX(Projects[Commissioning (wks)],348)</f>
        <v/>
      </c>
      <c r="S349" s="66">
        <f>INDEX(Projects[Total Timeline (wks)],348)</f>
        <v/>
      </c>
      <c r="T349" s="66">
        <f>INDEX(Projects[Currency],348)&amp;""</f>
        <v/>
      </c>
      <c r="U349" s="67">
        <f>INDEX(Projects[Value (M)],348)</f>
        <v/>
      </c>
      <c r="V349" s="66">
        <f>IF('Smart Search'!B13=1,IFERROR(1/'Smart Search'!H13,0),0)</f>
        <v/>
      </c>
      <c r="W349" s="66">
        <f>IF('Smart Search'!B13=1,IFERROR(1/'Smart Search'!H13,0),0)</f>
        <v/>
      </c>
      <c r="X349" s="66">
        <f>IF('Smart Search'!C13=1,IFERROR(1/'Smart Search'!H13,0),0)</f>
        <v/>
      </c>
      <c r="Y349" s="66">
        <f>IF('Smart Search'!C13=1,IFERROR(1/'Smart Search'!H13,0),0)</f>
        <v/>
      </c>
      <c r="Z349" s="66">
        <f>IF('Smart Search'!D13=1,IFERROR(1/'Smart Search'!H13,0),0)</f>
        <v/>
      </c>
      <c r="AA349" s="66">
        <f>IF('Smart Search'!D13=1,IFERROR(1/'Smart Search'!H13,0),0)</f>
        <v/>
      </c>
      <c r="AB349" s="66">
        <f>IF('Smart Search'!E13=1,IFERROR(1/'Smart Search'!H13,0),0)</f>
        <v/>
      </c>
      <c r="AC349" s="66">
        <f>IF('Smart Search'!E13=1,IFERROR(1/'Smart Search'!H13,0),0)</f>
        <v/>
      </c>
      <c r="AD349" s="66">
        <f>IF('Smart Search'!F13=1,IFERROR(1/'Smart Search'!H13,0),0)</f>
        <v/>
      </c>
      <c r="AE349" s="66">
        <f>IF('Smart Search'!F13=1,IFERROR(1/'Smart Search'!H13,0),0)</f>
        <v/>
      </c>
      <c r="AF349" s="66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66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66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66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66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66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66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66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66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66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66">
        <f>AF349*V349</f>
        <v/>
      </c>
      <c r="AQ349" s="66">
        <f>AG349*W349</f>
        <v/>
      </c>
      <c r="AR349" s="66">
        <f>AH349*X349</f>
        <v/>
      </c>
      <c r="AS349" s="66">
        <f>AI349*Y349</f>
        <v/>
      </c>
      <c r="AT349" s="66">
        <f>AJ349*Z349</f>
        <v/>
      </c>
      <c r="AU349" s="66">
        <f>AK349*AA349</f>
        <v/>
      </c>
      <c r="AV349" s="66">
        <f>AL349*AB349</f>
        <v/>
      </c>
      <c r="AW349" s="66">
        <f>AM349*AC349</f>
        <v/>
      </c>
      <c r="AX349" s="66">
        <f>AN349*AD349</f>
        <v/>
      </c>
      <c r="AY349" s="66">
        <f>AO349*AE349</f>
        <v/>
      </c>
      <c r="AZ349" s="66">
        <f>INDEX(Projects[Automation Equipment],348)&amp;""</f>
        <v/>
      </c>
      <c r="BA349" s="66">
        <f>IF(OR(A349="",'Smart Search'!H13=0),"",MAX(0,BE349*BF349*MAX(0,1-BG349)))</f>
        <v/>
      </c>
      <c r="BB349" s="66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66">
        <f>IF('Smart Search'!G13=1,IFERROR(1/'Smart Search'!H13,0),0)</f>
        <v/>
      </c>
      <c r="BD349" s="66">
        <f>BB349*BC349</f>
        <v/>
      </c>
      <c r="BE349" s="66">
        <f>AP349+AQ349+AR349+AS349+AT349+AU349+AV349+AW349+AX349+AY349+BD349</f>
        <v/>
      </c>
      <c r="BF349" s="5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5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5">
        <f>IF(AND(A349&lt;&gt;"",OR('Smart Search'!$L$5="",'Smart Search'!$L$5="All",TRIM(BZ349)=TRIM('Smart Search'!$L$5)),OR(TRIM('Smart Search'!$L$6)="",TRIM('Smart Search'!$L$6)="All",ISNUMBER(SEARCH(SUBSTITUTE(SUBSTITUTE(SUBSTITUTE(TRIM('Smart Search'!$L$6),"~","~~"),"*","~*"),"?","~?"),CA349))),OR('Smart Search'!$L$7="",AND(CB349&lt;&gt;0,CB349='Smart Search'!$L$7)),OR('Smart Search'!$L$8="",'Smart Search'!$L$8="All",TRIM(CC349)=TRIM('Smart Search'!$L$8))),IF(BA349="","",BA349+ROW()*0.0000000001),"")</f>
        <v/>
      </c>
      <c r="BI349" s="5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5">
        <f>IF(A349="","",N(INDEX(Projects[Mech Inst],348)))</f>
        <v/>
      </c>
      <c r="BK349" s="5">
        <f>IF(A349="","",N(INDEX(Projects[Elec Inst],348)))</f>
        <v/>
      </c>
      <c r="BL349" s="5">
        <f>IF(A349="","",N(INDEX(Projects[Project Management],348)))</f>
        <v/>
      </c>
      <c r="BM349" s="5">
        <f>IF(A349="","",N(INDEX(Projects[Systems Eng],348)))</f>
        <v/>
      </c>
      <c r="BN349" s="5">
        <f>IF(A349="","",N(INDEX(Projects[Mechanical Eng],348)))</f>
        <v/>
      </c>
      <c r="BO349" s="5">
        <f>IF(A349="","",N(INDEX(Projects[Structural Engineering],348)))</f>
        <v/>
      </c>
      <c r="BP349" s="5">
        <f>IF(A349="","",N(INDEX(Projects[Site Sup],348)))</f>
        <v/>
      </c>
      <c r="BQ349" s="5">
        <f>IF(A349="","",N(INDEX(Projects[Controls Commissioning],348)))</f>
        <v/>
      </c>
      <c r="BR349" s="5">
        <f>IF(A349="","",N(INDEX(Projects[Systems Commissioning],348)))</f>
        <v/>
      </c>
      <c r="BS349" s="5">
        <f>IF(A349="","",N(INDEX(Projects[Service Commissioning],348)))</f>
        <v/>
      </c>
      <c r="BT349" s="5">
        <f>IF(A349="","",N(INDEX(Projects[Controls Eng],348)))</f>
        <v/>
      </c>
      <c r="BU349" s="5">
        <f>IF(A349="","",N(INDEX(Projects[Controls Purchase],348)))</f>
        <v/>
      </c>
      <c r="BV349" s="5">
        <f>IF(A349="","",N(INDEX(Projects[Software Eng],348)))</f>
        <v/>
      </c>
      <c r="BW349" s="5">
        <f>IF(A349="","",N(INDEX(Projects[Misc],348)))</f>
        <v/>
      </c>
      <c r="BX349" s="5">
        <f>IF(A349="","",SUM(BJ349:BW349))</f>
        <v/>
      </c>
      <c r="BY349" s="5">
        <f>IF(A349="","",IFERROR(IF(ISNUMBER(U349),U349,VALUE(SUBSTITUTE(SUBSTITUTE(SUBSTITUTE(UPPER(TRIM(U349)),"M",""),",","")," ",""))),0))</f>
        <v/>
      </c>
      <c r="BZ349" s="5">
        <f>INDEX(Projects[Solution Type],348)&amp;""</f>
        <v/>
      </c>
      <c r="CA349" s="5">
        <f>INDEX(Projects[Client / Region],348)&amp;""</f>
        <v/>
      </c>
      <c r="CB349" s="5">
        <f>INDEX(Projects[Year],348)</f>
        <v/>
      </c>
      <c r="CC349" s="5">
        <f>INDEX(Projects[Won?],348)&amp;""</f>
        <v/>
      </c>
      <c r="CD349" s="5">
        <f>INDEX(Projects[Value (USD M)],348)</f>
        <v/>
      </c>
    </row>
    <row r="350" ht="15" customHeight="1" s="74">
      <c r="A350" s="66">
        <f>INDEX(Projects[Project ID *],349)&amp;""</f>
        <v/>
      </c>
      <c r="B350" s="66">
        <f>INDEX(Projects[Project Name *],349)&amp;""</f>
        <v/>
      </c>
      <c r="C350" s="66">
        <f>INDEX(Projects[MS Shuttles],349)</f>
        <v/>
      </c>
      <c r="D350" s="66">
        <f>INDEX(Projects[MS Tote Locations],349)</f>
        <v/>
      </c>
      <c r="E350" s="66">
        <f>INDEX(Projects[AS Robots],349)</f>
        <v/>
      </c>
      <c r="F350" s="66">
        <f>INDEX(Projects[AS Tote Locations],349)</f>
        <v/>
      </c>
      <c r="G350" s="66">
        <f>INDEX(Projects[PS Shuttles],349)</f>
        <v/>
      </c>
      <c r="H350" s="66">
        <f>INDEX(Projects[PS Pallet Locations],349)</f>
        <v/>
      </c>
      <c r="I350" s="66">
        <f>INDEX(Projects[SRM Cranes],349)</f>
        <v/>
      </c>
      <c r="J350" s="66">
        <f>INDEX(Projects[SRM Pallet Locations],349)</f>
        <v/>
      </c>
      <c r="K350" s="66">
        <f>INDEX(Projects[Case Conv (m)],349)</f>
        <v/>
      </c>
      <c r="L350" s="66">
        <f>INDEX(Projects[Pallet Conv (m)],349)</f>
        <v/>
      </c>
      <c r="M350" s="66">
        <f>INDEX(Projects[Mech Eng (wks)],349)</f>
        <v/>
      </c>
      <c r="N350" s="66">
        <f>INDEX(Projects[Controls Eng (wks)],349)</f>
        <v/>
      </c>
      <c r="O350" s="66">
        <f>INDEX(Projects[Systems Eng (wks)],349)</f>
        <v/>
      </c>
      <c r="P350" s="66">
        <f>INDEX(Projects[Software Eng (wks)],349)</f>
        <v/>
      </c>
      <c r="Q350" s="66">
        <f>INDEX(Projects[M&amp;E Installation (wks)],349)</f>
        <v/>
      </c>
      <c r="R350" s="66">
        <f>INDEX(Projects[Commissioning (wks)],349)</f>
        <v/>
      </c>
      <c r="S350" s="66">
        <f>INDEX(Projects[Total Timeline (wks)],349)</f>
        <v/>
      </c>
      <c r="T350" s="66">
        <f>INDEX(Projects[Currency],349)&amp;""</f>
        <v/>
      </c>
      <c r="U350" s="67">
        <f>INDEX(Projects[Value (M)],349)</f>
        <v/>
      </c>
      <c r="V350" s="66">
        <f>IF('Smart Search'!B13=1,IFERROR(1/'Smart Search'!H13,0),0)</f>
        <v/>
      </c>
      <c r="W350" s="66">
        <f>IF('Smart Search'!B13=1,IFERROR(1/'Smart Search'!H13,0),0)</f>
        <v/>
      </c>
      <c r="X350" s="66">
        <f>IF('Smart Search'!C13=1,IFERROR(1/'Smart Search'!H13,0),0)</f>
        <v/>
      </c>
      <c r="Y350" s="66">
        <f>IF('Smart Search'!C13=1,IFERROR(1/'Smart Search'!H13,0),0)</f>
        <v/>
      </c>
      <c r="Z350" s="66">
        <f>IF('Smart Search'!D13=1,IFERROR(1/'Smart Search'!H13,0),0)</f>
        <v/>
      </c>
      <c r="AA350" s="66">
        <f>IF('Smart Search'!D13=1,IFERROR(1/'Smart Search'!H13,0),0)</f>
        <v/>
      </c>
      <c r="AB350" s="66">
        <f>IF('Smart Search'!E13=1,IFERROR(1/'Smart Search'!H13,0),0)</f>
        <v/>
      </c>
      <c r="AC350" s="66">
        <f>IF('Smart Search'!E13=1,IFERROR(1/'Smart Search'!H13,0),0)</f>
        <v/>
      </c>
      <c r="AD350" s="66">
        <f>IF('Smart Search'!F13=1,IFERROR(1/'Smart Search'!H13,0),0)</f>
        <v/>
      </c>
      <c r="AE350" s="66">
        <f>IF('Smart Search'!F13=1,IFERROR(1/'Smart Search'!H13,0),0)</f>
        <v/>
      </c>
      <c r="AF350" s="66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66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66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66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66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66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66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66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66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66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66">
        <f>AF350*V350</f>
        <v/>
      </c>
      <c r="AQ350" s="66">
        <f>AG350*W350</f>
        <v/>
      </c>
      <c r="AR350" s="66">
        <f>AH350*X350</f>
        <v/>
      </c>
      <c r="AS350" s="66">
        <f>AI350*Y350</f>
        <v/>
      </c>
      <c r="AT350" s="66">
        <f>AJ350*Z350</f>
        <v/>
      </c>
      <c r="AU350" s="66">
        <f>AK350*AA350</f>
        <v/>
      </c>
      <c r="AV350" s="66">
        <f>AL350*AB350</f>
        <v/>
      </c>
      <c r="AW350" s="66">
        <f>AM350*AC350</f>
        <v/>
      </c>
      <c r="AX350" s="66">
        <f>AN350*AD350</f>
        <v/>
      </c>
      <c r="AY350" s="66">
        <f>AO350*AE350</f>
        <v/>
      </c>
      <c r="AZ350" s="66">
        <f>INDEX(Projects[Automation Equipment],349)&amp;""</f>
        <v/>
      </c>
      <c r="BA350" s="66">
        <f>IF(OR(A350="",'Smart Search'!H13=0),"",MAX(0,BE350*BF350*MAX(0,1-BG350)))</f>
        <v/>
      </c>
      <c r="BB350" s="66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66">
        <f>IF('Smart Search'!G13=1,IFERROR(1/'Smart Search'!H13,0),0)</f>
        <v/>
      </c>
      <c r="BD350" s="66">
        <f>BB350*BC350</f>
        <v/>
      </c>
      <c r="BE350" s="66">
        <f>AP350+AQ350+AR350+AS350+AT350+AU350+AV350+AW350+AX350+AY350+BD350</f>
        <v/>
      </c>
      <c r="BF350" s="5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5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5">
        <f>IF(AND(A350&lt;&gt;"",OR('Smart Search'!$L$5="",'Smart Search'!$L$5="All",TRIM(BZ350)=TRIM('Smart Search'!$L$5)),OR(TRIM('Smart Search'!$L$6)="",TRIM('Smart Search'!$L$6)="All",ISNUMBER(SEARCH(SUBSTITUTE(SUBSTITUTE(SUBSTITUTE(TRIM('Smart Search'!$L$6),"~","~~"),"*","~*"),"?","~?"),CA350))),OR('Smart Search'!$L$7="",AND(CB350&lt;&gt;0,CB350='Smart Search'!$L$7)),OR('Smart Search'!$L$8="",'Smart Search'!$L$8="All",TRIM(CC350)=TRIM('Smart Search'!$L$8))),IF(BA350="","",BA350+ROW()*0.0000000001),"")</f>
        <v/>
      </c>
      <c r="BI350" s="5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5">
        <f>IF(A350="","",N(INDEX(Projects[Mech Inst],349)))</f>
        <v/>
      </c>
      <c r="BK350" s="5">
        <f>IF(A350="","",N(INDEX(Projects[Elec Inst],349)))</f>
        <v/>
      </c>
      <c r="BL350" s="5">
        <f>IF(A350="","",N(INDEX(Projects[Project Management],349)))</f>
        <v/>
      </c>
      <c r="BM350" s="5">
        <f>IF(A350="","",N(INDEX(Projects[Systems Eng],349)))</f>
        <v/>
      </c>
      <c r="BN350" s="5">
        <f>IF(A350="","",N(INDEX(Projects[Mechanical Eng],349)))</f>
        <v/>
      </c>
      <c r="BO350" s="5">
        <f>IF(A350="","",N(INDEX(Projects[Structural Engineering],349)))</f>
        <v/>
      </c>
      <c r="BP350" s="5">
        <f>IF(A350="","",N(INDEX(Projects[Site Sup],349)))</f>
        <v/>
      </c>
      <c r="BQ350" s="5">
        <f>IF(A350="","",N(INDEX(Projects[Controls Commissioning],349)))</f>
        <v/>
      </c>
      <c r="BR350" s="5">
        <f>IF(A350="","",N(INDEX(Projects[Systems Commissioning],349)))</f>
        <v/>
      </c>
      <c r="BS350" s="5">
        <f>IF(A350="","",N(INDEX(Projects[Service Commissioning],349)))</f>
        <v/>
      </c>
      <c r="BT350" s="5">
        <f>IF(A350="","",N(INDEX(Projects[Controls Eng],349)))</f>
        <v/>
      </c>
      <c r="BU350" s="5">
        <f>IF(A350="","",N(INDEX(Projects[Controls Purchase],349)))</f>
        <v/>
      </c>
      <c r="BV350" s="5">
        <f>IF(A350="","",N(INDEX(Projects[Software Eng],349)))</f>
        <v/>
      </c>
      <c r="BW350" s="5">
        <f>IF(A350="","",N(INDEX(Projects[Misc],349)))</f>
        <v/>
      </c>
      <c r="BX350" s="5">
        <f>IF(A350="","",SUM(BJ350:BW350))</f>
        <v/>
      </c>
      <c r="BY350" s="5">
        <f>IF(A350="","",IFERROR(IF(ISNUMBER(U350),U350,VALUE(SUBSTITUTE(SUBSTITUTE(SUBSTITUTE(UPPER(TRIM(U350)),"M",""),",","")," ",""))),0))</f>
        <v/>
      </c>
      <c r="BZ350" s="5">
        <f>INDEX(Projects[Solution Type],349)&amp;""</f>
        <v/>
      </c>
      <c r="CA350" s="5">
        <f>INDEX(Projects[Client / Region],349)&amp;""</f>
        <v/>
      </c>
      <c r="CB350" s="5">
        <f>INDEX(Projects[Year],349)</f>
        <v/>
      </c>
      <c r="CC350" s="5">
        <f>INDEX(Projects[Won?],349)&amp;""</f>
        <v/>
      </c>
      <c r="CD350" s="5">
        <f>INDEX(Projects[Value (USD M)],349)</f>
        <v/>
      </c>
    </row>
    <row r="351" ht="15" customHeight="1" s="74">
      <c r="A351" s="66">
        <f>INDEX(Projects[Project ID *],350)&amp;""</f>
        <v/>
      </c>
      <c r="B351" s="66">
        <f>INDEX(Projects[Project Name *],350)&amp;""</f>
        <v/>
      </c>
      <c r="C351" s="66">
        <f>INDEX(Projects[MS Shuttles],350)</f>
        <v/>
      </c>
      <c r="D351" s="66">
        <f>INDEX(Projects[MS Tote Locations],350)</f>
        <v/>
      </c>
      <c r="E351" s="66">
        <f>INDEX(Projects[AS Robots],350)</f>
        <v/>
      </c>
      <c r="F351" s="66">
        <f>INDEX(Projects[AS Tote Locations],350)</f>
        <v/>
      </c>
      <c r="G351" s="66">
        <f>INDEX(Projects[PS Shuttles],350)</f>
        <v/>
      </c>
      <c r="H351" s="66">
        <f>INDEX(Projects[PS Pallet Locations],350)</f>
        <v/>
      </c>
      <c r="I351" s="66">
        <f>INDEX(Projects[SRM Cranes],350)</f>
        <v/>
      </c>
      <c r="J351" s="66">
        <f>INDEX(Projects[SRM Pallet Locations],350)</f>
        <v/>
      </c>
      <c r="K351" s="66">
        <f>INDEX(Projects[Case Conv (m)],350)</f>
        <v/>
      </c>
      <c r="L351" s="66">
        <f>INDEX(Projects[Pallet Conv (m)],350)</f>
        <v/>
      </c>
      <c r="M351" s="66">
        <f>INDEX(Projects[Mech Eng (wks)],350)</f>
        <v/>
      </c>
      <c r="N351" s="66">
        <f>INDEX(Projects[Controls Eng (wks)],350)</f>
        <v/>
      </c>
      <c r="O351" s="66">
        <f>INDEX(Projects[Systems Eng (wks)],350)</f>
        <v/>
      </c>
      <c r="P351" s="66">
        <f>INDEX(Projects[Software Eng (wks)],350)</f>
        <v/>
      </c>
      <c r="Q351" s="66">
        <f>INDEX(Projects[M&amp;E Installation (wks)],350)</f>
        <v/>
      </c>
      <c r="R351" s="66">
        <f>INDEX(Projects[Commissioning (wks)],350)</f>
        <v/>
      </c>
      <c r="S351" s="66">
        <f>INDEX(Projects[Total Timeline (wks)],350)</f>
        <v/>
      </c>
      <c r="T351" s="66">
        <f>INDEX(Projects[Currency],350)&amp;""</f>
        <v/>
      </c>
      <c r="U351" s="67">
        <f>INDEX(Projects[Value (M)],350)</f>
        <v/>
      </c>
      <c r="V351" s="66">
        <f>IF('Smart Search'!B13=1,IFERROR(1/'Smart Search'!H13,0),0)</f>
        <v/>
      </c>
      <c r="W351" s="66">
        <f>IF('Smart Search'!B13=1,IFERROR(1/'Smart Search'!H13,0),0)</f>
        <v/>
      </c>
      <c r="X351" s="66">
        <f>IF('Smart Search'!C13=1,IFERROR(1/'Smart Search'!H13,0),0)</f>
        <v/>
      </c>
      <c r="Y351" s="66">
        <f>IF('Smart Search'!C13=1,IFERROR(1/'Smart Search'!H13,0),0)</f>
        <v/>
      </c>
      <c r="Z351" s="66">
        <f>IF('Smart Search'!D13=1,IFERROR(1/'Smart Search'!H13,0),0)</f>
        <v/>
      </c>
      <c r="AA351" s="66">
        <f>IF('Smart Search'!D13=1,IFERROR(1/'Smart Search'!H13,0),0)</f>
        <v/>
      </c>
      <c r="AB351" s="66">
        <f>IF('Smart Search'!E13=1,IFERROR(1/'Smart Search'!H13,0),0)</f>
        <v/>
      </c>
      <c r="AC351" s="66">
        <f>IF('Smart Search'!E13=1,IFERROR(1/'Smart Search'!H13,0),0)</f>
        <v/>
      </c>
      <c r="AD351" s="66">
        <f>IF('Smart Search'!F13=1,IFERROR(1/'Smart Search'!H13,0),0)</f>
        <v/>
      </c>
      <c r="AE351" s="66">
        <f>IF('Smart Search'!F13=1,IFERROR(1/'Smart Search'!H13,0),0)</f>
        <v/>
      </c>
      <c r="AF351" s="66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66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66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66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66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66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66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66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66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66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66">
        <f>AF351*V351</f>
        <v/>
      </c>
      <c r="AQ351" s="66">
        <f>AG351*W351</f>
        <v/>
      </c>
      <c r="AR351" s="66">
        <f>AH351*X351</f>
        <v/>
      </c>
      <c r="AS351" s="66">
        <f>AI351*Y351</f>
        <v/>
      </c>
      <c r="AT351" s="66">
        <f>AJ351*Z351</f>
        <v/>
      </c>
      <c r="AU351" s="66">
        <f>AK351*AA351</f>
        <v/>
      </c>
      <c r="AV351" s="66">
        <f>AL351*AB351</f>
        <v/>
      </c>
      <c r="AW351" s="66">
        <f>AM351*AC351</f>
        <v/>
      </c>
      <c r="AX351" s="66">
        <f>AN351*AD351</f>
        <v/>
      </c>
      <c r="AY351" s="66">
        <f>AO351*AE351</f>
        <v/>
      </c>
      <c r="AZ351" s="66">
        <f>INDEX(Projects[Automation Equipment],350)&amp;""</f>
        <v/>
      </c>
      <c r="BA351" s="66">
        <f>IF(OR(A351="",'Smart Search'!H13=0),"",MAX(0,BE351*BF351*MAX(0,1-BG351)))</f>
        <v/>
      </c>
      <c r="BB351" s="66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66">
        <f>IF('Smart Search'!G13=1,IFERROR(1/'Smart Search'!H13,0),0)</f>
        <v/>
      </c>
      <c r="BD351" s="66">
        <f>BB351*BC351</f>
        <v/>
      </c>
      <c r="BE351" s="66">
        <f>AP351+AQ351+AR351+AS351+AT351+AU351+AV351+AW351+AX351+AY351+BD351</f>
        <v/>
      </c>
      <c r="BF351" s="5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5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5">
        <f>IF(AND(A351&lt;&gt;"",OR('Smart Search'!$L$5="",'Smart Search'!$L$5="All",TRIM(BZ351)=TRIM('Smart Search'!$L$5)),OR(TRIM('Smart Search'!$L$6)="",TRIM('Smart Search'!$L$6)="All",ISNUMBER(SEARCH(SUBSTITUTE(SUBSTITUTE(SUBSTITUTE(TRIM('Smart Search'!$L$6),"~","~~"),"*","~*"),"?","~?"),CA351))),OR('Smart Search'!$L$7="",AND(CB351&lt;&gt;0,CB351='Smart Search'!$L$7)),OR('Smart Search'!$L$8="",'Smart Search'!$L$8="All",TRIM(CC351)=TRIM('Smart Search'!$L$8))),IF(BA351="","",BA351+ROW()*0.0000000001),"")</f>
        <v/>
      </c>
      <c r="BI351" s="5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5">
        <f>IF(A351="","",N(INDEX(Projects[Mech Inst],350)))</f>
        <v/>
      </c>
      <c r="BK351" s="5">
        <f>IF(A351="","",N(INDEX(Projects[Elec Inst],350)))</f>
        <v/>
      </c>
      <c r="BL351" s="5">
        <f>IF(A351="","",N(INDEX(Projects[Project Management],350)))</f>
        <v/>
      </c>
      <c r="BM351" s="5">
        <f>IF(A351="","",N(INDEX(Projects[Systems Eng],350)))</f>
        <v/>
      </c>
      <c r="BN351" s="5">
        <f>IF(A351="","",N(INDEX(Projects[Mechanical Eng],350)))</f>
        <v/>
      </c>
      <c r="BO351" s="5">
        <f>IF(A351="","",N(INDEX(Projects[Structural Engineering],350)))</f>
        <v/>
      </c>
      <c r="BP351" s="5">
        <f>IF(A351="","",N(INDEX(Projects[Site Sup],350)))</f>
        <v/>
      </c>
      <c r="BQ351" s="5">
        <f>IF(A351="","",N(INDEX(Projects[Controls Commissioning],350)))</f>
        <v/>
      </c>
      <c r="BR351" s="5">
        <f>IF(A351="","",N(INDEX(Projects[Systems Commissioning],350)))</f>
        <v/>
      </c>
      <c r="BS351" s="5">
        <f>IF(A351="","",N(INDEX(Projects[Service Commissioning],350)))</f>
        <v/>
      </c>
      <c r="BT351" s="5">
        <f>IF(A351="","",N(INDEX(Projects[Controls Eng],350)))</f>
        <v/>
      </c>
      <c r="BU351" s="5">
        <f>IF(A351="","",N(INDEX(Projects[Controls Purchase],350)))</f>
        <v/>
      </c>
      <c r="BV351" s="5">
        <f>IF(A351="","",N(INDEX(Projects[Software Eng],350)))</f>
        <v/>
      </c>
      <c r="BW351" s="5">
        <f>IF(A351="","",N(INDEX(Projects[Misc],350)))</f>
        <v/>
      </c>
      <c r="BX351" s="5">
        <f>IF(A351="","",SUM(BJ351:BW351))</f>
        <v/>
      </c>
      <c r="BY351" s="5">
        <f>IF(A351="","",IFERROR(IF(ISNUMBER(U351),U351,VALUE(SUBSTITUTE(SUBSTITUTE(SUBSTITUTE(UPPER(TRIM(U351)),"M",""),",","")," ",""))),0))</f>
        <v/>
      </c>
      <c r="BZ351" s="5">
        <f>INDEX(Projects[Solution Type],350)&amp;""</f>
        <v/>
      </c>
      <c r="CA351" s="5">
        <f>INDEX(Projects[Client / Region],350)&amp;""</f>
        <v/>
      </c>
      <c r="CB351" s="5">
        <f>INDEX(Projects[Year],350)</f>
        <v/>
      </c>
      <c r="CC351" s="5">
        <f>INDEX(Projects[Won?],350)&amp;""</f>
        <v/>
      </c>
      <c r="CD351" s="5">
        <f>INDEX(Projects[Value (USD M)],350)</f>
        <v/>
      </c>
    </row>
    <row r="352" ht="15" customHeight="1" s="74">
      <c r="A352" s="66">
        <f>INDEX(Projects[Project ID *],351)&amp;""</f>
        <v/>
      </c>
      <c r="B352" s="66">
        <f>INDEX(Projects[Project Name *],351)&amp;""</f>
        <v/>
      </c>
      <c r="C352" s="66">
        <f>INDEX(Projects[MS Shuttles],351)</f>
        <v/>
      </c>
      <c r="D352" s="66">
        <f>INDEX(Projects[MS Tote Locations],351)</f>
        <v/>
      </c>
      <c r="E352" s="66">
        <f>INDEX(Projects[AS Robots],351)</f>
        <v/>
      </c>
      <c r="F352" s="66">
        <f>INDEX(Projects[AS Tote Locations],351)</f>
        <v/>
      </c>
      <c r="G352" s="66">
        <f>INDEX(Projects[PS Shuttles],351)</f>
        <v/>
      </c>
      <c r="H352" s="66">
        <f>INDEX(Projects[PS Pallet Locations],351)</f>
        <v/>
      </c>
      <c r="I352" s="66">
        <f>INDEX(Projects[SRM Cranes],351)</f>
        <v/>
      </c>
      <c r="J352" s="66">
        <f>INDEX(Projects[SRM Pallet Locations],351)</f>
        <v/>
      </c>
      <c r="K352" s="66">
        <f>INDEX(Projects[Case Conv (m)],351)</f>
        <v/>
      </c>
      <c r="L352" s="66">
        <f>INDEX(Projects[Pallet Conv (m)],351)</f>
        <v/>
      </c>
      <c r="M352" s="66">
        <f>INDEX(Projects[Mech Eng (wks)],351)</f>
        <v/>
      </c>
      <c r="N352" s="66">
        <f>INDEX(Projects[Controls Eng (wks)],351)</f>
        <v/>
      </c>
      <c r="O352" s="66">
        <f>INDEX(Projects[Systems Eng (wks)],351)</f>
        <v/>
      </c>
      <c r="P352" s="66">
        <f>INDEX(Projects[Software Eng (wks)],351)</f>
        <v/>
      </c>
      <c r="Q352" s="66">
        <f>INDEX(Projects[M&amp;E Installation (wks)],351)</f>
        <v/>
      </c>
      <c r="R352" s="66">
        <f>INDEX(Projects[Commissioning (wks)],351)</f>
        <v/>
      </c>
      <c r="S352" s="66">
        <f>INDEX(Projects[Total Timeline (wks)],351)</f>
        <v/>
      </c>
      <c r="T352" s="66">
        <f>INDEX(Projects[Currency],351)&amp;""</f>
        <v/>
      </c>
      <c r="U352" s="67">
        <f>INDEX(Projects[Value (M)],351)</f>
        <v/>
      </c>
      <c r="V352" s="66">
        <f>IF('Smart Search'!B13=1,IFERROR(1/'Smart Search'!H13,0),0)</f>
        <v/>
      </c>
      <c r="W352" s="66">
        <f>IF('Smart Search'!B13=1,IFERROR(1/'Smart Search'!H13,0),0)</f>
        <v/>
      </c>
      <c r="X352" s="66">
        <f>IF('Smart Search'!C13=1,IFERROR(1/'Smart Search'!H13,0),0)</f>
        <v/>
      </c>
      <c r="Y352" s="66">
        <f>IF('Smart Search'!C13=1,IFERROR(1/'Smart Search'!H13,0),0)</f>
        <v/>
      </c>
      <c r="Z352" s="66">
        <f>IF('Smart Search'!D13=1,IFERROR(1/'Smart Search'!H13,0),0)</f>
        <v/>
      </c>
      <c r="AA352" s="66">
        <f>IF('Smart Search'!D13=1,IFERROR(1/'Smart Search'!H13,0),0)</f>
        <v/>
      </c>
      <c r="AB352" s="66">
        <f>IF('Smart Search'!E13=1,IFERROR(1/'Smart Search'!H13,0),0)</f>
        <v/>
      </c>
      <c r="AC352" s="66">
        <f>IF('Smart Search'!E13=1,IFERROR(1/'Smart Search'!H13,0),0)</f>
        <v/>
      </c>
      <c r="AD352" s="66">
        <f>IF('Smart Search'!F13=1,IFERROR(1/'Smart Search'!H13,0),0)</f>
        <v/>
      </c>
      <c r="AE352" s="66">
        <f>IF('Smart Search'!F13=1,IFERROR(1/'Smart Search'!H13,0),0)</f>
        <v/>
      </c>
      <c r="AF352" s="66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66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66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66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66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66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66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66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66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66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66">
        <f>AF352*V352</f>
        <v/>
      </c>
      <c r="AQ352" s="66">
        <f>AG352*W352</f>
        <v/>
      </c>
      <c r="AR352" s="66">
        <f>AH352*X352</f>
        <v/>
      </c>
      <c r="AS352" s="66">
        <f>AI352*Y352</f>
        <v/>
      </c>
      <c r="AT352" s="66">
        <f>AJ352*Z352</f>
        <v/>
      </c>
      <c r="AU352" s="66">
        <f>AK352*AA352</f>
        <v/>
      </c>
      <c r="AV352" s="66">
        <f>AL352*AB352</f>
        <v/>
      </c>
      <c r="AW352" s="66">
        <f>AM352*AC352</f>
        <v/>
      </c>
      <c r="AX352" s="66">
        <f>AN352*AD352</f>
        <v/>
      </c>
      <c r="AY352" s="66">
        <f>AO352*AE352</f>
        <v/>
      </c>
      <c r="AZ352" s="66">
        <f>INDEX(Projects[Automation Equipment],351)&amp;""</f>
        <v/>
      </c>
      <c r="BA352" s="66">
        <f>IF(OR(A352="",'Smart Search'!H13=0),"",MAX(0,BE352*BF352*MAX(0,1-BG352)))</f>
        <v/>
      </c>
      <c r="BB352" s="66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66">
        <f>IF('Smart Search'!G13=1,IFERROR(1/'Smart Search'!H13,0),0)</f>
        <v/>
      </c>
      <c r="BD352" s="66">
        <f>BB352*BC352</f>
        <v/>
      </c>
      <c r="BE352" s="66">
        <f>AP352+AQ352+AR352+AS352+AT352+AU352+AV352+AW352+AX352+AY352+BD352</f>
        <v/>
      </c>
      <c r="BF352" s="5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5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5">
        <f>IF(AND(A352&lt;&gt;"",OR('Smart Search'!$L$5="",'Smart Search'!$L$5="All",TRIM(BZ352)=TRIM('Smart Search'!$L$5)),OR(TRIM('Smart Search'!$L$6)="",TRIM('Smart Search'!$L$6)="All",ISNUMBER(SEARCH(SUBSTITUTE(SUBSTITUTE(SUBSTITUTE(TRIM('Smart Search'!$L$6),"~","~~"),"*","~*"),"?","~?"),CA352))),OR('Smart Search'!$L$7="",AND(CB352&lt;&gt;0,CB352='Smart Search'!$L$7)),OR('Smart Search'!$L$8="",'Smart Search'!$L$8="All",TRIM(CC352)=TRIM('Smart Search'!$L$8))),IF(BA352="","",BA352+ROW()*0.0000000001),"")</f>
        <v/>
      </c>
      <c r="BI352" s="5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5">
        <f>IF(A352="","",N(INDEX(Projects[Mech Inst],351)))</f>
        <v/>
      </c>
      <c r="BK352" s="5">
        <f>IF(A352="","",N(INDEX(Projects[Elec Inst],351)))</f>
        <v/>
      </c>
      <c r="BL352" s="5">
        <f>IF(A352="","",N(INDEX(Projects[Project Management],351)))</f>
        <v/>
      </c>
      <c r="BM352" s="5">
        <f>IF(A352="","",N(INDEX(Projects[Systems Eng],351)))</f>
        <v/>
      </c>
      <c r="BN352" s="5">
        <f>IF(A352="","",N(INDEX(Projects[Mechanical Eng],351)))</f>
        <v/>
      </c>
      <c r="BO352" s="5">
        <f>IF(A352="","",N(INDEX(Projects[Structural Engineering],351)))</f>
        <v/>
      </c>
      <c r="BP352" s="5">
        <f>IF(A352="","",N(INDEX(Projects[Site Sup],351)))</f>
        <v/>
      </c>
      <c r="BQ352" s="5">
        <f>IF(A352="","",N(INDEX(Projects[Controls Commissioning],351)))</f>
        <v/>
      </c>
      <c r="BR352" s="5">
        <f>IF(A352="","",N(INDEX(Projects[Systems Commissioning],351)))</f>
        <v/>
      </c>
      <c r="BS352" s="5">
        <f>IF(A352="","",N(INDEX(Projects[Service Commissioning],351)))</f>
        <v/>
      </c>
      <c r="BT352" s="5">
        <f>IF(A352="","",N(INDEX(Projects[Controls Eng],351)))</f>
        <v/>
      </c>
      <c r="BU352" s="5">
        <f>IF(A352="","",N(INDEX(Projects[Controls Purchase],351)))</f>
        <v/>
      </c>
      <c r="BV352" s="5">
        <f>IF(A352="","",N(INDEX(Projects[Software Eng],351)))</f>
        <v/>
      </c>
      <c r="BW352" s="5">
        <f>IF(A352="","",N(INDEX(Projects[Misc],351)))</f>
        <v/>
      </c>
      <c r="BX352" s="5">
        <f>IF(A352="","",SUM(BJ352:BW352))</f>
        <v/>
      </c>
      <c r="BY352" s="5">
        <f>IF(A352="","",IFERROR(IF(ISNUMBER(U352),U352,VALUE(SUBSTITUTE(SUBSTITUTE(SUBSTITUTE(UPPER(TRIM(U352)),"M",""),",","")," ",""))),0))</f>
        <v/>
      </c>
      <c r="BZ352" s="5">
        <f>INDEX(Projects[Solution Type],351)&amp;""</f>
        <v/>
      </c>
      <c r="CA352" s="5">
        <f>INDEX(Projects[Client / Region],351)&amp;""</f>
        <v/>
      </c>
      <c r="CB352" s="5">
        <f>INDEX(Projects[Year],351)</f>
        <v/>
      </c>
      <c r="CC352" s="5">
        <f>INDEX(Projects[Won?],351)&amp;""</f>
        <v/>
      </c>
      <c r="CD352" s="5">
        <f>INDEX(Projects[Value (USD M)],351)</f>
        <v/>
      </c>
    </row>
    <row r="353" ht="15" customHeight="1" s="74">
      <c r="A353" s="66">
        <f>INDEX(Projects[Project ID *],352)&amp;""</f>
        <v/>
      </c>
      <c r="B353" s="66">
        <f>INDEX(Projects[Project Name *],352)&amp;""</f>
        <v/>
      </c>
      <c r="C353" s="66">
        <f>INDEX(Projects[MS Shuttles],352)</f>
        <v/>
      </c>
      <c r="D353" s="66">
        <f>INDEX(Projects[MS Tote Locations],352)</f>
        <v/>
      </c>
      <c r="E353" s="66">
        <f>INDEX(Projects[AS Robots],352)</f>
        <v/>
      </c>
      <c r="F353" s="66">
        <f>INDEX(Projects[AS Tote Locations],352)</f>
        <v/>
      </c>
      <c r="G353" s="66">
        <f>INDEX(Projects[PS Shuttles],352)</f>
        <v/>
      </c>
      <c r="H353" s="66">
        <f>INDEX(Projects[PS Pallet Locations],352)</f>
        <v/>
      </c>
      <c r="I353" s="66">
        <f>INDEX(Projects[SRM Cranes],352)</f>
        <v/>
      </c>
      <c r="J353" s="66">
        <f>INDEX(Projects[SRM Pallet Locations],352)</f>
        <v/>
      </c>
      <c r="K353" s="66">
        <f>INDEX(Projects[Case Conv (m)],352)</f>
        <v/>
      </c>
      <c r="L353" s="66">
        <f>INDEX(Projects[Pallet Conv (m)],352)</f>
        <v/>
      </c>
      <c r="M353" s="66">
        <f>INDEX(Projects[Mech Eng (wks)],352)</f>
        <v/>
      </c>
      <c r="N353" s="66">
        <f>INDEX(Projects[Controls Eng (wks)],352)</f>
        <v/>
      </c>
      <c r="O353" s="66">
        <f>INDEX(Projects[Systems Eng (wks)],352)</f>
        <v/>
      </c>
      <c r="P353" s="66">
        <f>INDEX(Projects[Software Eng (wks)],352)</f>
        <v/>
      </c>
      <c r="Q353" s="66">
        <f>INDEX(Projects[M&amp;E Installation (wks)],352)</f>
        <v/>
      </c>
      <c r="R353" s="66">
        <f>INDEX(Projects[Commissioning (wks)],352)</f>
        <v/>
      </c>
      <c r="S353" s="66">
        <f>INDEX(Projects[Total Timeline (wks)],352)</f>
        <v/>
      </c>
      <c r="T353" s="66">
        <f>INDEX(Projects[Currency],352)&amp;""</f>
        <v/>
      </c>
      <c r="U353" s="67">
        <f>INDEX(Projects[Value (M)],352)</f>
        <v/>
      </c>
      <c r="V353" s="66">
        <f>IF('Smart Search'!B13=1,IFERROR(1/'Smart Search'!H13,0),0)</f>
        <v/>
      </c>
      <c r="W353" s="66">
        <f>IF('Smart Search'!B13=1,IFERROR(1/'Smart Search'!H13,0),0)</f>
        <v/>
      </c>
      <c r="X353" s="66">
        <f>IF('Smart Search'!C13=1,IFERROR(1/'Smart Search'!H13,0),0)</f>
        <v/>
      </c>
      <c r="Y353" s="66">
        <f>IF('Smart Search'!C13=1,IFERROR(1/'Smart Search'!H13,0),0)</f>
        <v/>
      </c>
      <c r="Z353" s="66">
        <f>IF('Smart Search'!D13=1,IFERROR(1/'Smart Search'!H13,0),0)</f>
        <v/>
      </c>
      <c r="AA353" s="66">
        <f>IF('Smart Search'!D13=1,IFERROR(1/'Smart Search'!H13,0),0)</f>
        <v/>
      </c>
      <c r="AB353" s="66">
        <f>IF('Smart Search'!E13=1,IFERROR(1/'Smart Search'!H13,0),0)</f>
        <v/>
      </c>
      <c r="AC353" s="66">
        <f>IF('Smart Search'!E13=1,IFERROR(1/'Smart Search'!H13,0),0)</f>
        <v/>
      </c>
      <c r="AD353" s="66">
        <f>IF('Smart Search'!F13=1,IFERROR(1/'Smart Search'!H13,0),0)</f>
        <v/>
      </c>
      <c r="AE353" s="66">
        <f>IF('Smart Search'!F13=1,IFERROR(1/'Smart Search'!H13,0),0)</f>
        <v/>
      </c>
      <c r="AF353" s="66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66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66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66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66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66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66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66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66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66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66">
        <f>AF353*V353</f>
        <v/>
      </c>
      <c r="AQ353" s="66">
        <f>AG353*W353</f>
        <v/>
      </c>
      <c r="AR353" s="66">
        <f>AH353*X353</f>
        <v/>
      </c>
      <c r="AS353" s="66">
        <f>AI353*Y353</f>
        <v/>
      </c>
      <c r="AT353" s="66">
        <f>AJ353*Z353</f>
        <v/>
      </c>
      <c r="AU353" s="66">
        <f>AK353*AA353</f>
        <v/>
      </c>
      <c r="AV353" s="66">
        <f>AL353*AB353</f>
        <v/>
      </c>
      <c r="AW353" s="66">
        <f>AM353*AC353</f>
        <v/>
      </c>
      <c r="AX353" s="66">
        <f>AN353*AD353</f>
        <v/>
      </c>
      <c r="AY353" s="66">
        <f>AO353*AE353</f>
        <v/>
      </c>
      <c r="AZ353" s="66">
        <f>INDEX(Projects[Automation Equipment],352)&amp;""</f>
        <v/>
      </c>
      <c r="BA353" s="66">
        <f>IF(OR(A353="",'Smart Search'!H13=0),"",MAX(0,BE353*BF353*MAX(0,1-BG353)))</f>
        <v/>
      </c>
      <c r="BB353" s="66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66">
        <f>IF('Smart Search'!G13=1,IFERROR(1/'Smart Search'!H13,0),0)</f>
        <v/>
      </c>
      <c r="BD353" s="66">
        <f>BB353*BC353</f>
        <v/>
      </c>
      <c r="BE353" s="66">
        <f>AP353+AQ353+AR353+AS353+AT353+AU353+AV353+AW353+AX353+AY353+BD353</f>
        <v/>
      </c>
      <c r="BF353" s="5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5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5">
        <f>IF(AND(A353&lt;&gt;"",OR('Smart Search'!$L$5="",'Smart Search'!$L$5="All",TRIM(BZ353)=TRIM('Smart Search'!$L$5)),OR(TRIM('Smart Search'!$L$6)="",TRIM('Smart Search'!$L$6)="All",ISNUMBER(SEARCH(SUBSTITUTE(SUBSTITUTE(SUBSTITUTE(TRIM('Smart Search'!$L$6),"~","~~"),"*","~*"),"?","~?"),CA353))),OR('Smart Search'!$L$7="",AND(CB353&lt;&gt;0,CB353='Smart Search'!$L$7)),OR('Smart Search'!$L$8="",'Smart Search'!$L$8="All",TRIM(CC353)=TRIM('Smart Search'!$L$8))),IF(BA353="","",BA353+ROW()*0.0000000001),"")</f>
        <v/>
      </c>
      <c r="BI353" s="5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5">
        <f>IF(A353="","",N(INDEX(Projects[Mech Inst],352)))</f>
        <v/>
      </c>
      <c r="BK353" s="5">
        <f>IF(A353="","",N(INDEX(Projects[Elec Inst],352)))</f>
        <v/>
      </c>
      <c r="BL353" s="5">
        <f>IF(A353="","",N(INDEX(Projects[Project Management],352)))</f>
        <v/>
      </c>
      <c r="BM353" s="5">
        <f>IF(A353="","",N(INDEX(Projects[Systems Eng],352)))</f>
        <v/>
      </c>
      <c r="BN353" s="5">
        <f>IF(A353="","",N(INDEX(Projects[Mechanical Eng],352)))</f>
        <v/>
      </c>
      <c r="BO353" s="5">
        <f>IF(A353="","",N(INDEX(Projects[Structural Engineering],352)))</f>
        <v/>
      </c>
      <c r="BP353" s="5">
        <f>IF(A353="","",N(INDEX(Projects[Site Sup],352)))</f>
        <v/>
      </c>
      <c r="BQ353" s="5">
        <f>IF(A353="","",N(INDEX(Projects[Controls Commissioning],352)))</f>
        <v/>
      </c>
      <c r="BR353" s="5">
        <f>IF(A353="","",N(INDEX(Projects[Systems Commissioning],352)))</f>
        <v/>
      </c>
      <c r="BS353" s="5">
        <f>IF(A353="","",N(INDEX(Projects[Service Commissioning],352)))</f>
        <v/>
      </c>
      <c r="BT353" s="5">
        <f>IF(A353="","",N(INDEX(Projects[Controls Eng],352)))</f>
        <v/>
      </c>
      <c r="BU353" s="5">
        <f>IF(A353="","",N(INDEX(Projects[Controls Purchase],352)))</f>
        <v/>
      </c>
      <c r="BV353" s="5">
        <f>IF(A353="","",N(INDEX(Projects[Software Eng],352)))</f>
        <v/>
      </c>
      <c r="BW353" s="5">
        <f>IF(A353="","",N(INDEX(Projects[Misc],352)))</f>
        <v/>
      </c>
      <c r="BX353" s="5">
        <f>IF(A353="","",SUM(BJ353:BW353))</f>
        <v/>
      </c>
      <c r="BY353" s="5">
        <f>IF(A353="","",IFERROR(IF(ISNUMBER(U353),U353,VALUE(SUBSTITUTE(SUBSTITUTE(SUBSTITUTE(UPPER(TRIM(U353)),"M",""),",","")," ",""))),0))</f>
        <v/>
      </c>
      <c r="BZ353" s="5">
        <f>INDEX(Projects[Solution Type],352)&amp;""</f>
        <v/>
      </c>
      <c r="CA353" s="5">
        <f>INDEX(Projects[Client / Region],352)&amp;""</f>
        <v/>
      </c>
      <c r="CB353" s="5">
        <f>INDEX(Projects[Year],352)</f>
        <v/>
      </c>
      <c r="CC353" s="5">
        <f>INDEX(Projects[Won?],352)&amp;""</f>
        <v/>
      </c>
      <c r="CD353" s="5">
        <f>INDEX(Projects[Value (USD M)],352)</f>
        <v/>
      </c>
    </row>
    <row r="354" ht="15" customHeight="1" s="74">
      <c r="A354" s="66">
        <f>INDEX(Projects[Project ID *],353)&amp;""</f>
        <v/>
      </c>
      <c r="B354" s="66">
        <f>INDEX(Projects[Project Name *],353)&amp;""</f>
        <v/>
      </c>
      <c r="C354" s="66">
        <f>INDEX(Projects[MS Shuttles],353)</f>
        <v/>
      </c>
      <c r="D354" s="66">
        <f>INDEX(Projects[MS Tote Locations],353)</f>
        <v/>
      </c>
      <c r="E354" s="66">
        <f>INDEX(Projects[AS Robots],353)</f>
        <v/>
      </c>
      <c r="F354" s="66">
        <f>INDEX(Projects[AS Tote Locations],353)</f>
        <v/>
      </c>
      <c r="G354" s="66">
        <f>INDEX(Projects[PS Shuttles],353)</f>
        <v/>
      </c>
      <c r="H354" s="66">
        <f>INDEX(Projects[PS Pallet Locations],353)</f>
        <v/>
      </c>
      <c r="I354" s="66">
        <f>INDEX(Projects[SRM Cranes],353)</f>
        <v/>
      </c>
      <c r="J354" s="66">
        <f>INDEX(Projects[SRM Pallet Locations],353)</f>
        <v/>
      </c>
      <c r="K354" s="66">
        <f>INDEX(Projects[Case Conv (m)],353)</f>
        <v/>
      </c>
      <c r="L354" s="66">
        <f>INDEX(Projects[Pallet Conv (m)],353)</f>
        <v/>
      </c>
      <c r="M354" s="66">
        <f>INDEX(Projects[Mech Eng (wks)],353)</f>
        <v/>
      </c>
      <c r="N354" s="66">
        <f>INDEX(Projects[Controls Eng (wks)],353)</f>
        <v/>
      </c>
      <c r="O354" s="66">
        <f>INDEX(Projects[Systems Eng (wks)],353)</f>
        <v/>
      </c>
      <c r="P354" s="66">
        <f>INDEX(Projects[Software Eng (wks)],353)</f>
        <v/>
      </c>
      <c r="Q354" s="66">
        <f>INDEX(Projects[M&amp;E Installation (wks)],353)</f>
        <v/>
      </c>
      <c r="R354" s="66">
        <f>INDEX(Projects[Commissioning (wks)],353)</f>
        <v/>
      </c>
      <c r="S354" s="66">
        <f>INDEX(Projects[Total Timeline (wks)],353)</f>
        <v/>
      </c>
      <c r="T354" s="66">
        <f>INDEX(Projects[Currency],353)&amp;""</f>
        <v/>
      </c>
      <c r="U354" s="67">
        <f>INDEX(Projects[Value (M)],353)</f>
        <v/>
      </c>
      <c r="V354" s="66">
        <f>IF('Smart Search'!B13=1,IFERROR(1/'Smart Search'!H13,0),0)</f>
        <v/>
      </c>
      <c r="W354" s="66">
        <f>IF('Smart Search'!B13=1,IFERROR(1/'Smart Search'!H13,0),0)</f>
        <v/>
      </c>
      <c r="X354" s="66">
        <f>IF('Smart Search'!C13=1,IFERROR(1/'Smart Search'!H13,0),0)</f>
        <v/>
      </c>
      <c r="Y354" s="66">
        <f>IF('Smart Search'!C13=1,IFERROR(1/'Smart Search'!H13,0),0)</f>
        <v/>
      </c>
      <c r="Z354" s="66">
        <f>IF('Smart Search'!D13=1,IFERROR(1/'Smart Search'!H13,0),0)</f>
        <v/>
      </c>
      <c r="AA354" s="66">
        <f>IF('Smart Search'!D13=1,IFERROR(1/'Smart Search'!H13,0),0)</f>
        <v/>
      </c>
      <c r="AB354" s="66">
        <f>IF('Smart Search'!E13=1,IFERROR(1/'Smart Search'!H13,0),0)</f>
        <v/>
      </c>
      <c r="AC354" s="66">
        <f>IF('Smart Search'!E13=1,IFERROR(1/'Smart Search'!H13,0),0)</f>
        <v/>
      </c>
      <c r="AD354" s="66">
        <f>IF('Smart Search'!F13=1,IFERROR(1/'Smart Search'!H13,0),0)</f>
        <v/>
      </c>
      <c r="AE354" s="66">
        <f>IF('Smart Search'!F13=1,IFERROR(1/'Smart Search'!H13,0),0)</f>
        <v/>
      </c>
      <c r="AF354" s="66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66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66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66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66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66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66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66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66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66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66">
        <f>AF354*V354</f>
        <v/>
      </c>
      <c r="AQ354" s="66">
        <f>AG354*W354</f>
        <v/>
      </c>
      <c r="AR354" s="66">
        <f>AH354*X354</f>
        <v/>
      </c>
      <c r="AS354" s="66">
        <f>AI354*Y354</f>
        <v/>
      </c>
      <c r="AT354" s="66">
        <f>AJ354*Z354</f>
        <v/>
      </c>
      <c r="AU354" s="66">
        <f>AK354*AA354</f>
        <v/>
      </c>
      <c r="AV354" s="66">
        <f>AL354*AB354</f>
        <v/>
      </c>
      <c r="AW354" s="66">
        <f>AM354*AC354</f>
        <v/>
      </c>
      <c r="AX354" s="66">
        <f>AN354*AD354</f>
        <v/>
      </c>
      <c r="AY354" s="66">
        <f>AO354*AE354</f>
        <v/>
      </c>
      <c r="AZ354" s="66">
        <f>INDEX(Projects[Automation Equipment],353)&amp;""</f>
        <v/>
      </c>
      <c r="BA354" s="66">
        <f>IF(OR(A354="",'Smart Search'!H13=0),"",MAX(0,BE354*BF354*MAX(0,1-BG354)))</f>
        <v/>
      </c>
      <c r="BB354" s="66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66">
        <f>IF('Smart Search'!G13=1,IFERROR(1/'Smart Search'!H13,0),0)</f>
        <v/>
      </c>
      <c r="BD354" s="66">
        <f>BB354*BC354</f>
        <v/>
      </c>
      <c r="BE354" s="66">
        <f>AP354+AQ354+AR354+AS354+AT354+AU354+AV354+AW354+AX354+AY354+BD354</f>
        <v/>
      </c>
      <c r="BF354" s="5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5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5">
        <f>IF(AND(A354&lt;&gt;"",OR('Smart Search'!$L$5="",'Smart Search'!$L$5="All",TRIM(BZ354)=TRIM('Smart Search'!$L$5)),OR(TRIM('Smart Search'!$L$6)="",TRIM('Smart Search'!$L$6)="All",ISNUMBER(SEARCH(SUBSTITUTE(SUBSTITUTE(SUBSTITUTE(TRIM('Smart Search'!$L$6),"~","~~"),"*","~*"),"?","~?"),CA354))),OR('Smart Search'!$L$7="",AND(CB354&lt;&gt;0,CB354='Smart Search'!$L$7)),OR('Smart Search'!$L$8="",'Smart Search'!$L$8="All",TRIM(CC354)=TRIM('Smart Search'!$L$8))),IF(BA354="","",BA354+ROW()*0.0000000001),"")</f>
        <v/>
      </c>
      <c r="BI354" s="5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5">
        <f>IF(A354="","",N(INDEX(Projects[Mech Inst],353)))</f>
        <v/>
      </c>
      <c r="BK354" s="5">
        <f>IF(A354="","",N(INDEX(Projects[Elec Inst],353)))</f>
        <v/>
      </c>
      <c r="BL354" s="5">
        <f>IF(A354="","",N(INDEX(Projects[Project Management],353)))</f>
        <v/>
      </c>
      <c r="BM354" s="5">
        <f>IF(A354="","",N(INDEX(Projects[Systems Eng],353)))</f>
        <v/>
      </c>
      <c r="BN354" s="5">
        <f>IF(A354="","",N(INDEX(Projects[Mechanical Eng],353)))</f>
        <v/>
      </c>
      <c r="BO354" s="5">
        <f>IF(A354="","",N(INDEX(Projects[Structural Engineering],353)))</f>
        <v/>
      </c>
      <c r="BP354" s="5">
        <f>IF(A354="","",N(INDEX(Projects[Site Sup],353)))</f>
        <v/>
      </c>
      <c r="BQ354" s="5">
        <f>IF(A354="","",N(INDEX(Projects[Controls Commissioning],353)))</f>
        <v/>
      </c>
      <c r="BR354" s="5">
        <f>IF(A354="","",N(INDEX(Projects[Systems Commissioning],353)))</f>
        <v/>
      </c>
      <c r="BS354" s="5">
        <f>IF(A354="","",N(INDEX(Projects[Service Commissioning],353)))</f>
        <v/>
      </c>
      <c r="BT354" s="5">
        <f>IF(A354="","",N(INDEX(Projects[Controls Eng],353)))</f>
        <v/>
      </c>
      <c r="BU354" s="5">
        <f>IF(A354="","",N(INDEX(Projects[Controls Purchase],353)))</f>
        <v/>
      </c>
      <c r="BV354" s="5">
        <f>IF(A354="","",N(INDEX(Projects[Software Eng],353)))</f>
        <v/>
      </c>
      <c r="BW354" s="5">
        <f>IF(A354="","",N(INDEX(Projects[Misc],353)))</f>
        <v/>
      </c>
      <c r="BX354" s="5">
        <f>IF(A354="","",SUM(BJ354:BW354))</f>
        <v/>
      </c>
      <c r="BY354" s="5">
        <f>IF(A354="","",IFERROR(IF(ISNUMBER(U354),U354,VALUE(SUBSTITUTE(SUBSTITUTE(SUBSTITUTE(UPPER(TRIM(U354)),"M",""),",","")," ",""))),0))</f>
        <v/>
      </c>
      <c r="BZ354" s="5">
        <f>INDEX(Projects[Solution Type],353)&amp;""</f>
        <v/>
      </c>
      <c r="CA354" s="5">
        <f>INDEX(Projects[Client / Region],353)&amp;""</f>
        <v/>
      </c>
      <c r="CB354" s="5">
        <f>INDEX(Projects[Year],353)</f>
        <v/>
      </c>
      <c r="CC354" s="5">
        <f>INDEX(Projects[Won?],353)&amp;""</f>
        <v/>
      </c>
      <c r="CD354" s="5">
        <f>INDEX(Projects[Value (USD M)],353)</f>
        <v/>
      </c>
    </row>
    <row r="355" ht="15" customHeight="1" s="74">
      <c r="A355" s="66">
        <f>INDEX(Projects[Project ID *],354)&amp;""</f>
        <v/>
      </c>
      <c r="B355" s="66">
        <f>INDEX(Projects[Project Name *],354)&amp;""</f>
        <v/>
      </c>
      <c r="C355" s="66">
        <f>INDEX(Projects[MS Shuttles],354)</f>
        <v/>
      </c>
      <c r="D355" s="66">
        <f>INDEX(Projects[MS Tote Locations],354)</f>
        <v/>
      </c>
      <c r="E355" s="66">
        <f>INDEX(Projects[AS Robots],354)</f>
        <v/>
      </c>
      <c r="F355" s="66">
        <f>INDEX(Projects[AS Tote Locations],354)</f>
        <v/>
      </c>
      <c r="G355" s="66">
        <f>INDEX(Projects[PS Shuttles],354)</f>
        <v/>
      </c>
      <c r="H355" s="66">
        <f>INDEX(Projects[PS Pallet Locations],354)</f>
        <v/>
      </c>
      <c r="I355" s="66">
        <f>INDEX(Projects[SRM Cranes],354)</f>
        <v/>
      </c>
      <c r="J355" s="66">
        <f>INDEX(Projects[SRM Pallet Locations],354)</f>
        <v/>
      </c>
      <c r="K355" s="66">
        <f>INDEX(Projects[Case Conv (m)],354)</f>
        <v/>
      </c>
      <c r="L355" s="66">
        <f>INDEX(Projects[Pallet Conv (m)],354)</f>
        <v/>
      </c>
      <c r="M355" s="66">
        <f>INDEX(Projects[Mech Eng (wks)],354)</f>
        <v/>
      </c>
      <c r="N355" s="66">
        <f>INDEX(Projects[Controls Eng (wks)],354)</f>
        <v/>
      </c>
      <c r="O355" s="66">
        <f>INDEX(Projects[Systems Eng (wks)],354)</f>
        <v/>
      </c>
      <c r="P355" s="66">
        <f>INDEX(Projects[Software Eng (wks)],354)</f>
        <v/>
      </c>
      <c r="Q355" s="66">
        <f>INDEX(Projects[M&amp;E Installation (wks)],354)</f>
        <v/>
      </c>
      <c r="R355" s="66">
        <f>INDEX(Projects[Commissioning (wks)],354)</f>
        <v/>
      </c>
      <c r="S355" s="66">
        <f>INDEX(Projects[Total Timeline (wks)],354)</f>
        <v/>
      </c>
      <c r="T355" s="66">
        <f>INDEX(Projects[Currency],354)&amp;""</f>
        <v/>
      </c>
      <c r="U355" s="67">
        <f>INDEX(Projects[Value (M)],354)</f>
        <v/>
      </c>
      <c r="V355" s="66">
        <f>IF('Smart Search'!B13=1,IFERROR(1/'Smart Search'!H13,0),0)</f>
        <v/>
      </c>
      <c r="W355" s="66">
        <f>IF('Smart Search'!B13=1,IFERROR(1/'Smart Search'!H13,0),0)</f>
        <v/>
      </c>
      <c r="X355" s="66">
        <f>IF('Smart Search'!C13=1,IFERROR(1/'Smart Search'!H13,0),0)</f>
        <v/>
      </c>
      <c r="Y355" s="66">
        <f>IF('Smart Search'!C13=1,IFERROR(1/'Smart Search'!H13,0),0)</f>
        <v/>
      </c>
      <c r="Z355" s="66">
        <f>IF('Smart Search'!D13=1,IFERROR(1/'Smart Search'!H13,0),0)</f>
        <v/>
      </c>
      <c r="AA355" s="66">
        <f>IF('Smart Search'!D13=1,IFERROR(1/'Smart Search'!H13,0),0)</f>
        <v/>
      </c>
      <c r="AB355" s="66">
        <f>IF('Smart Search'!E13=1,IFERROR(1/'Smart Search'!H13,0),0)</f>
        <v/>
      </c>
      <c r="AC355" s="66">
        <f>IF('Smart Search'!E13=1,IFERROR(1/'Smart Search'!H13,0),0)</f>
        <v/>
      </c>
      <c r="AD355" s="66">
        <f>IF('Smart Search'!F13=1,IFERROR(1/'Smart Search'!H13,0),0)</f>
        <v/>
      </c>
      <c r="AE355" s="66">
        <f>IF('Smart Search'!F13=1,IFERROR(1/'Smart Search'!H13,0),0)</f>
        <v/>
      </c>
      <c r="AF355" s="66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66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66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66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66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66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66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66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66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66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66">
        <f>AF355*V355</f>
        <v/>
      </c>
      <c r="AQ355" s="66">
        <f>AG355*W355</f>
        <v/>
      </c>
      <c r="AR355" s="66">
        <f>AH355*X355</f>
        <v/>
      </c>
      <c r="AS355" s="66">
        <f>AI355*Y355</f>
        <v/>
      </c>
      <c r="AT355" s="66">
        <f>AJ355*Z355</f>
        <v/>
      </c>
      <c r="AU355" s="66">
        <f>AK355*AA355</f>
        <v/>
      </c>
      <c r="AV355" s="66">
        <f>AL355*AB355</f>
        <v/>
      </c>
      <c r="AW355" s="66">
        <f>AM355*AC355</f>
        <v/>
      </c>
      <c r="AX355" s="66">
        <f>AN355*AD355</f>
        <v/>
      </c>
      <c r="AY355" s="66">
        <f>AO355*AE355</f>
        <v/>
      </c>
      <c r="AZ355" s="66">
        <f>INDEX(Projects[Automation Equipment],354)&amp;""</f>
        <v/>
      </c>
      <c r="BA355" s="66">
        <f>IF(OR(A355="",'Smart Search'!H13=0),"",MAX(0,BE355*BF355*MAX(0,1-BG355)))</f>
        <v/>
      </c>
      <c r="BB355" s="66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66">
        <f>IF('Smart Search'!G13=1,IFERROR(1/'Smart Search'!H13,0),0)</f>
        <v/>
      </c>
      <c r="BD355" s="66">
        <f>BB355*BC355</f>
        <v/>
      </c>
      <c r="BE355" s="66">
        <f>AP355+AQ355+AR355+AS355+AT355+AU355+AV355+AW355+AX355+AY355+BD355</f>
        <v/>
      </c>
      <c r="BF355" s="5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5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5">
        <f>IF(AND(A355&lt;&gt;"",OR('Smart Search'!$L$5="",'Smart Search'!$L$5="All",TRIM(BZ355)=TRIM('Smart Search'!$L$5)),OR(TRIM('Smart Search'!$L$6)="",TRIM('Smart Search'!$L$6)="All",ISNUMBER(SEARCH(SUBSTITUTE(SUBSTITUTE(SUBSTITUTE(TRIM('Smart Search'!$L$6),"~","~~"),"*","~*"),"?","~?"),CA355))),OR('Smart Search'!$L$7="",AND(CB355&lt;&gt;0,CB355='Smart Search'!$L$7)),OR('Smart Search'!$L$8="",'Smart Search'!$L$8="All",TRIM(CC355)=TRIM('Smart Search'!$L$8))),IF(BA355="","",BA355+ROW()*0.0000000001),"")</f>
        <v/>
      </c>
      <c r="BI355" s="5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5">
        <f>IF(A355="","",N(INDEX(Projects[Mech Inst],354)))</f>
        <v/>
      </c>
      <c r="BK355" s="5">
        <f>IF(A355="","",N(INDEX(Projects[Elec Inst],354)))</f>
        <v/>
      </c>
      <c r="BL355" s="5">
        <f>IF(A355="","",N(INDEX(Projects[Project Management],354)))</f>
        <v/>
      </c>
      <c r="BM355" s="5">
        <f>IF(A355="","",N(INDEX(Projects[Systems Eng],354)))</f>
        <v/>
      </c>
      <c r="BN355" s="5">
        <f>IF(A355="","",N(INDEX(Projects[Mechanical Eng],354)))</f>
        <v/>
      </c>
      <c r="BO355" s="5">
        <f>IF(A355="","",N(INDEX(Projects[Structural Engineering],354)))</f>
        <v/>
      </c>
      <c r="BP355" s="5">
        <f>IF(A355="","",N(INDEX(Projects[Site Sup],354)))</f>
        <v/>
      </c>
      <c r="BQ355" s="5">
        <f>IF(A355="","",N(INDEX(Projects[Controls Commissioning],354)))</f>
        <v/>
      </c>
      <c r="BR355" s="5">
        <f>IF(A355="","",N(INDEX(Projects[Systems Commissioning],354)))</f>
        <v/>
      </c>
      <c r="BS355" s="5">
        <f>IF(A355="","",N(INDEX(Projects[Service Commissioning],354)))</f>
        <v/>
      </c>
      <c r="BT355" s="5">
        <f>IF(A355="","",N(INDEX(Projects[Controls Eng],354)))</f>
        <v/>
      </c>
      <c r="BU355" s="5">
        <f>IF(A355="","",N(INDEX(Projects[Controls Purchase],354)))</f>
        <v/>
      </c>
      <c r="BV355" s="5">
        <f>IF(A355="","",N(INDEX(Projects[Software Eng],354)))</f>
        <v/>
      </c>
      <c r="BW355" s="5">
        <f>IF(A355="","",N(INDEX(Projects[Misc],354)))</f>
        <v/>
      </c>
      <c r="BX355" s="5">
        <f>IF(A355="","",SUM(BJ355:BW355))</f>
        <v/>
      </c>
      <c r="BY355" s="5">
        <f>IF(A355="","",IFERROR(IF(ISNUMBER(U355),U355,VALUE(SUBSTITUTE(SUBSTITUTE(SUBSTITUTE(UPPER(TRIM(U355)),"M",""),",","")," ",""))),0))</f>
        <v/>
      </c>
      <c r="BZ355" s="5">
        <f>INDEX(Projects[Solution Type],354)&amp;""</f>
        <v/>
      </c>
      <c r="CA355" s="5">
        <f>INDEX(Projects[Client / Region],354)&amp;""</f>
        <v/>
      </c>
      <c r="CB355" s="5">
        <f>INDEX(Projects[Year],354)</f>
        <v/>
      </c>
      <c r="CC355" s="5">
        <f>INDEX(Projects[Won?],354)&amp;""</f>
        <v/>
      </c>
      <c r="CD355" s="5">
        <f>INDEX(Projects[Value (USD M)],354)</f>
        <v/>
      </c>
    </row>
    <row r="356" ht="15" customHeight="1" s="74">
      <c r="A356" s="66">
        <f>INDEX(Projects[Project ID *],355)&amp;""</f>
        <v/>
      </c>
      <c r="B356" s="66">
        <f>INDEX(Projects[Project Name *],355)&amp;""</f>
        <v/>
      </c>
      <c r="C356" s="66">
        <f>INDEX(Projects[MS Shuttles],355)</f>
        <v/>
      </c>
      <c r="D356" s="66">
        <f>INDEX(Projects[MS Tote Locations],355)</f>
        <v/>
      </c>
      <c r="E356" s="66">
        <f>INDEX(Projects[AS Robots],355)</f>
        <v/>
      </c>
      <c r="F356" s="66">
        <f>INDEX(Projects[AS Tote Locations],355)</f>
        <v/>
      </c>
      <c r="G356" s="66">
        <f>INDEX(Projects[PS Shuttles],355)</f>
        <v/>
      </c>
      <c r="H356" s="66">
        <f>INDEX(Projects[PS Pallet Locations],355)</f>
        <v/>
      </c>
      <c r="I356" s="66">
        <f>INDEX(Projects[SRM Cranes],355)</f>
        <v/>
      </c>
      <c r="J356" s="66">
        <f>INDEX(Projects[SRM Pallet Locations],355)</f>
        <v/>
      </c>
      <c r="K356" s="66">
        <f>INDEX(Projects[Case Conv (m)],355)</f>
        <v/>
      </c>
      <c r="L356" s="66">
        <f>INDEX(Projects[Pallet Conv (m)],355)</f>
        <v/>
      </c>
      <c r="M356" s="66">
        <f>INDEX(Projects[Mech Eng (wks)],355)</f>
        <v/>
      </c>
      <c r="N356" s="66">
        <f>INDEX(Projects[Controls Eng (wks)],355)</f>
        <v/>
      </c>
      <c r="O356" s="66">
        <f>INDEX(Projects[Systems Eng (wks)],355)</f>
        <v/>
      </c>
      <c r="P356" s="66">
        <f>INDEX(Projects[Software Eng (wks)],355)</f>
        <v/>
      </c>
      <c r="Q356" s="66">
        <f>INDEX(Projects[M&amp;E Installation (wks)],355)</f>
        <v/>
      </c>
      <c r="R356" s="66">
        <f>INDEX(Projects[Commissioning (wks)],355)</f>
        <v/>
      </c>
      <c r="S356" s="66">
        <f>INDEX(Projects[Total Timeline (wks)],355)</f>
        <v/>
      </c>
      <c r="T356" s="66">
        <f>INDEX(Projects[Currency],355)&amp;""</f>
        <v/>
      </c>
      <c r="U356" s="67">
        <f>INDEX(Projects[Value (M)],355)</f>
        <v/>
      </c>
      <c r="V356" s="66">
        <f>IF('Smart Search'!B13=1,IFERROR(1/'Smart Search'!H13,0),0)</f>
        <v/>
      </c>
      <c r="W356" s="66">
        <f>IF('Smart Search'!B13=1,IFERROR(1/'Smart Search'!H13,0),0)</f>
        <v/>
      </c>
      <c r="X356" s="66">
        <f>IF('Smart Search'!C13=1,IFERROR(1/'Smart Search'!H13,0),0)</f>
        <v/>
      </c>
      <c r="Y356" s="66">
        <f>IF('Smart Search'!C13=1,IFERROR(1/'Smart Search'!H13,0),0)</f>
        <v/>
      </c>
      <c r="Z356" s="66">
        <f>IF('Smart Search'!D13=1,IFERROR(1/'Smart Search'!H13,0),0)</f>
        <v/>
      </c>
      <c r="AA356" s="66">
        <f>IF('Smart Search'!D13=1,IFERROR(1/'Smart Search'!H13,0),0)</f>
        <v/>
      </c>
      <c r="AB356" s="66">
        <f>IF('Smart Search'!E13=1,IFERROR(1/'Smart Search'!H13,0),0)</f>
        <v/>
      </c>
      <c r="AC356" s="66">
        <f>IF('Smart Search'!E13=1,IFERROR(1/'Smart Search'!H13,0),0)</f>
        <v/>
      </c>
      <c r="AD356" s="66">
        <f>IF('Smart Search'!F13=1,IFERROR(1/'Smart Search'!H13,0),0)</f>
        <v/>
      </c>
      <c r="AE356" s="66">
        <f>IF('Smart Search'!F13=1,IFERROR(1/'Smart Search'!H13,0),0)</f>
        <v/>
      </c>
      <c r="AF356" s="66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66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66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66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66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66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66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66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66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66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66">
        <f>AF356*V356</f>
        <v/>
      </c>
      <c r="AQ356" s="66">
        <f>AG356*W356</f>
        <v/>
      </c>
      <c r="AR356" s="66">
        <f>AH356*X356</f>
        <v/>
      </c>
      <c r="AS356" s="66">
        <f>AI356*Y356</f>
        <v/>
      </c>
      <c r="AT356" s="66">
        <f>AJ356*Z356</f>
        <v/>
      </c>
      <c r="AU356" s="66">
        <f>AK356*AA356</f>
        <v/>
      </c>
      <c r="AV356" s="66">
        <f>AL356*AB356</f>
        <v/>
      </c>
      <c r="AW356" s="66">
        <f>AM356*AC356</f>
        <v/>
      </c>
      <c r="AX356" s="66">
        <f>AN356*AD356</f>
        <v/>
      </c>
      <c r="AY356" s="66">
        <f>AO356*AE356</f>
        <v/>
      </c>
      <c r="AZ356" s="66">
        <f>INDEX(Projects[Automation Equipment],355)&amp;""</f>
        <v/>
      </c>
      <c r="BA356" s="66">
        <f>IF(OR(A356="",'Smart Search'!H13=0),"",MAX(0,BE356*BF356*MAX(0,1-BG356)))</f>
        <v/>
      </c>
      <c r="BB356" s="66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66">
        <f>IF('Smart Search'!G13=1,IFERROR(1/'Smart Search'!H13,0),0)</f>
        <v/>
      </c>
      <c r="BD356" s="66">
        <f>BB356*BC356</f>
        <v/>
      </c>
      <c r="BE356" s="66">
        <f>AP356+AQ356+AR356+AS356+AT356+AU356+AV356+AW356+AX356+AY356+BD356</f>
        <v/>
      </c>
      <c r="BF356" s="5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5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5">
        <f>IF(AND(A356&lt;&gt;"",OR('Smart Search'!$L$5="",'Smart Search'!$L$5="All",TRIM(BZ356)=TRIM('Smart Search'!$L$5)),OR(TRIM('Smart Search'!$L$6)="",TRIM('Smart Search'!$L$6)="All",ISNUMBER(SEARCH(SUBSTITUTE(SUBSTITUTE(SUBSTITUTE(TRIM('Smart Search'!$L$6),"~","~~"),"*","~*"),"?","~?"),CA356))),OR('Smart Search'!$L$7="",AND(CB356&lt;&gt;0,CB356='Smart Search'!$L$7)),OR('Smart Search'!$L$8="",'Smart Search'!$L$8="All",TRIM(CC356)=TRIM('Smart Search'!$L$8))),IF(BA356="","",BA356+ROW()*0.0000000001),"")</f>
        <v/>
      </c>
      <c r="BI356" s="5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5">
        <f>IF(A356="","",N(INDEX(Projects[Mech Inst],355)))</f>
        <v/>
      </c>
      <c r="BK356" s="5">
        <f>IF(A356="","",N(INDEX(Projects[Elec Inst],355)))</f>
        <v/>
      </c>
      <c r="BL356" s="5">
        <f>IF(A356="","",N(INDEX(Projects[Project Management],355)))</f>
        <v/>
      </c>
      <c r="BM356" s="5">
        <f>IF(A356="","",N(INDEX(Projects[Systems Eng],355)))</f>
        <v/>
      </c>
      <c r="BN356" s="5">
        <f>IF(A356="","",N(INDEX(Projects[Mechanical Eng],355)))</f>
        <v/>
      </c>
      <c r="BO356" s="5">
        <f>IF(A356="","",N(INDEX(Projects[Structural Engineering],355)))</f>
        <v/>
      </c>
      <c r="BP356" s="5">
        <f>IF(A356="","",N(INDEX(Projects[Site Sup],355)))</f>
        <v/>
      </c>
      <c r="BQ356" s="5">
        <f>IF(A356="","",N(INDEX(Projects[Controls Commissioning],355)))</f>
        <v/>
      </c>
      <c r="BR356" s="5">
        <f>IF(A356="","",N(INDEX(Projects[Systems Commissioning],355)))</f>
        <v/>
      </c>
      <c r="BS356" s="5">
        <f>IF(A356="","",N(INDEX(Projects[Service Commissioning],355)))</f>
        <v/>
      </c>
      <c r="BT356" s="5">
        <f>IF(A356="","",N(INDEX(Projects[Controls Eng],355)))</f>
        <v/>
      </c>
      <c r="BU356" s="5">
        <f>IF(A356="","",N(INDEX(Projects[Controls Purchase],355)))</f>
        <v/>
      </c>
      <c r="BV356" s="5">
        <f>IF(A356="","",N(INDEX(Projects[Software Eng],355)))</f>
        <v/>
      </c>
      <c r="BW356" s="5">
        <f>IF(A356="","",N(INDEX(Projects[Misc],355)))</f>
        <v/>
      </c>
      <c r="BX356" s="5">
        <f>IF(A356="","",SUM(BJ356:BW356))</f>
        <v/>
      </c>
      <c r="BY356" s="5">
        <f>IF(A356="","",IFERROR(IF(ISNUMBER(U356),U356,VALUE(SUBSTITUTE(SUBSTITUTE(SUBSTITUTE(UPPER(TRIM(U356)),"M",""),",","")," ",""))),0))</f>
        <v/>
      </c>
      <c r="BZ356" s="5">
        <f>INDEX(Projects[Solution Type],355)&amp;""</f>
        <v/>
      </c>
      <c r="CA356" s="5">
        <f>INDEX(Projects[Client / Region],355)&amp;""</f>
        <v/>
      </c>
      <c r="CB356" s="5">
        <f>INDEX(Projects[Year],355)</f>
        <v/>
      </c>
      <c r="CC356" s="5">
        <f>INDEX(Projects[Won?],355)&amp;""</f>
        <v/>
      </c>
      <c r="CD356" s="5">
        <f>INDEX(Projects[Value (USD M)],355)</f>
        <v/>
      </c>
    </row>
    <row r="357" ht="15" customHeight="1" s="74">
      <c r="A357" s="66">
        <f>INDEX(Projects[Project ID *],356)&amp;""</f>
        <v/>
      </c>
      <c r="B357" s="66">
        <f>INDEX(Projects[Project Name *],356)&amp;""</f>
        <v/>
      </c>
      <c r="C357" s="66">
        <f>INDEX(Projects[MS Shuttles],356)</f>
        <v/>
      </c>
      <c r="D357" s="66">
        <f>INDEX(Projects[MS Tote Locations],356)</f>
        <v/>
      </c>
      <c r="E357" s="66">
        <f>INDEX(Projects[AS Robots],356)</f>
        <v/>
      </c>
      <c r="F357" s="66">
        <f>INDEX(Projects[AS Tote Locations],356)</f>
        <v/>
      </c>
      <c r="G357" s="66">
        <f>INDEX(Projects[PS Shuttles],356)</f>
        <v/>
      </c>
      <c r="H357" s="66">
        <f>INDEX(Projects[PS Pallet Locations],356)</f>
        <v/>
      </c>
      <c r="I357" s="66">
        <f>INDEX(Projects[SRM Cranes],356)</f>
        <v/>
      </c>
      <c r="J357" s="66">
        <f>INDEX(Projects[SRM Pallet Locations],356)</f>
        <v/>
      </c>
      <c r="K357" s="66">
        <f>INDEX(Projects[Case Conv (m)],356)</f>
        <v/>
      </c>
      <c r="L357" s="66">
        <f>INDEX(Projects[Pallet Conv (m)],356)</f>
        <v/>
      </c>
      <c r="M357" s="66">
        <f>INDEX(Projects[Mech Eng (wks)],356)</f>
        <v/>
      </c>
      <c r="N357" s="66">
        <f>INDEX(Projects[Controls Eng (wks)],356)</f>
        <v/>
      </c>
      <c r="O357" s="66">
        <f>INDEX(Projects[Systems Eng (wks)],356)</f>
        <v/>
      </c>
      <c r="P357" s="66">
        <f>INDEX(Projects[Software Eng (wks)],356)</f>
        <v/>
      </c>
      <c r="Q357" s="66">
        <f>INDEX(Projects[M&amp;E Installation (wks)],356)</f>
        <v/>
      </c>
      <c r="R357" s="66">
        <f>INDEX(Projects[Commissioning (wks)],356)</f>
        <v/>
      </c>
      <c r="S357" s="66">
        <f>INDEX(Projects[Total Timeline (wks)],356)</f>
        <v/>
      </c>
      <c r="T357" s="66">
        <f>INDEX(Projects[Currency],356)&amp;""</f>
        <v/>
      </c>
      <c r="U357" s="67">
        <f>INDEX(Projects[Value (M)],356)</f>
        <v/>
      </c>
      <c r="V357" s="66">
        <f>IF('Smart Search'!B13=1,IFERROR(1/'Smart Search'!H13,0),0)</f>
        <v/>
      </c>
      <c r="W357" s="66">
        <f>IF('Smart Search'!B13=1,IFERROR(1/'Smart Search'!H13,0),0)</f>
        <v/>
      </c>
      <c r="X357" s="66">
        <f>IF('Smart Search'!C13=1,IFERROR(1/'Smart Search'!H13,0),0)</f>
        <v/>
      </c>
      <c r="Y357" s="66">
        <f>IF('Smart Search'!C13=1,IFERROR(1/'Smart Search'!H13,0),0)</f>
        <v/>
      </c>
      <c r="Z357" s="66">
        <f>IF('Smart Search'!D13=1,IFERROR(1/'Smart Search'!H13,0),0)</f>
        <v/>
      </c>
      <c r="AA357" s="66">
        <f>IF('Smart Search'!D13=1,IFERROR(1/'Smart Search'!H13,0),0)</f>
        <v/>
      </c>
      <c r="AB357" s="66">
        <f>IF('Smart Search'!E13=1,IFERROR(1/'Smart Search'!H13,0),0)</f>
        <v/>
      </c>
      <c r="AC357" s="66">
        <f>IF('Smart Search'!E13=1,IFERROR(1/'Smart Search'!H13,0),0)</f>
        <v/>
      </c>
      <c r="AD357" s="66">
        <f>IF('Smart Search'!F13=1,IFERROR(1/'Smart Search'!H13,0),0)</f>
        <v/>
      </c>
      <c r="AE357" s="66">
        <f>IF('Smart Search'!F13=1,IFERROR(1/'Smart Search'!H13,0),0)</f>
        <v/>
      </c>
      <c r="AF357" s="66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66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66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66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66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66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66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66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66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66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66">
        <f>AF357*V357</f>
        <v/>
      </c>
      <c r="AQ357" s="66">
        <f>AG357*W357</f>
        <v/>
      </c>
      <c r="AR357" s="66">
        <f>AH357*X357</f>
        <v/>
      </c>
      <c r="AS357" s="66">
        <f>AI357*Y357</f>
        <v/>
      </c>
      <c r="AT357" s="66">
        <f>AJ357*Z357</f>
        <v/>
      </c>
      <c r="AU357" s="66">
        <f>AK357*AA357</f>
        <v/>
      </c>
      <c r="AV357" s="66">
        <f>AL357*AB357</f>
        <v/>
      </c>
      <c r="AW357" s="66">
        <f>AM357*AC357</f>
        <v/>
      </c>
      <c r="AX357" s="66">
        <f>AN357*AD357</f>
        <v/>
      </c>
      <c r="AY357" s="66">
        <f>AO357*AE357</f>
        <v/>
      </c>
      <c r="AZ357" s="66">
        <f>INDEX(Projects[Automation Equipment],356)&amp;""</f>
        <v/>
      </c>
      <c r="BA357" s="66">
        <f>IF(OR(A357="",'Smart Search'!H13=0),"",MAX(0,BE357*BF357*MAX(0,1-BG357)))</f>
        <v/>
      </c>
      <c r="BB357" s="66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66">
        <f>IF('Smart Search'!G13=1,IFERROR(1/'Smart Search'!H13,0),0)</f>
        <v/>
      </c>
      <c r="BD357" s="66">
        <f>BB357*BC357</f>
        <v/>
      </c>
      <c r="BE357" s="66">
        <f>AP357+AQ357+AR357+AS357+AT357+AU357+AV357+AW357+AX357+AY357+BD357</f>
        <v/>
      </c>
      <c r="BF357" s="5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5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5">
        <f>IF(AND(A357&lt;&gt;"",OR('Smart Search'!$L$5="",'Smart Search'!$L$5="All",TRIM(BZ357)=TRIM('Smart Search'!$L$5)),OR(TRIM('Smart Search'!$L$6)="",TRIM('Smart Search'!$L$6)="All",ISNUMBER(SEARCH(SUBSTITUTE(SUBSTITUTE(SUBSTITUTE(TRIM('Smart Search'!$L$6),"~","~~"),"*","~*"),"?","~?"),CA357))),OR('Smart Search'!$L$7="",AND(CB357&lt;&gt;0,CB357='Smart Search'!$L$7)),OR('Smart Search'!$L$8="",'Smart Search'!$L$8="All",TRIM(CC357)=TRIM('Smart Search'!$L$8))),IF(BA357="","",BA357+ROW()*0.0000000001),"")</f>
        <v/>
      </c>
      <c r="BI357" s="5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5">
        <f>IF(A357="","",N(INDEX(Projects[Mech Inst],356)))</f>
        <v/>
      </c>
      <c r="BK357" s="5">
        <f>IF(A357="","",N(INDEX(Projects[Elec Inst],356)))</f>
        <v/>
      </c>
      <c r="BL357" s="5">
        <f>IF(A357="","",N(INDEX(Projects[Project Management],356)))</f>
        <v/>
      </c>
      <c r="BM357" s="5">
        <f>IF(A357="","",N(INDEX(Projects[Systems Eng],356)))</f>
        <v/>
      </c>
      <c r="BN357" s="5">
        <f>IF(A357="","",N(INDEX(Projects[Mechanical Eng],356)))</f>
        <v/>
      </c>
      <c r="BO357" s="5">
        <f>IF(A357="","",N(INDEX(Projects[Structural Engineering],356)))</f>
        <v/>
      </c>
      <c r="BP357" s="5">
        <f>IF(A357="","",N(INDEX(Projects[Site Sup],356)))</f>
        <v/>
      </c>
      <c r="BQ357" s="5">
        <f>IF(A357="","",N(INDEX(Projects[Controls Commissioning],356)))</f>
        <v/>
      </c>
      <c r="BR357" s="5">
        <f>IF(A357="","",N(INDEX(Projects[Systems Commissioning],356)))</f>
        <v/>
      </c>
      <c r="BS357" s="5">
        <f>IF(A357="","",N(INDEX(Projects[Service Commissioning],356)))</f>
        <v/>
      </c>
      <c r="BT357" s="5">
        <f>IF(A357="","",N(INDEX(Projects[Controls Eng],356)))</f>
        <v/>
      </c>
      <c r="BU357" s="5">
        <f>IF(A357="","",N(INDEX(Projects[Controls Purchase],356)))</f>
        <v/>
      </c>
      <c r="BV357" s="5">
        <f>IF(A357="","",N(INDEX(Projects[Software Eng],356)))</f>
        <v/>
      </c>
      <c r="BW357" s="5">
        <f>IF(A357="","",N(INDEX(Projects[Misc],356)))</f>
        <v/>
      </c>
      <c r="BX357" s="5">
        <f>IF(A357="","",SUM(BJ357:BW357))</f>
        <v/>
      </c>
      <c r="BY357" s="5">
        <f>IF(A357="","",IFERROR(IF(ISNUMBER(U357),U357,VALUE(SUBSTITUTE(SUBSTITUTE(SUBSTITUTE(UPPER(TRIM(U357)),"M",""),",","")," ",""))),0))</f>
        <v/>
      </c>
      <c r="BZ357" s="5">
        <f>INDEX(Projects[Solution Type],356)&amp;""</f>
        <v/>
      </c>
      <c r="CA357" s="5">
        <f>INDEX(Projects[Client / Region],356)&amp;""</f>
        <v/>
      </c>
      <c r="CB357" s="5">
        <f>INDEX(Projects[Year],356)</f>
        <v/>
      </c>
      <c r="CC357" s="5">
        <f>INDEX(Projects[Won?],356)&amp;""</f>
        <v/>
      </c>
      <c r="CD357" s="5">
        <f>INDEX(Projects[Value (USD M)],356)</f>
        <v/>
      </c>
    </row>
    <row r="358" ht="15" customHeight="1" s="74">
      <c r="A358" s="66">
        <f>INDEX(Projects[Project ID *],357)&amp;""</f>
        <v/>
      </c>
      <c r="B358" s="66">
        <f>INDEX(Projects[Project Name *],357)&amp;""</f>
        <v/>
      </c>
      <c r="C358" s="66">
        <f>INDEX(Projects[MS Shuttles],357)</f>
        <v/>
      </c>
      <c r="D358" s="66">
        <f>INDEX(Projects[MS Tote Locations],357)</f>
        <v/>
      </c>
      <c r="E358" s="66">
        <f>INDEX(Projects[AS Robots],357)</f>
        <v/>
      </c>
      <c r="F358" s="66">
        <f>INDEX(Projects[AS Tote Locations],357)</f>
        <v/>
      </c>
      <c r="G358" s="66">
        <f>INDEX(Projects[PS Shuttles],357)</f>
        <v/>
      </c>
      <c r="H358" s="66">
        <f>INDEX(Projects[PS Pallet Locations],357)</f>
        <v/>
      </c>
      <c r="I358" s="66">
        <f>INDEX(Projects[SRM Cranes],357)</f>
        <v/>
      </c>
      <c r="J358" s="66">
        <f>INDEX(Projects[SRM Pallet Locations],357)</f>
        <v/>
      </c>
      <c r="K358" s="66">
        <f>INDEX(Projects[Case Conv (m)],357)</f>
        <v/>
      </c>
      <c r="L358" s="66">
        <f>INDEX(Projects[Pallet Conv (m)],357)</f>
        <v/>
      </c>
      <c r="M358" s="66">
        <f>INDEX(Projects[Mech Eng (wks)],357)</f>
        <v/>
      </c>
      <c r="N358" s="66">
        <f>INDEX(Projects[Controls Eng (wks)],357)</f>
        <v/>
      </c>
      <c r="O358" s="66">
        <f>INDEX(Projects[Systems Eng (wks)],357)</f>
        <v/>
      </c>
      <c r="P358" s="66">
        <f>INDEX(Projects[Software Eng (wks)],357)</f>
        <v/>
      </c>
      <c r="Q358" s="66">
        <f>INDEX(Projects[M&amp;E Installation (wks)],357)</f>
        <v/>
      </c>
      <c r="R358" s="66">
        <f>INDEX(Projects[Commissioning (wks)],357)</f>
        <v/>
      </c>
      <c r="S358" s="66">
        <f>INDEX(Projects[Total Timeline (wks)],357)</f>
        <v/>
      </c>
      <c r="T358" s="66">
        <f>INDEX(Projects[Currency],357)&amp;""</f>
        <v/>
      </c>
      <c r="U358" s="67">
        <f>INDEX(Projects[Value (M)],357)</f>
        <v/>
      </c>
      <c r="V358" s="66">
        <f>IF('Smart Search'!B13=1,IFERROR(1/'Smart Search'!H13,0),0)</f>
        <v/>
      </c>
      <c r="W358" s="66">
        <f>IF('Smart Search'!B13=1,IFERROR(1/'Smart Search'!H13,0),0)</f>
        <v/>
      </c>
      <c r="X358" s="66">
        <f>IF('Smart Search'!C13=1,IFERROR(1/'Smart Search'!H13,0),0)</f>
        <v/>
      </c>
      <c r="Y358" s="66">
        <f>IF('Smart Search'!C13=1,IFERROR(1/'Smart Search'!H13,0),0)</f>
        <v/>
      </c>
      <c r="Z358" s="66">
        <f>IF('Smart Search'!D13=1,IFERROR(1/'Smart Search'!H13,0),0)</f>
        <v/>
      </c>
      <c r="AA358" s="66">
        <f>IF('Smart Search'!D13=1,IFERROR(1/'Smart Search'!H13,0),0)</f>
        <v/>
      </c>
      <c r="AB358" s="66">
        <f>IF('Smart Search'!E13=1,IFERROR(1/'Smart Search'!H13,0),0)</f>
        <v/>
      </c>
      <c r="AC358" s="66">
        <f>IF('Smart Search'!E13=1,IFERROR(1/'Smart Search'!H13,0),0)</f>
        <v/>
      </c>
      <c r="AD358" s="66">
        <f>IF('Smart Search'!F13=1,IFERROR(1/'Smart Search'!H13,0),0)</f>
        <v/>
      </c>
      <c r="AE358" s="66">
        <f>IF('Smart Search'!F13=1,IFERROR(1/'Smart Search'!H13,0),0)</f>
        <v/>
      </c>
      <c r="AF358" s="66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66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66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66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66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66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66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66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66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66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66">
        <f>AF358*V358</f>
        <v/>
      </c>
      <c r="AQ358" s="66">
        <f>AG358*W358</f>
        <v/>
      </c>
      <c r="AR358" s="66">
        <f>AH358*X358</f>
        <v/>
      </c>
      <c r="AS358" s="66">
        <f>AI358*Y358</f>
        <v/>
      </c>
      <c r="AT358" s="66">
        <f>AJ358*Z358</f>
        <v/>
      </c>
      <c r="AU358" s="66">
        <f>AK358*AA358</f>
        <v/>
      </c>
      <c r="AV358" s="66">
        <f>AL358*AB358</f>
        <v/>
      </c>
      <c r="AW358" s="66">
        <f>AM358*AC358</f>
        <v/>
      </c>
      <c r="AX358" s="66">
        <f>AN358*AD358</f>
        <v/>
      </c>
      <c r="AY358" s="66">
        <f>AO358*AE358</f>
        <v/>
      </c>
      <c r="AZ358" s="66">
        <f>INDEX(Projects[Automation Equipment],357)&amp;""</f>
        <v/>
      </c>
      <c r="BA358" s="66">
        <f>IF(OR(A358="",'Smart Search'!H13=0),"",MAX(0,BE358*BF358*MAX(0,1-BG358)))</f>
        <v/>
      </c>
      <c r="BB358" s="66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66">
        <f>IF('Smart Search'!G13=1,IFERROR(1/'Smart Search'!H13,0),0)</f>
        <v/>
      </c>
      <c r="BD358" s="66">
        <f>BB358*BC358</f>
        <v/>
      </c>
      <c r="BE358" s="66">
        <f>AP358+AQ358+AR358+AS358+AT358+AU358+AV358+AW358+AX358+AY358+BD358</f>
        <v/>
      </c>
      <c r="BF358" s="5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5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5">
        <f>IF(AND(A358&lt;&gt;"",OR('Smart Search'!$L$5="",'Smart Search'!$L$5="All",TRIM(BZ358)=TRIM('Smart Search'!$L$5)),OR(TRIM('Smart Search'!$L$6)="",TRIM('Smart Search'!$L$6)="All",ISNUMBER(SEARCH(SUBSTITUTE(SUBSTITUTE(SUBSTITUTE(TRIM('Smart Search'!$L$6),"~","~~"),"*","~*"),"?","~?"),CA358))),OR('Smart Search'!$L$7="",AND(CB358&lt;&gt;0,CB358='Smart Search'!$L$7)),OR('Smart Search'!$L$8="",'Smart Search'!$L$8="All",TRIM(CC358)=TRIM('Smart Search'!$L$8))),IF(BA358="","",BA358+ROW()*0.0000000001),"")</f>
        <v/>
      </c>
      <c r="BI358" s="5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5">
        <f>IF(A358="","",N(INDEX(Projects[Mech Inst],357)))</f>
        <v/>
      </c>
      <c r="BK358" s="5">
        <f>IF(A358="","",N(INDEX(Projects[Elec Inst],357)))</f>
        <v/>
      </c>
      <c r="BL358" s="5">
        <f>IF(A358="","",N(INDEX(Projects[Project Management],357)))</f>
        <v/>
      </c>
      <c r="BM358" s="5">
        <f>IF(A358="","",N(INDEX(Projects[Systems Eng],357)))</f>
        <v/>
      </c>
      <c r="BN358" s="5">
        <f>IF(A358="","",N(INDEX(Projects[Mechanical Eng],357)))</f>
        <v/>
      </c>
      <c r="BO358" s="5">
        <f>IF(A358="","",N(INDEX(Projects[Structural Engineering],357)))</f>
        <v/>
      </c>
      <c r="BP358" s="5">
        <f>IF(A358="","",N(INDEX(Projects[Site Sup],357)))</f>
        <v/>
      </c>
      <c r="BQ358" s="5">
        <f>IF(A358="","",N(INDEX(Projects[Controls Commissioning],357)))</f>
        <v/>
      </c>
      <c r="BR358" s="5">
        <f>IF(A358="","",N(INDEX(Projects[Systems Commissioning],357)))</f>
        <v/>
      </c>
      <c r="BS358" s="5">
        <f>IF(A358="","",N(INDEX(Projects[Service Commissioning],357)))</f>
        <v/>
      </c>
      <c r="BT358" s="5">
        <f>IF(A358="","",N(INDEX(Projects[Controls Eng],357)))</f>
        <v/>
      </c>
      <c r="BU358" s="5">
        <f>IF(A358="","",N(INDEX(Projects[Controls Purchase],357)))</f>
        <v/>
      </c>
      <c r="BV358" s="5">
        <f>IF(A358="","",N(INDEX(Projects[Software Eng],357)))</f>
        <v/>
      </c>
      <c r="BW358" s="5">
        <f>IF(A358="","",N(INDEX(Projects[Misc],357)))</f>
        <v/>
      </c>
      <c r="BX358" s="5">
        <f>IF(A358="","",SUM(BJ358:BW358))</f>
        <v/>
      </c>
      <c r="BY358" s="5">
        <f>IF(A358="","",IFERROR(IF(ISNUMBER(U358),U358,VALUE(SUBSTITUTE(SUBSTITUTE(SUBSTITUTE(UPPER(TRIM(U358)),"M",""),",","")," ",""))),0))</f>
        <v/>
      </c>
      <c r="BZ358" s="5">
        <f>INDEX(Projects[Solution Type],357)&amp;""</f>
        <v/>
      </c>
      <c r="CA358" s="5">
        <f>INDEX(Projects[Client / Region],357)&amp;""</f>
        <v/>
      </c>
      <c r="CB358" s="5">
        <f>INDEX(Projects[Year],357)</f>
        <v/>
      </c>
      <c r="CC358" s="5">
        <f>INDEX(Projects[Won?],357)&amp;""</f>
        <v/>
      </c>
      <c r="CD358" s="5">
        <f>INDEX(Projects[Value (USD M)],357)</f>
        <v/>
      </c>
    </row>
    <row r="359" ht="15" customHeight="1" s="74">
      <c r="A359" s="66">
        <f>INDEX(Projects[Project ID *],358)&amp;""</f>
        <v/>
      </c>
      <c r="B359" s="66">
        <f>INDEX(Projects[Project Name *],358)&amp;""</f>
        <v/>
      </c>
      <c r="C359" s="66">
        <f>INDEX(Projects[MS Shuttles],358)</f>
        <v/>
      </c>
      <c r="D359" s="66">
        <f>INDEX(Projects[MS Tote Locations],358)</f>
        <v/>
      </c>
      <c r="E359" s="66">
        <f>INDEX(Projects[AS Robots],358)</f>
        <v/>
      </c>
      <c r="F359" s="66">
        <f>INDEX(Projects[AS Tote Locations],358)</f>
        <v/>
      </c>
      <c r="G359" s="66">
        <f>INDEX(Projects[PS Shuttles],358)</f>
        <v/>
      </c>
      <c r="H359" s="66">
        <f>INDEX(Projects[PS Pallet Locations],358)</f>
        <v/>
      </c>
      <c r="I359" s="66">
        <f>INDEX(Projects[SRM Cranes],358)</f>
        <v/>
      </c>
      <c r="J359" s="66">
        <f>INDEX(Projects[SRM Pallet Locations],358)</f>
        <v/>
      </c>
      <c r="K359" s="66">
        <f>INDEX(Projects[Case Conv (m)],358)</f>
        <v/>
      </c>
      <c r="L359" s="66">
        <f>INDEX(Projects[Pallet Conv (m)],358)</f>
        <v/>
      </c>
      <c r="M359" s="66">
        <f>INDEX(Projects[Mech Eng (wks)],358)</f>
        <v/>
      </c>
      <c r="N359" s="66">
        <f>INDEX(Projects[Controls Eng (wks)],358)</f>
        <v/>
      </c>
      <c r="O359" s="66">
        <f>INDEX(Projects[Systems Eng (wks)],358)</f>
        <v/>
      </c>
      <c r="P359" s="66">
        <f>INDEX(Projects[Software Eng (wks)],358)</f>
        <v/>
      </c>
      <c r="Q359" s="66">
        <f>INDEX(Projects[M&amp;E Installation (wks)],358)</f>
        <v/>
      </c>
      <c r="R359" s="66">
        <f>INDEX(Projects[Commissioning (wks)],358)</f>
        <v/>
      </c>
      <c r="S359" s="66">
        <f>INDEX(Projects[Total Timeline (wks)],358)</f>
        <v/>
      </c>
      <c r="T359" s="66">
        <f>INDEX(Projects[Currency],358)&amp;""</f>
        <v/>
      </c>
      <c r="U359" s="67">
        <f>INDEX(Projects[Value (M)],358)</f>
        <v/>
      </c>
      <c r="V359" s="66">
        <f>IF('Smart Search'!B13=1,IFERROR(1/'Smart Search'!H13,0),0)</f>
        <v/>
      </c>
      <c r="W359" s="66">
        <f>IF('Smart Search'!B13=1,IFERROR(1/'Smart Search'!H13,0),0)</f>
        <v/>
      </c>
      <c r="X359" s="66">
        <f>IF('Smart Search'!C13=1,IFERROR(1/'Smart Search'!H13,0),0)</f>
        <v/>
      </c>
      <c r="Y359" s="66">
        <f>IF('Smart Search'!C13=1,IFERROR(1/'Smart Search'!H13,0),0)</f>
        <v/>
      </c>
      <c r="Z359" s="66">
        <f>IF('Smart Search'!D13=1,IFERROR(1/'Smart Search'!H13,0),0)</f>
        <v/>
      </c>
      <c r="AA359" s="66">
        <f>IF('Smart Search'!D13=1,IFERROR(1/'Smart Search'!H13,0),0)</f>
        <v/>
      </c>
      <c r="AB359" s="66">
        <f>IF('Smart Search'!E13=1,IFERROR(1/'Smart Search'!H13,0),0)</f>
        <v/>
      </c>
      <c r="AC359" s="66">
        <f>IF('Smart Search'!E13=1,IFERROR(1/'Smart Search'!H13,0),0)</f>
        <v/>
      </c>
      <c r="AD359" s="66">
        <f>IF('Smart Search'!F13=1,IFERROR(1/'Smart Search'!H13,0),0)</f>
        <v/>
      </c>
      <c r="AE359" s="66">
        <f>IF('Smart Search'!F13=1,IFERROR(1/'Smart Search'!H13,0),0)</f>
        <v/>
      </c>
      <c r="AF359" s="66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66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66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66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66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66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66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66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66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66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66">
        <f>AF359*V359</f>
        <v/>
      </c>
      <c r="AQ359" s="66">
        <f>AG359*W359</f>
        <v/>
      </c>
      <c r="AR359" s="66">
        <f>AH359*X359</f>
        <v/>
      </c>
      <c r="AS359" s="66">
        <f>AI359*Y359</f>
        <v/>
      </c>
      <c r="AT359" s="66">
        <f>AJ359*Z359</f>
        <v/>
      </c>
      <c r="AU359" s="66">
        <f>AK359*AA359</f>
        <v/>
      </c>
      <c r="AV359" s="66">
        <f>AL359*AB359</f>
        <v/>
      </c>
      <c r="AW359" s="66">
        <f>AM359*AC359</f>
        <v/>
      </c>
      <c r="AX359" s="66">
        <f>AN359*AD359</f>
        <v/>
      </c>
      <c r="AY359" s="66">
        <f>AO359*AE359</f>
        <v/>
      </c>
      <c r="AZ359" s="66">
        <f>INDEX(Projects[Automation Equipment],358)&amp;""</f>
        <v/>
      </c>
      <c r="BA359" s="66">
        <f>IF(OR(A359="",'Smart Search'!H13=0),"",MAX(0,BE359*BF359*MAX(0,1-BG359)))</f>
        <v/>
      </c>
      <c r="BB359" s="66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66">
        <f>IF('Smart Search'!G13=1,IFERROR(1/'Smart Search'!H13,0),0)</f>
        <v/>
      </c>
      <c r="BD359" s="66">
        <f>BB359*BC359</f>
        <v/>
      </c>
      <c r="BE359" s="66">
        <f>AP359+AQ359+AR359+AS359+AT359+AU359+AV359+AW359+AX359+AY359+BD359</f>
        <v/>
      </c>
      <c r="BF359" s="5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5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5">
        <f>IF(AND(A359&lt;&gt;"",OR('Smart Search'!$L$5="",'Smart Search'!$L$5="All",TRIM(BZ359)=TRIM('Smart Search'!$L$5)),OR(TRIM('Smart Search'!$L$6)="",TRIM('Smart Search'!$L$6)="All",ISNUMBER(SEARCH(SUBSTITUTE(SUBSTITUTE(SUBSTITUTE(TRIM('Smart Search'!$L$6),"~","~~"),"*","~*"),"?","~?"),CA359))),OR('Smart Search'!$L$7="",AND(CB359&lt;&gt;0,CB359='Smart Search'!$L$7)),OR('Smart Search'!$L$8="",'Smart Search'!$L$8="All",TRIM(CC359)=TRIM('Smart Search'!$L$8))),IF(BA359="","",BA359+ROW()*0.0000000001),"")</f>
        <v/>
      </c>
      <c r="BI359" s="5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5">
        <f>IF(A359="","",N(INDEX(Projects[Mech Inst],358)))</f>
        <v/>
      </c>
      <c r="BK359" s="5">
        <f>IF(A359="","",N(INDEX(Projects[Elec Inst],358)))</f>
        <v/>
      </c>
      <c r="BL359" s="5">
        <f>IF(A359="","",N(INDEX(Projects[Project Management],358)))</f>
        <v/>
      </c>
      <c r="BM359" s="5">
        <f>IF(A359="","",N(INDEX(Projects[Systems Eng],358)))</f>
        <v/>
      </c>
      <c r="BN359" s="5">
        <f>IF(A359="","",N(INDEX(Projects[Mechanical Eng],358)))</f>
        <v/>
      </c>
      <c r="BO359" s="5">
        <f>IF(A359="","",N(INDEX(Projects[Structural Engineering],358)))</f>
        <v/>
      </c>
      <c r="BP359" s="5">
        <f>IF(A359="","",N(INDEX(Projects[Site Sup],358)))</f>
        <v/>
      </c>
      <c r="BQ359" s="5">
        <f>IF(A359="","",N(INDEX(Projects[Controls Commissioning],358)))</f>
        <v/>
      </c>
      <c r="BR359" s="5">
        <f>IF(A359="","",N(INDEX(Projects[Systems Commissioning],358)))</f>
        <v/>
      </c>
      <c r="BS359" s="5">
        <f>IF(A359="","",N(INDEX(Projects[Service Commissioning],358)))</f>
        <v/>
      </c>
      <c r="BT359" s="5">
        <f>IF(A359="","",N(INDEX(Projects[Controls Eng],358)))</f>
        <v/>
      </c>
      <c r="BU359" s="5">
        <f>IF(A359="","",N(INDEX(Projects[Controls Purchase],358)))</f>
        <v/>
      </c>
      <c r="BV359" s="5">
        <f>IF(A359="","",N(INDEX(Projects[Software Eng],358)))</f>
        <v/>
      </c>
      <c r="BW359" s="5">
        <f>IF(A359="","",N(INDEX(Projects[Misc],358)))</f>
        <v/>
      </c>
      <c r="BX359" s="5">
        <f>IF(A359="","",SUM(BJ359:BW359))</f>
        <v/>
      </c>
      <c r="BY359" s="5">
        <f>IF(A359="","",IFERROR(IF(ISNUMBER(U359),U359,VALUE(SUBSTITUTE(SUBSTITUTE(SUBSTITUTE(UPPER(TRIM(U359)),"M",""),",","")," ",""))),0))</f>
        <v/>
      </c>
      <c r="BZ359" s="5">
        <f>INDEX(Projects[Solution Type],358)&amp;""</f>
        <v/>
      </c>
      <c r="CA359" s="5">
        <f>INDEX(Projects[Client / Region],358)&amp;""</f>
        <v/>
      </c>
      <c r="CB359" s="5">
        <f>INDEX(Projects[Year],358)</f>
        <v/>
      </c>
      <c r="CC359" s="5">
        <f>INDEX(Projects[Won?],358)&amp;""</f>
        <v/>
      </c>
      <c r="CD359" s="5">
        <f>INDEX(Projects[Value (USD M)],358)</f>
        <v/>
      </c>
    </row>
    <row r="360" ht="15" customHeight="1" s="74">
      <c r="A360" s="66">
        <f>INDEX(Projects[Project ID *],359)&amp;""</f>
        <v/>
      </c>
      <c r="B360" s="66">
        <f>INDEX(Projects[Project Name *],359)&amp;""</f>
        <v/>
      </c>
      <c r="C360" s="66">
        <f>INDEX(Projects[MS Shuttles],359)</f>
        <v/>
      </c>
      <c r="D360" s="66">
        <f>INDEX(Projects[MS Tote Locations],359)</f>
        <v/>
      </c>
      <c r="E360" s="66">
        <f>INDEX(Projects[AS Robots],359)</f>
        <v/>
      </c>
      <c r="F360" s="66">
        <f>INDEX(Projects[AS Tote Locations],359)</f>
        <v/>
      </c>
      <c r="G360" s="66">
        <f>INDEX(Projects[PS Shuttles],359)</f>
        <v/>
      </c>
      <c r="H360" s="66">
        <f>INDEX(Projects[PS Pallet Locations],359)</f>
        <v/>
      </c>
      <c r="I360" s="66">
        <f>INDEX(Projects[SRM Cranes],359)</f>
        <v/>
      </c>
      <c r="J360" s="66">
        <f>INDEX(Projects[SRM Pallet Locations],359)</f>
        <v/>
      </c>
      <c r="K360" s="66">
        <f>INDEX(Projects[Case Conv (m)],359)</f>
        <v/>
      </c>
      <c r="L360" s="66">
        <f>INDEX(Projects[Pallet Conv (m)],359)</f>
        <v/>
      </c>
      <c r="M360" s="66">
        <f>INDEX(Projects[Mech Eng (wks)],359)</f>
        <v/>
      </c>
      <c r="N360" s="66">
        <f>INDEX(Projects[Controls Eng (wks)],359)</f>
        <v/>
      </c>
      <c r="O360" s="66">
        <f>INDEX(Projects[Systems Eng (wks)],359)</f>
        <v/>
      </c>
      <c r="P360" s="66">
        <f>INDEX(Projects[Software Eng (wks)],359)</f>
        <v/>
      </c>
      <c r="Q360" s="66">
        <f>INDEX(Projects[M&amp;E Installation (wks)],359)</f>
        <v/>
      </c>
      <c r="R360" s="66">
        <f>INDEX(Projects[Commissioning (wks)],359)</f>
        <v/>
      </c>
      <c r="S360" s="66">
        <f>INDEX(Projects[Total Timeline (wks)],359)</f>
        <v/>
      </c>
      <c r="T360" s="66">
        <f>INDEX(Projects[Currency],359)&amp;""</f>
        <v/>
      </c>
      <c r="U360" s="67">
        <f>INDEX(Projects[Value (M)],359)</f>
        <v/>
      </c>
      <c r="V360" s="66">
        <f>IF('Smart Search'!B13=1,IFERROR(1/'Smart Search'!H13,0),0)</f>
        <v/>
      </c>
      <c r="W360" s="66">
        <f>IF('Smart Search'!B13=1,IFERROR(1/'Smart Search'!H13,0),0)</f>
        <v/>
      </c>
      <c r="X360" s="66">
        <f>IF('Smart Search'!C13=1,IFERROR(1/'Smart Search'!H13,0),0)</f>
        <v/>
      </c>
      <c r="Y360" s="66">
        <f>IF('Smart Search'!C13=1,IFERROR(1/'Smart Search'!H13,0),0)</f>
        <v/>
      </c>
      <c r="Z360" s="66">
        <f>IF('Smart Search'!D13=1,IFERROR(1/'Smart Search'!H13,0),0)</f>
        <v/>
      </c>
      <c r="AA360" s="66">
        <f>IF('Smart Search'!D13=1,IFERROR(1/'Smart Search'!H13,0),0)</f>
        <v/>
      </c>
      <c r="AB360" s="66">
        <f>IF('Smart Search'!E13=1,IFERROR(1/'Smart Search'!H13,0),0)</f>
        <v/>
      </c>
      <c r="AC360" s="66">
        <f>IF('Smart Search'!E13=1,IFERROR(1/'Smart Search'!H13,0),0)</f>
        <v/>
      </c>
      <c r="AD360" s="66">
        <f>IF('Smart Search'!F13=1,IFERROR(1/'Smart Search'!H13,0),0)</f>
        <v/>
      </c>
      <c r="AE360" s="66">
        <f>IF('Smart Search'!F13=1,IFERROR(1/'Smart Search'!H13,0),0)</f>
        <v/>
      </c>
      <c r="AF360" s="66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66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66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66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66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66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66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66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66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66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66">
        <f>AF360*V360</f>
        <v/>
      </c>
      <c r="AQ360" s="66">
        <f>AG360*W360</f>
        <v/>
      </c>
      <c r="AR360" s="66">
        <f>AH360*X360</f>
        <v/>
      </c>
      <c r="AS360" s="66">
        <f>AI360*Y360</f>
        <v/>
      </c>
      <c r="AT360" s="66">
        <f>AJ360*Z360</f>
        <v/>
      </c>
      <c r="AU360" s="66">
        <f>AK360*AA360</f>
        <v/>
      </c>
      <c r="AV360" s="66">
        <f>AL360*AB360</f>
        <v/>
      </c>
      <c r="AW360" s="66">
        <f>AM360*AC360</f>
        <v/>
      </c>
      <c r="AX360" s="66">
        <f>AN360*AD360</f>
        <v/>
      </c>
      <c r="AY360" s="66">
        <f>AO360*AE360</f>
        <v/>
      </c>
      <c r="AZ360" s="66">
        <f>INDEX(Projects[Automation Equipment],359)&amp;""</f>
        <v/>
      </c>
      <c r="BA360" s="66">
        <f>IF(OR(A360="",'Smart Search'!H13=0),"",MAX(0,BE360*BF360*MAX(0,1-BG360)))</f>
        <v/>
      </c>
      <c r="BB360" s="66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66">
        <f>IF('Smart Search'!G13=1,IFERROR(1/'Smart Search'!H13,0),0)</f>
        <v/>
      </c>
      <c r="BD360" s="66">
        <f>BB360*BC360</f>
        <v/>
      </c>
      <c r="BE360" s="66">
        <f>AP360+AQ360+AR360+AS360+AT360+AU360+AV360+AW360+AX360+AY360+BD360</f>
        <v/>
      </c>
      <c r="BF360" s="5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5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5">
        <f>IF(AND(A360&lt;&gt;"",OR('Smart Search'!$L$5="",'Smart Search'!$L$5="All",TRIM(BZ360)=TRIM('Smart Search'!$L$5)),OR(TRIM('Smart Search'!$L$6)="",TRIM('Smart Search'!$L$6)="All",ISNUMBER(SEARCH(SUBSTITUTE(SUBSTITUTE(SUBSTITUTE(TRIM('Smart Search'!$L$6),"~","~~"),"*","~*"),"?","~?"),CA360))),OR('Smart Search'!$L$7="",AND(CB360&lt;&gt;0,CB360='Smart Search'!$L$7)),OR('Smart Search'!$L$8="",'Smart Search'!$L$8="All",TRIM(CC360)=TRIM('Smart Search'!$L$8))),IF(BA360="","",BA360+ROW()*0.0000000001),"")</f>
        <v/>
      </c>
      <c r="BI360" s="5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5">
        <f>IF(A360="","",N(INDEX(Projects[Mech Inst],359)))</f>
        <v/>
      </c>
      <c r="BK360" s="5">
        <f>IF(A360="","",N(INDEX(Projects[Elec Inst],359)))</f>
        <v/>
      </c>
      <c r="BL360" s="5">
        <f>IF(A360="","",N(INDEX(Projects[Project Management],359)))</f>
        <v/>
      </c>
      <c r="BM360" s="5">
        <f>IF(A360="","",N(INDEX(Projects[Systems Eng],359)))</f>
        <v/>
      </c>
      <c r="BN360" s="5">
        <f>IF(A360="","",N(INDEX(Projects[Mechanical Eng],359)))</f>
        <v/>
      </c>
      <c r="BO360" s="5">
        <f>IF(A360="","",N(INDEX(Projects[Structural Engineering],359)))</f>
        <v/>
      </c>
      <c r="BP360" s="5">
        <f>IF(A360="","",N(INDEX(Projects[Site Sup],359)))</f>
        <v/>
      </c>
      <c r="BQ360" s="5">
        <f>IF(A360="","",N(INDEX(Projects[Controls Commissioning],359)))</f>
        <v/>
      </c>
      <c r="BR360" s="5">
        <f>IF(A360="","",N(INDEX(Projects[Systems Commissioning],359)))</f>
        <v/>
      </c>
      <c r="BS360" s="5">
        <f>IF(A360="","",N(INDEX(Projects[Service Commissioning],359)))</f>
        <v/>
      </c>
      <c r="BT360" s="5">
        <f>IF(A360="","",N(INDEX(Projects[Controls Eng],359)))</f>
        <v/>
      </c>
      <c r="BU360" s="5">
        <f>IF(A360="","",N(INDEX(Projects[Controls Purchase],359)))</f>
        <v/>
      </c>
      <c r="BV360" s="5">
        <f>IF(A360="","",N(INDEX(Projects[Software Eng],359)))</f>
        <v/>
      </c>
      <c r="BW360" s="5">
        <f>IF(A360="","",N(INDEX(Projects[Misc],359)))</f>
        <v/>
      </c>
      <c r="BX360" s="5">
        <f>IF(A360="","",SUM(BJ360:BW360))</f>
        <v/>
      </c>
      <c r="BY360" s="5">
        <f>IF(A360="","",IFERROR(IF(ISNUMBER(U360),U360,VALUE(SUBSTITUTE(SUBSTITUTE(SUBSTITUTE(UPPER(TRIM(U360)),"M",""),",","")," ",""))),0))</f>
        <v/>
      </c>
      <c r="BZ360" s="5">
        <f>INDEX(Projects[Solution Type],359)&amp;""</f>
        <v/>
      </c>
      <c r="CA360" s="5">
        <f>INDEX(Projects[Client / Region],359)&amp;""</f>
        <v/>
      </c>
      <c r="CB360" s="5">
        <f>INDEX(Projects[Year],359)</f>
        <v/>
      </c>
      <c r="CC360" s="5">
        <f>INDEX(Projects[Won?],359)&amp;""</f>
        <v/>
      </c>
      <c r="CD360" s="5">
        <f>INDEX(Projects[Value (USD M)],359)</f>
        <v/>
      </c>
    </row>
    <row r="361" ht="15" customHeight="1" s="74">
      <c r="A361" s="66">
        <f>INDEX(Projects[Project ID *],360)&amp;""</f>
        <v/>
      </c>
      <c r="B361" s="66">
        <f>INDEX(Projects[Project Name *],360)&amp;""</f>
        <v/>
      </c>
      <c r="C361" s="66">
        <f>INDEX(Projects[MS Shuttles],360)</f>
        <v/>
      </c>
      <c r="D361" s="66">
        <f>INDEX(Projects[MS Tote Locations],360)</f>
        <v/>
      </c>
      <c r="E361" s="66">
        <f>INDEX(Projects[AS Robots],360)</f>
        <v/>
      </c>
      <c r="F361" s="66">
        <f>INDEX(Projects[AS Tote Locations],360)</f>
        <v/>
      </c>
      <c r="G361" s="66">
        <f>INDEX(Projects[PS Shuttles],360)</f>
        <v/>
      </c>
      <c r="H361" s="66">
        <f>INDEX(Projects[PS Pallet Locations],360)</f>
        <v/>
      </c>
      <c r="I361" s="66">
        <f>INDEX(Projects[SRM Cranes],360)</f>
        <v/>
      </c>
      <c r="J361" s="66">
        <f>INDEX(Projects[SRM Pallet Locations],360)</f>
        <v/>
      </c>
      <c r="K361" s="66">
        <f>INDEX(Projects[Case Conv (m)],360)</f>
        <v/>
      </c>
      <c r="L361" s="66">
        <f>INDEX(Projects[Pallet Conv (m)],360)</f>
        <v/>
      </c>
      <c r="M361" s="66">
        <f>INDEX(Projects[Mech Eng (wks)],360)</f>
        <v/>
      </c>
      <c r="N361" s="66">
        <f>INDEX(Projects[Controls Eng (wks)],360)</f>
        <v/>
      </c>
      <c r="O361" s="66">
        <f>INDEX(Projects[Systems Eng (wks)],360)</f>
        <v/>
      </c>
      <c r="P361" s="66">
        <f>INDEX(Projects[Software Eng (wks)],360)</f>
        <v/>
      </c>
      <c r="Q361" s="66">
        <f>INDEX(Projects[M&amp;E Installation (wks)],360)</f>
        <v/>
      </c>
      <c r="R361" s="66">
        <f>INDEX(Projects[Commissioning (wks)],360)</f>
        <v/>
      </c>
      <c r="S361" s="66">
        <f>INDEX(Projects[Total Timeline (wks)],360)</f>
        <v/>
      </c>
      <c r="T361" s="66">
        <f>INDEX(Projects[Currency],360)&amp;""</f>
        <v/>
      </c>
      <c r="U361" s="67">
        <f>INDEX(Projects[Value (M)],360)</f>
        <v/>
      </c>
      <c r="V361" s="66">
        <f>IF('Smart Search'!B13=1,IFERROR(1/'Smart Search'!H13,0),0)</f>
        <v/>
      </c>
      <c r="W361" s="66">
        <f>IF('Smart Search'!B13=1,IFERROR(1/'Smart Search'!H13,0),0)</f>
        <v/>
      </c>
      <c r="X361" s="66">
        <f>IF('Smart Search'!C13=1,IFERROR(1/'Smart Search'!H13,0),0)</f>
        <v/>
      </c>
      <c r="Y361" s="66">
        <f>IF('Smart Search'!C13=1,IFERROR(1/'Smart Search'!H13,0),0)</f>
        <v/>
      </c>
      <c r="Z361" s="66">
        <f>IF('Smart Search'!D13=1,IFERROR(1/'Smart Search'!H13,0),0)</f>
        <v/>
      </c>
      <c r="AA361" s="66">
        <f>IF('Smart Search'!D13=1,IFERROR(1/'Smart Search'!H13,0),0)</f>
        <v/>
      </c>
      <c r="AB361" s="66">
        <f>IF('Smart Search'!E13=1,IFERROR(1/'Smart Search'!H13,0),0)</f>
        <v/>
      </c>
      <c r="AC361" s="66">
        <f>IF('Smart Search'!E13=1,IFERROR(1/'Smart Search'!H13,0),0)</f>
        <v/>
      </c>
      <c r="AD361" s="66">
        <f>IF('Smart Search'!F13=1,IFERROR(1/'Smart Search'!H13,0),0)</f>
        <v/>
      </c>
      <c r="AE361" s="66">
        <f>IF('Smart Search'!F13=1,IFERROR(1/'Smart Search'!H13,0),0)</f>
        <v/>
      </c>
      <c r="AF361" s="66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66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66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66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66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66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66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66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66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66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66">
        <f>AF361*V361</f>
        <v/>
      </c>
      <c r="AQ361" s="66">
        <f>AG361*W361</f>
        <v/>
      </c>
      <c r="AR361" s="66">
        <f>AH361*X361</f>
        <v/>
      </c>
      <c r="AS361" s="66">
        <f>AI361*Y361</f>
        <v/>
      </c>
      <c r="AT361" s="66">
        <f>AJ361*Z361</f>
        <v/>
      </c>
      <c r="AU361" s="66">
        <f>AK361*AA361</f>
        <v/>
      </c>
      <c r="AV361" s="66">
        <f>AL361*AB361</f>
        <v/>
      </c>
      <c r="AW361" s="66">
        <f>AM361*AC361</f>
        <v/>
      </c>
      <c r="AX361" s="66">
        <f>AN361*AD361</f>
        <v/>
      </c>
      <c r="AY361" s="66">
        <f>AO361*AE361</f>
        <v/>
      </c>
      <c r="AZ361" s="66">
        <f>INDEX(Projects[Automation Equipment],360)&amp;""</f>
        <v/>
      </c>
      <c r="BA361" s="66">
        <f>IF(OR(A361="",'Smart Search'!H13=0),"",MAX(0,BE361*BF361*MAX(0,1-BG361)))</f>
        <v/>
      </c>
      <c r="BB361" s="66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66">
        <f>IF('Smart Search'!G13=1,IFERROR(1/'Smart Search'!H13,0),0)</f>
        <v/>
      </c>
      <c r="BD361" s="66">
        <f>BB361*BC361</f>
        <v/>
      </c>
      <c r="BE361" s="66">
        <f>AP361+AQ361+AR361+AS361+AT361+AU361+AV361+AW361+AX361+AY361+BD361</f>
        <v/>
      </c>
      <c r="BF361" s="5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5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5">
        <f>IF(AND(A361&lt;&gt;"",OR('Smart Search'!$L$5="",'Smart Search'!$L$5="All",TRIM(BZ361)=TRIM('Smart Search'!$L$5)),OR(TRIM('Smart Search'!$L$6)="",TRIM('Smart Search'!$L$6)="All",ISNUMBER(SEARCH(SUBSTITUTE(SUBSTITUTE(SUBSTITUTE(TRIM('Smart Search'!$L$6),"~","~~"),"*","~*"),"?","~?"),CA361))),OR('Smart Search'!$L$7="",AND(CB361&lt;&gt;0,CB361='Smart Search'!$L$7)),OR('Smart Search'!$L$8="",'Smart Search'!$L$8="All",TRIM(CC361)=TRIM('Smart Search'!$L$8))),IF(BA361="","",BA361+ROW()*0.0000000001),"")</f>
        <v/>
      </c>
      <c r="BI361" s="5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5">
        <f>IF(A361="","",N(INDEX(Projects[Mech Inst],360)))</f>
        <v/>
      </c>
      <c r="BK361" s="5">
        <f>IF(A361="","",N(INDEX(Projects[Elec Inst],360)))</f>
        <v/>
      </c>
      <c r="BL361" s="5">
        <f>IF(A361="","",N(INDEX(Projects[Project Management],360)))</f>
        <v/>
      </c>
      <c r="BM361" s="5">
        <f>IF(A361="","",N(INDEX(Projects[Systems Eng],360)))</f>
        <v/>
      </c>
      <c r="BN361" s="5">
        <f>IF(A361="","",N(INDEX(Projects[Mechanical Eng],360)))</f>
        <v/>
      </c>
      <c r="BO361" s="5">
        <f>IF(A361="","",N(INDEX(Projects[Structural Engineering],360)))</f>
        <v/>
      </c>
      <c r="BP361" s="5">
        <f>IF(A361="","",N(INDEX(Projects[Site Sup],360)))</f>
        <v/>
      </c>
      <c r="BQ361" s="5">
        <f>IF(A361="","",N(INDEX(Projects[Controls Commissioning],360)))</f>
        <v/>
      </c>
      <c r="BR361" s="5">
        <f>IF(A361="","",N(INDEX(Projects[Systems Commissioning],360)))</f>
        <v/>
      </c>
      <c r="BS361" s="5">
        <f>IF(A361="","",N(INDEX(Projects[Service Commissioning],360)))</f>
        <v/>
      </c>
      <c r="BT361" s="5">
        <f>IF(A361="","",N(INDEX(Projects[Controls Eng],360)))</f>
        <v/>
      </c>
      <c r="BU361" s="5">
        <f>IF(A361="","",N(INDEX(Projects[Controls Purchase],360)))</f>
        <v/>
      </c>
      <c r="BV361" s="5">
        <f>IF(A361="","",N(INDEX(Projects[Software Eng],360)))</f>
        <v/>
      </c>
      <c r="BW361" s="5">
        <f>IF(A361="","",N(INDEX(Projects[Misc],360)))</f>
        <v/>
      </c>
      <c r="BX361" s="5">
        <f>IF(A361="","",SUM(BJ361:BW361))</f>
        <v/>
      </c>
      <c r="BY361" s="5">
        <f>IF(A361="","",IFERROR(IF(ISNUMBER(U361),U361,VALUE(SUBSTITUTE(SUBSTITUTE(SUBSTITUTE(UPPER(TRIM(U361)),"M",""),",","")," ",""))),0))</f>
        <v/>
      </c>
      <c r="BZ361" s="5">
        <f>INDEX(Projects[Solution Type],360)&amp;""</f>
        <v/>
      </c>
      <c r="CA361" s="5">
        <f>INDEX(Projects[Client / Region],360)&amp;""</f>
        <v/>
      </c>
      <c r="CB361" s="5">
        <f>INDEX(Projects[Year],360)</f>
        <v/>
      </c>
      <c r="CC361" s="5">
        <f>INDEX(Projects[Won?],360)&amp;""</f>
        <v/>
      </c>
      <c r="CD361" s="5">
        <f>INDEX(Projects[Value (USD M)],360)</f>
        <v/>
      </c>
    </row>
    <row r="362" ht="15" customHeight="1" s="74">
      <c r="A362" s="66">
        <f>INDEX(Projects[Project ID *],361)&amp;""</f>
        <v/>
      </c>
      <c r="B362" s="66">
        <f>INDEX(Projects[Project Name *],361)&amp;""</f>
        <v/>
      </c>
      <c r="C362" s="66">
        <f>INDEX(Projects[MS Shuttles],361)</f>
        <v/>
      </c>
      <c r="D362" s="66">
        <f>INDEX(Projects[MS Tote Locations],361)</f>
        <v/>
      </c>
      <c r="E362" s="66">
        <f>INDEX(Projects[AS Robots],361)</f>
        <v/>
      </c>
      <c r="F362" s="66">
        <f>INDEX(Projects[AS Tote Locations],361)</f>
        <v/>
      </c>
      <c r="G362" s="66">
        <f>INDEX(Projects[PS Shuttles],361)</f>
        <v/>
      </c>
      <c r="H362" s="66">
        <f>INDEX(Projects[PS Pallet Locations],361)</f>
        <v/>
      </c>
      <c r="I362" s="66">
        <f>INDEX(Projects[SRM Cranes],361)</f>
        <v/>
      </c>
      <c r="J362" s="66">
        <f>INDEX(Projects[SRM Pallet Locations],361)</f>
        <v/>
      </c>
      <c r="K362" s="66">
        <f>INDEX(Projects[Case Conv (m)],361)</f>
        <v/>
      </c>
      <c r="L362" s="66">
        <f>INDEX(Projects[Pallet Conv (m)],361)</f>
        <v/>
      </c>
      <c r="M362" s="66">
        <f>INDEX(Projects[Mech Eng (wks)],361)</f>
        <v/>
      </c>
      <c r="N362" s="66">
        <f>INDEX(Projects[Controls Eng (wks)],361)</f>
        <v/>
      </c>
      <c r="O362" s="66">
        <f>INDEX(Projects[Systems Eng (wks)],361)</f>
        <v/>
      </c>
      <c r="P362" s="66">
        <f>INDEX(Projects[Software Eng (wks)],361)</f>
        <v/>
      </c>
      <c r="Q362" s="66">
        <f>INDEX(Projects[M&amp;E Installation (wks)],361)</f>
        <v/>
      </c>
      <c r="R362" s="66">
        <f>INDEX(Projects[Commissioning (wks)],361)</f>
        <v/>
      </c>
      <c r="S362" s="66">
        <f>INDEX(Projects[Total Timeline (wks)],361)</f>
        <v/>
      </c>
      <c r="T362" s="66">
        <f>INDEX(Projects[Currency],361)&amp;""</f>
        <v/>
      </c>
      <c r="U362" s="67">
        <f>INDEX(Projects[Value (M)],361)</f>
        <v/>
      </c>
      <c r="V362" s="66">
        <f>IF('Smart Search'!B13=1,IFERROR(1/'Smart Search'!H13,0),0)</f>
        <v/>
      </c>
      <c r="W362" s="66">
        <f>IF('Smart Search'!B13=1,IFERROR(1/'Smart Search'!H13,0),0)</f>
        <v/>
      </c>
      <c r="X362" s="66">
        <f>IF('Smart Search'!C13=1,IFERROR(1/'Smart Search'!H13,0),0)</f>
        <v/>
      </c>
      <c r="Y362" s="66">
        <f>IF('Smart Search'!C13=1,IFERROR(1/'Smart Search'!H13,0),0)</f>
        <v/>
      </c>
      <c r="Z362" s="66">
        <f>IF('Smart Search'!D13=1,IFERROR(1/'Smart Search'!H13,0),0)</f>
        <v/>
      </c>
      <c r="AA362" s="66">
        <f>IF('Smart Search'!D13=1,IFERROR(1/'Smart Search'!H13,0),0)</f>
        <v/>
      </c>
      <c r="AB362" s="66">
        <f>IF('Smart Search'!E13=1,IFERROR(1/'Smart Search'!H13,0),0)</f>
        <v/>
      </c>
      <c r="AC362" s="66">
        <f>IF('Smart Search'!E13=1,IFERROR(1/'Smart Search'!H13,0),0)</f>
        <v/>
      </c>
      <c r="AD362" s="66">
        <f>IF('Smart Search'!F13=1,IFERROR(1/'Smart Search'!H13,0),0)</f>
        <v/>
      </c>
      <c r="AE362" s="66">
        <f>IF('Smart Search'!F13=1,IFERROR(1/'Smart Search'!H13,0),0)</f>
        <v/>
      </c>
      <c r="AF362" s="66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66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66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66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66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66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66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66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66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66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66">
        <f>AF362*V362</f>
        <v/>
      </c>
      <c r="AQ362" s="66">
        <f>AG362*W362</f>
        <v/>
      </c>
      <c r="AR362" s="66">
        <f>AH362*X362</f>
        <v/>
      </c>
      <c r="AS362" s="66">
        <f>AI362*Y362</f>
        <v/>
      </c>
      <c r="AT362" s="66">
        <f>AJ362*Z362</f>
        <v/>
      </c>
      <c r="AU362" s="66">
        <f>AK362*AA362</f>
        <v/>
      </c>
      <c r="AV362" s="66">
        <f>AL362*AB362</f>
        <v/>
      </c>
      <c r="AW362" s="66">
        <f>AM362*AC362</f>
        <v/>
      </c>
      <c r="AX362" s="66">
        <f>AN362*AD362</f>
        <v/>
      </c>
      <c r="AY362" s="66">
        <f>AO362*AE362</f>
        <v/>
      </c>
      <c r="AZ362" s="66">
        <f>INDEX(Projects[Automation Equipment],361)&amp;""</f>
        <v/>
      </c>
      <c r="BA362" s="66">
        <f>IF(OR(A362="",'Smart Search'!H13=0),"",MAX(0,BE362*BF362*MAX(0,1-BG362)))</f>
        <v/>
      </c>
      <c r="BB362" s="66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66">
        <f>IF('Smart Search'!G13=1,IFERROR(1/'Smart Search'!H13,0),0)</f>
        <v/>
      </c>
      <c r="BD362" s="66">
        <f>BB362*BC362</f>
        <v/>
      </c>
      <c r="BE362" s="66">
        <f>AP362+AQ362+AR362+AS362+AT362+AU362+AV362+AW362+AX362+AY362+BD362</f>
        <v/>
      </c>
      <c r="BF362" s="5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5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5">
        <f>IF(AND(A362&lt;&gt;"",OR('Smart Search'!$L$5="",'Smart Search'!$L$5="All",TRIM(BZ362)=TRIM('Smart Search'!$L$5)),OR(TRIM('Smart Search'!$L$6)="",TRIM('Smart Search'!$L$6)="All",ISNUMBER(SEARCH(SUBSTITUTE(SUBSTITUTE(SUBSTITUTE(TRIM('Smart Search'!$L$6),"~","~~"),"*","~*"),"?","~?"),CA362))),OR('Smart Search'!$L$7="",AND(CB362&lt;&gt;0,CB362='Smart Search'!$L$7)),OR('Smart Search'!$L$8="",'Smart Search'!$L$8="All",TRIM(CC362)=TRIM('Smart Search'!$L$8))),IF(BA362="","",BA362+ROW()*0.0000000001),"")</f>
        <v/>
      </c>
      <c r="BI362" s="5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5">
        <f>IF(A362="","",N(INDEX(Projects[Mech Inst],361)))</f>
        <v/>
      </c>
      <c r="BK362" s="5">
        <f>IF(A362="","",N(INDEX(Projects[Elec Inst],361)))</f>
        <v/>
      </c>
      <c r="BL362" s="5">
        <f>IF(A362="","",N(INDEX(Projects[Project Management],361)))</f>
        <v/>
      </c>
      <c r="BM362" s="5">
        <f>IF(A362="","",N(INDEX(Projects[Systems Eng],361)))</f>
        <v/>
      </c>
      <c r="BN362" s="5">
        <f>IF(A362="","",N(INDEX(Projects[Mechanical Eng],361)))</f>
        <v/>
      </c>
      <c r="BO362" s="5">
        <f>IF(A362="","",N(INDEX(Projects[Structural Engineering],361)))</f>
        <v/>
      </c>
      <c r="BP362" s="5">
        <f>IF(A362="","",N(INDEX(Projects[Site Sup],361)))</f>
        <v/>
      </c>
      <c r="BQ362" s="5">
        <f>IF(A362="","",N(INDEX(Projects[Controls Commissioning],361)))</f>
        <v/>
      </c>
      <c r="BR362" s="5">
        <f>IF(A362="","",N(INDEX(Projects[Systems Commissioning],361)))</f>
        <v/>
      </c>
      <c r="BS362" s="5">
        <f>IF(A362="","",N(INDEX(Projects[Service Commissioning],361)))</f>
        <v/>
      </c>
      <c r="BT362" s="5">
        <f>IF(A362="","",N(INDEX(Projects[Controls Eng],361)))</f>
        <v/>
      </c>
      <c r="BU362" s="5">
        <f>IF(A362="","",N(INDEX(Projects[Controls Purchase],361)))</f>
        <v/>
      </c>
      <c r="BV362" s="5">
        <f>IF(A362="","",N(INDEX(Projects[Software Eng],361)))</f>
        <v/>
      </c>
      <c r="BW362" s="5">
        <f>IF(A362="","",N(INDEX(Projects[Misc],361)))</f>
        <v/>
      </c>
      <c r="BX362" s="5">
        <f>IF(A362="","",SUM(BJ362:BW362))</f>
        <v/>
      </c>
      <c r="BY362" s="5">
        <f>IF(A362="","",IFERROR(IF(ISNUMBER(U362),U362,VALUE(SUBSTITUTE(SUBSTITUTE(SUBSTITUTE(UPPER(TRIM(U362)),"M",""),",","")," ",""))),0))</f>
        <v/>
      </c>
      <c r="BZ362" s="5">
        <f>INDEX(Projects[Solution Type],361)&amp;""</f>
        <v/>
      </c>
      <c r="CA362" s="5">
        <f>INDEX(Projects[Client / Region],361)&amp;""</f>
        <v/>
      </c>
      <c r="CB362" s="5">
        <f>INDEX(Projects[Year],361)</f>
        <v/>
      </c>
      <c r="CC362" s="5">
        <f>INDEX(Projects[Won?],361)&amp;""</f>
        <v/>
      </c>
      <c r="CD362" s="5">
        <f>INDEX(Projects[Value (USD M)],361)</f>
        <v/>
      </c>
    </row>
    <row r="363" ht="15" customHeight="1" s="74">
      <c r="A363" s="66">
        <f>INDEX(Projects[Project ID *],362)&amp;""</f>
        <v/>
      </c>
      <c r="B363" s="66">
        <f>INDEX(Projects[Project Name *],362)&amp;""</f>
        <v/>
      </c>
      <c r="C363" s="66">
        <f>INDEX(Projects[MS Shuttles],362)</f>
        <v/>
      </c>
      <c r="D363" s="66">
        <f>INDEX(Projects[MS Tote Locations],362)</f>
        <v/>
      </c>
      <c r="E363" s="66">
        <f>INDEX(Projects[AS Robots],362)</f>
        <v/>
      </c>
      <c r="F363" s="66">
        <f>INDEX(Projects[AS Tote Locations],362)</f>
        <v/>
      </c>
      <c r="G363" s="66">
        <f>INDEX(Projects[PS Shuttles],362)</f>
        <v/>
      </c>
      <c r="H363" s="66">
        <f>INDEX(Projects[PS Pallet Locations],362)</f>
        <v/>
      </c>
      <c r="I363" s="66">
        <f>INDEX(Projects[SRM Cranes],362)</f>
        <v/>
      </c>
      <c r="J363" s="66">
        <f>INDEX(Projects[SRM Pallet Locations],362)</f>
        <v/>
      </c>
      <c r="K363" s="66">
        <f>INDEX(Projects[Case Conv (m)],362)</f>
        <v/>
      </c>
      <c r="L363" s="66">
        <f>INDEX(Projects[Pallet Conv (m)],362)</f>
        <v/>
      </c>
      <c r="M363" s="66">
        <f>INDEX(Projects[Mech Eng (wks)],362)</f>
        <v/>
      </c>
      <c r="N363" s="66">
        <f>INDEX(Projects[Controls Eng (wks)],362)</f>
        <v/>
      </c>
      <c r="O363" s="66">
        <f>INDEX(Projects[Systems Eng (wks)],362)</f>
        <v/>
      </c>
      <c r="P363" s="66">
        <f>INDEX(Projects[Software Eng (wks)],362)</f>
        <v/>
      </c>
      <c r="Q363" s="66">
        <f>INDEX(Projects[M&amp;E Installation (wks)],362)</f>
        <v/>
      </c>
      <c r="R363" s="66">
        <f>INDEX(Projects[Commissioning (wks)],362)</f>
        <v/>
      </c>
      <c r="S363" s="66">
        <f>INDEX(Projects[Total Timeline (wks)],362)</f>
        <v/>
      </c>
      <c r="T363" s="66">
        <f>INDEX(Projects[Currency],362)&amp;""</f>
        <v/>
      </c>
      <c r="U363" s="67">
        <f>INDEX(Projects[Value (M)],362)</f>
        <v/>
      </c>
      <c r="V363" s="66">
        <f>IF('Smart Search'!B13=1,IFERROR(1/'Smart Search'!H13,0),0)</f>
        <v/>
      </c>
      <c r="W363" s="66">
        <f>IF('Smart Search'!B13=1,IFERROR(1/'Smart Search'!H13,0),0)</f>
        <v/>
      </c>
      <c r="X363" s="66">
        <f>IF('Smart Search'!C13=1,IFERROR(1/'Smart Search'!H13,0),0)</f>
        <v/>
      </c>
      <c r="Y363" s="66">
        <f>IF('Smart Search'!C13=1,IFERROR(1/'Smart Search'!H13,0),0)</f>
        <v/>
      </c>
      <c r="Z363" s="66">
        <f>IF('Smart Search'!D13=1,IFERROR(1/'Smart Search'!H13,0),0)</f>
        <v/>
      </c>
      <c r="AA363" s="66">
        <f>IF('Smart Search'!D13=1,IFERROR(1/'Smart Search'!H13,0),0)</f>
        <v/>
      </c>
      <c r="AB363" s="66">
        <f>IF('Smart Search'!E13=1,IFERROR(1/'Smart Search'!H13,0),0)</f>
        <v/>
      </c>
      <c r="AC363" s="66">
        <f>IF('Smart Search'!E13=1,IFERROR(1/'Smart Search'!H13,0),0)</f>
        <v/>
      </c>
      <c r="AD363" s="66">
        <f>IF('Smart Search'!F13=1,IFERROR(1/'Smart Search'!H13,0),0)</f>
        <v/>
      </c>
      <c r="AE363" s="66">
        <f>IF('Smart Search'!F13=1,IFERROR(1/'Smart Search'!H13,0),0)</f>
        <v/>
      </c>
      <c r="AF363" s="66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66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66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66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66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66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66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66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66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66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66">
        <f>AF363*V363</f>
        <v/>
      </c>
      <c r="AQ363" s="66">
        <f>AG363*W363</f>
        <v/>
      </c>
      <c r="AR363" s="66">
        <f>AH363*X363</f>
        <v/>
      </c>
      <c r="AS363" s="66">
        <f>AI363*Y363</f>
        <v/>
      </c>
      <c r="AT363" s="66">
        <f>AJ363*Z363</f>
        <v/>
      </c>
      <c r="AU363" s="66">
        <f>AK363*AA363</f>
        <v/>
      </c>
      <c r="AV363" s="66">
        <f>AL363*AB363</f>
        <v/>
      </c>
      <c r="AW363" s="66">
        <f>AM363*AC363</f>
        <v/>
      </c>
      <c r="AX363" s="66">
        <f>AN363*AD363</f>
        <v/>
      </c>
      <c r="AY363" s="66">
        <f>AO363*AE363</f>
        <v/>
      </c>
      <c r="AZ363" s="66">
        <f>INDEX(Projects[Automation Equipment],362)&amp;""</f>
        <v/>
      </c>
      <c r="BA363" s="66">
        <f>IF(OR(A363="",'Smart Search'!H13=0),"",MAX(0,BE363*BF363*MAX(0,1-BG363)))</f>
        <v/>
      </c>
      <c r="BB363" s="66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66">
        <f>IF('Smart Search'!G13=1,IFERROR(1/'Smart Search'!H13,0),0)</f>
        <v/>
      </c>
      <c r="BD363" s="66">
        <f>BB363*BC363</f>
        <v/>
      </c>
      <c r="BE363" s="66">
        <f>AP363+AQ363+AR363+AS363+AT363+AU363+AV363+AW363+AX363+AY363+BD363</f>
        <v/>
      </c>
      <c r="BF363" s="5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5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5">
        <f>IF(AND(A363&lt;&gt;"",OR('Smart Search'!$L$5="",'Smart Search'!$L$5="All",TRIM(BZ363)=TRIM('Smart Search'!$L$5)),OR(TRIM('Smart Search'!$L$6)="",TRIM('Smart Search'!$L$6)="All",ISNUMBER(SEARCH(SUBSTITUTE(SUBSTITUTE(SUBSTITUTE(TRIM('Smart Search'!$L$6),"~","~~"),"*","~*"),"?","~?"),CA363))),OR('Smart Search'!$L$7="",AND(CB363&lt;&gt;0,CB363='Smart Search'!$L$7)),OR('Smart Search'!$L$8="",'Smart Search'!$L$8="All",TRIM(CC363)=TRIM('Smart Search'!$L$8))),IF(BA363="","",BA363+ROW()*0.0000000001),"")</f>
        <v/>
      </c>
      <c r="BI363" s="5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5">
        <f>IF(A363="","",N(INDEX(Projects[Mech Inst],362)))</f>
        <v/>
      </c>
      <c r="BK363" s="5">
        <f>IF(A363="","",N(INDEX(Projects[Elec Inst],362)))</f>
        <v/>
      </c>
      <c r="BL363" s="5">
        <f>IF(A363="","",N(INDEX(Projects[Project Management],362)))</f>
        <v/>
      </c>
      <c r="BM363" s="5">
        <f>IF(A363="","",N(INDEX(Projects[Systems Eng],362)))</f>
        <v/>
      </c>
      <c r="BN363" s="5">
        <f>IF(A363="","",N(INDEX(Projects[Mechanical Eng],362)))</f>
        <v/>
      </c>
      <c r="BO363" s="5">
        <f>IF(A363="","",N(INDEX(Projects[Structural Engineering],362)))</f>
        <v/>
      </c>
      <c r="BP363" s="5">
        <f>IF(A363="","",N(INDEX(Projects[Site Sup],362)))</f>
        <v/>
      </c>
      <c r="BQ363" s="5">
        <f>IF(A363="","",N(INDEX(Projects[Controls Commissioning],362)))</f>
        <v/>
      </c>
      <c r="BR363" s="5">
        <f>IF(A363="","",N(INDEX(Projects[Systems Commissioning],362)))</f>
        <v/>
      </c>
      <c r="BS363" s="5">
        <f>IF(A363="","",N(INDEX(Projects[Service Commissioning],362)))</f>
        <v/>
      </c>
      <c r="BT363" s="5">
        <f>IF(A363="","",N(INDEX(Projects[Controls Eng],362)))</f>
        <v/>
      </c>
      <c r="BU363" s="5">
        <f>IF(A363="","",N(INDEX(Projects[Controls Purchase],362)))</f>
        <v/>
      </c>
      <c r="BV363" s="5">
        <f>IF(A363="","",N(INDEX(Projects[Software Eng],362)))</f>
        <v/>
      </c>
      <c r="BW363" s="5">
        <f>IF(A363="","",N(INDEX(Projects[Misc],362)))</f>
        <v/>
      </c>
      <c r="BX363" s="5">
        <f>IF(A363="","",SUM(BJ363:BW363))</f>
        <v/>
      </c>
      <c r="BY363" s="5">
        <f>IF(A363="","",IFERROR(IF(ISNUMBER(U363),U363,VALUE(SUBSTITUTE(SUBSTITUTE(SUBSTITUTE(UPPER(TRIM(U363)),"M",""),",","")," ",""))),0))</f>
        <v/>
      </c>
      <c r="BZ363" s="5">
        <f>INDEX(Projects[Solution Type],362)&amp;""</f>
        <v/>
      </c>
      <c r="CA363" s="5">
        <f>INDEX(Projects[Client / Region],362)&amp;""</f>
        <v/>
      </c>
      <c r="CB363" s="5">
        <f>INDEX(Projects[Year],362)</f>
        <v/>
      </c>
      <c r="CC363" s="5">
        <f>INDEX(Projects[Won?],362)&amp;""</f>
        <v/>
      </c>
      <c r="CD363" s="5">
        <f>INDEX(Projects[Value (USD M)],362)</f>
        <v/>
      </c>
    </row>
    <row r="364" ht="15" customHeight="1" s="74">
      <c r="A364" s="66">
        <f>INDEX(Projects[Project ID *],363)&amp;""</f>
        <v/>
      </c>
      <c r="B364" s="66">
        <f>INDEX(Projects[Project Name *],363)&amp;""</f>
        <v/>
      </c>
      <c r="C364" s="66">
        <f>INDEX(Projects[MS Shuttles],363)</f>
        <v/>
      </c>
      <c r="D364" s="66">
        <f>INDEX(Projects[MS Tote Locations],363)</f>
        <v/>
      </c>
      <c r="E364" s="66">
        <f>INDEX(Projects[AS Robots],363)</f>
        <v/>
      </c>
      <c r="F364" s="66">
        <f>INDEX(Projects[AS Tote Locations],363)</f>
        <v/>
      </c>
      <c r="G364" s="66">
        <f>INDEX(Projects[PS Shuttles],363)</f>
        <v/>
      </c>
      <c r="H364" s="66">
        <f>INDEX(Projects[PS Pallet Locations],363)</f>
        <v/>
      </c>
      <c r="I364" s="66">
        <f>INDEX(Projects[SRM Cranes],363)</f>
        <v/>
      </c>
      <c r="J364" s="66">
        <f>INDEX(Projects[SRM Pallet Locations],363)</f>
        <v/>
      </c>
      <c r="K364" s="66">
        <f>INDEX(Projects[Case Conv (m)],363)</f>
        <v/>
      </c>
      <c r="L364" s="66">
        <f>INDEX(Projects[Pallet Conv (m)],363)</f>
        <v/>
      </c>
      <c r="M364" s="66">
        <f>INDEX(Projects[Mech Eng (wks)],363)</f>
        <v/>
      </c>
      <c r="N364" s="66">
        <f>INDEX(Projects[Controls Eng (wks)],363)</f>
        <v/>
      </c>
      <c r="O364" s="66">
        <f>INDEX(Projects[Systems Eng (wks)],363)</f>
        <v/>
      </c>
      <c r="P364" s="66">
        <f>INDEX(Projects[Software Eng (wks)],363)</f>
        <v/>
      </c>
      <c r="Q364" s="66">
        <f>INDEX(Projects[M&amp;E Installation (wks)],363)</f>
        <v/>
      </c>
      <c r="R364" s="66">
        <f>INDEX(Projects[Commissioning (wks)],363)</f>
        <v/>
      </c>
      <c r="S364" s="66">
        <f>INDEX(Projects[Total Timeline (wks)],363)</f>
        <v/>
      </c>
      <c r="T364" s="66">
        <f>INDEX(Projects[Currency],363)&amp;""</f>
        <v/>
      </c>
      <c r="U364" s="67">
        <f>INDEX(Projects[Value (M)],363)</f>
        <v/>
      </c>
      <c r="V364" s="66">
        <f>IF('Smart Search'!B13=1,IFERROR(1/'Smart Search'!H13,0),0)</f>
        <v/>
      </c>
      <c r="W364" s="66">
        <f>IF('Smart Search'!B13=1,IFERROR(1/'Smart Search'!H13,0),0)</f>
        <v/>
      </c>
      <c r="X364" s="66">
        <f>IF('Smart Search'!C13=1,IFERROR(1/'Smart Search'!H13,0),0)</f>
        <v/>
      </c>
      <c r="Y364" s="66">
        <f>IF('Smart Search'!C13=1,IFERROR(1/'Smart Search'!H13,0),0)</f>
        <v/>
      </c>
      <c r="Z364" s="66">
        <f>IF('Smart Search'!D13=1,IFERROR(1/'Smart Search'!H13,0),0)</f>
        <v/>
      </c>
      <c r="AA364" s="66">
        <f>IF('Smart Search'!D13=1,IFERROR(1/'Smart Search'!H13,0),0)</f>
        <v/>
      </c>
      <c r="AB364" s="66">
        <f>IF('Smart Search'!E13=1,IFERROR(1/'Smart Search'!H13,0),0)</f>
        <v/>
      </c>
      <c r="AC364" s="66">
        <f>IF('Smart Search'!E13=1,IFERROR(1/'Smart Search'!H13,0),0)</f>
        <v/>
      </c>
      <c r="AD364" s="66">
        <f>IF('Smart Search'!F13=1,IFERROR(1/'Smart Search'!H13,0),0)</f>
        <v/>
      </c>
      <c r="AE364" s="66">
        <f>IF('Smart Search'!F13=1,IFERROR(1/'Smart Search'!H13,0),0)</f>
        <v/>
      </c>
      <c r="AF364" s="66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66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66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66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66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66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66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66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66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66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66">
        <f>AF364*V364</f>
        <v/>
      </c>
      <c r="AQ364" s="66">
        <f>AG364*W364</f>
        <v/>
      </c>
      <c r="AR364" s="66">
        <f>AH364*X364</f>
        <v/>
      </c>
      <c r="AS364" s="66">
        <f>AI364*Y364</f>
        <v/>
      </c>
      <c r="AT364" s="66">
        <f>AJ364*Z364</f>
        <v/>
      </c>
      <c r="AU364" s="66">
        <f>AK364*AA364</f>
        <v/>
      </c>
      <c r="AV364" s="66">
        <f>AL364*AB364</f>
        <v/>
      </c>
      <c r="AW364" s="66">
        <f>AM364*AC364</f>
        <v/>
      </c>
      <c r="AX364" s="66">
        <f>AN364*AD364</f>
        <v/>
      </c>
      <c r="AY364" s="66">
        <f>AO364*AE364</f>
        <v/>
      </c>
      <c r="AZ364" s="66">
        <f>INDEX(Projects[Automation Equipment],363)&amp;""</f>
        <v/>
      </c>
      <c r="BA364" s="66">
        <f>IF(OR(A364="",'Smart Search'!H13=0),"",MAX(0,BE364*BF364*MAX(0,1-BG364)))</f>
        <v/>
      </c>
      <c r="BB364" s="66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66">
        <f>IF('Smart Search'!G13=1,IFERROR(1/'Smart Search'!H13,0),0)</f>
        <v/>
      </c>
      <c r="BD364" s="66">
        <f>BB364*BC364</f>
        <v/>
      </c>
      <c r="BE364" s="66">
        <f>AP364+AQ364+AR364+AS364+AT364+AU364+AV364+AW364+AX364+AY364+BD364</f>
        <v/>
      </c>
      <c r="BF364" s="5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5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5">
        <f>IF(AND(A364&lt;&gt;"",OR('Smart Search'!$L$5="",'Smart Search'!$L$5="All",TRIM(BZ364)=TRIM('Smart Search'!$L$5)),OR(TRIM('Smart Search'!$L$6)="",TRIM('Smart Search'!$L$6)="All",ISNUMBER(SEARCH(SUBSTITUTE(SUBSTITUTE(SUBSTITUTE(TRIM('Smart Search'!$L$6),"~","~~"),"*","~*"),"?","~?"),CA364))),OR('Smart Search'!$L$7="",AND(CB364&lt;&gt;0,CB364='Smart Search'!$L$7)),OR('Smart Search'!$L$8="",'Smart Search'!$L$8="All",TRIM(CC364)=TRIM('Smart Search'!$L$8))),IF(BA364="","",BA364+ROW()*0.0000000001),"")</f>
        <v/>
      </c>
      <c r="BI364" s="5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5">
        <f>IF(A364="","",N(INDEX(Projects[Mech Inst],363)))</f>
        <v/>
      </c>
      <c r="BK364" s="5">
        <f>IF(A364="","",N(INDEX(Projects[Elec Inst],363)))</f>
        <v/>
      </c>
      <c r="BL364" s="5">
        <f>IF(A364="","",N(INDEX(Projects[Project Management],363)))</f>
        <v/>
      </c>
      <c r="BM364" s="5">
        <f>IF(A364="","",N(INDEX(Projects[Systems Eng],363)))</f>
        <v/>
      </c>
      <c r="BN364" s="5">
        <f>IF(A364="","",N(INDEX(Projects[Mechanical Eng],363)))</f>
        <v/>
      </c>
      <c r="BO364" s="5">
        <f>IF(A364="","",N(INDEX(Projects[Structural Engineering],363)))</f>
        <v/>
      </c>
      <c r="BP364" s="5">
        <f>IF(A364="","",N(INDEX(Projects[Site Sup],363)))</f>
        <v/>
      </c>
      <c r="BQ364" s="5">
        <f>IF(A364="","",N(INDEX(Projects[Controls Commissioning],363)))</f>
        <v/>
      </c>
      <c r="BR364" s="5">
        <f>IF(A364="","",N(INDEX(Projects[Systems Commissioning],363)))</f>
        <v/>
      </c>
      <c r="BS364" s="5">
        <f>IF(A364="","",N(INDEX(Projects[Service Commissioning],363)))</f>
        <v/>
      </c>
      <c r="BT364" s="5">
        <f>IF(A364="","",N(INDEX(Projects[Controls Eng],363)))</f>
        <v/>
      </c>
      <c r="BU364" s="5">
        <f>IF(A364="","",N(INDEX(Projects[Controls Purchase],363)))</f>
        <v/>
      </c>
      <c r="BV364" s="5">
        <f>IF(A364="","",N(INDEX(Projects[Software Eng],363)))</f>
        <v/>
      </c>
      <c r="BW364" s="5">
        <f>IF(A364="","",N(INDEX(Projects[Misc],363)))</f>
        <v/>
      </c>
      <c r="BX364" s="5">
        <f>IF(A364="","",SUM(BJ364:BW364))</f>
        <v/>
      </c>
      <c r="BY364" s="5">
        <f>IF(A364="","",IFERROR(IF(ISNUMBER(U364),U364,VALUE(SUBSTITUTE(SUBSTITUTE(SUBSTITUTE(UPPER(TRIM(U364)),"M",""),",","")," ",""))),0))</f>
        <v/>
      </c>
      <c r="BZ364" s="5">
        <f>INDEX(Projects[Solution Type],363)&amp;""</f>
        <v/>
      </c>
      <c r="CA364" s="5">
        <f>INDEX(Projects[Client / Region],363)&amp;""</f>
        <v/>
      </c>
      <c r="CB364" s="5">
        <f>INDEX(Projects[Year],363)</f>
        <v/>
      </c>
      <c r="CC364" s="5">
        <f>INDEX(Projects[Won?],363)&amp;""</f>
        <v/>
      </c>
      <c r="CD364" s="5">
        <f>INDEX(Projects[Value (USD M)],363)</f>
        <v/>
      </c>
    </row>
    <row r="365" ht="15" customHeight="1" s="74">
      <c r="A365" s="66">
        <f>INDEX(Projects[Project ID *],364)&amp;""</f>
        <v/>
      </c>
      <c r="B365" s="66">
        <f>INDEX(Projects[Project Name *],364)&amp;""</f>
        <v/>
      </c>
      <c r="C365" s="66">
        <f>INDEX(Projects[MS Shuttles],364)</f>
        <v/>
      </c>
      <c r="D365" s="66">
        <f>INDEX(Projects[MS Tote Locations],364)</f>
        <v/>
      </c>
      <c r="E365" s="66">
        <f>INDEX(Projects[AS Robots],364)</f>
        <v/>
      </c>
      <c r="F365" s="66">
        <f>INDEX(Projects[AS Tote Locations],364)</f>
        <v/>
      </c>
      <c r="G365" s="66">
        <f>INDEX(Projects[PS Shuttles],364)</f>
        <v/>
      </c>
      <c r="H365" s="66">
        <f>INDEX(Projects[PS Pallet Locations],364)</f>
        <v/>
      </c>
      <c r="I365" s="66">
        <f>INDEX(Projects[SRM Cranes],364)</f>
        <v/>
      </c>
      <c r="J365" s="66">
        <f>INDEX(Projects[SRM Pallet Locations],364)</f>
        <v/>
      </c>
      <c r="K365" s="66">
        <f>INDEX(Projects[Case Conv (m)],364)</f>
        <v/>
      </c>
      <c r="L365" s="66">
        <f>INDEX(Projects[Pallet Conv (m)],364)</f>
        <v/>
      </c>
      <c r="M365" s="66">
        <f>INDEX(Projects[Mech Eng (wks)],364)</f>
        <v/>
      </c>
      <c r="N365" s="66">
        <f>INDEX(Projects[Controls Eng (wks)],364)</f>
        <v/>
      </c>
      <c r="O365" s="66">
        <f>INDEX(Projects[Systems Eng (wks)],364)</f>
        <v/>
      </c>
      <c r="P365" s="66">
        <f>INDEX(Projects[Software Eng (wks)],364)</f>
        <v/>
      </c>
      <c r="Q365" s="66">
        <f>INDEX(Projects[M&amp;E Installation (wks)],364)</f>
        <v/>
      </c>
      <c r="R365" s="66">
        <f>INDEX(Projects[Commissioning (wks)],364)</f>
        <v/>
      </c>
      <c r="S365" s="66">
        <f>INDEX(Projects[Total Timeline (wks)],364)</f>
        <v/>
      </c>
      <c r="T365" s="66">
        <f>INDEX(Projects[Currency],364)&amp;""</f>
        <v/>
      </c>
      <c r="U365" s="67">
        <f>INDEX(Projects[Value (M)],364)</f>
        <v/>
      </c>
      <c r="V365" s="66">
        <f>IF('Smart Search'!B13=1,IFERROR(1/'Smart Search'!H13,0),0)</f>
        <v/>
      </c>
      <c r="W365" s="66">
        <f>IF('Smart Search'!B13=1,IFERROR(1/'Smart Search'!H13,0),0)</f>
        <v/>
      </c>
      <c r="X365" s="66">
        <f>IF('Smart Search'!C13=1,IFERROR(1/'Smart Search'!H13,0),0)</f>
        <v/>
      </c>
      <c r="Y365" s="66">
        <f>IF('Smart Search'!C13=1,IFERROR(1/'Smart Search'!H13,0),0)</f>
        <v/>
      </c>
      <c r="Z365" s="66">
        <f>IF('Smart Search'!D13=1,IFERROR(1/'Smart Search'!H13,0),0)</f>
        <v/>
      </c>
      <c r="AA365" s="66">
        <f>IF('Smart Search'!D13=1,IFERROR(1/'Smart Search'!H13,0),0)</f>
        <v/>
      </c>
      <c r="AB365" s="66">
        <f>IF('Smart Search'!E13=1,IFERROR(1/'Smart Search'!H13,0),0)</f>
        <v/>
      </c>
      <c r="AC365" s="66">
        <f>IF('Smart Search'!E13=1,IFERROR(1/'Smart Search'!H13,0),0)</f>
        <v/>
      </c>
      <c r="AD365" s="66">
        <f>IF('Smart Search'!F13=1,IFERROR(1/'Smart Search'!H13,0),0)</f>
        <v/>
      </c>
      <c r="AE365" s="66">
        <f>IF('Smart Search'!F13=1,IFERROR(1/'Smart Search'!H13,0),0)</f>
        <v/>
      </c>
      <c r="AF365" s="66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66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66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66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66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66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66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66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66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66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66">
        <f>AF365*V365</f>
        <v/>
      </c>
      <c r="AQ365" s="66">
        <f>AG365*W365</f>
        <v/>
      </c>
      <c r="AR365" s="66">
        <f>AH365*X365</f>
        <v/>
      </c>
      <c r="AS365" s="66">
        <f>AI365*Y365</f>
        <v/>
      </c>
      <c r="AT365" s="66">
        <f>AJ365*Z365</f>
        <v/>
      </c>
      <c r="AU365" s="66">
        <f>AK365*AA365</f>
        <v/>
      </c>
      <c r="AV365" s="66">
        <f>AL365*AB365</f>
        <v/>
      </c>
      <c r="AW365" s="66">
        <f>AM365*AC365</f>
        <v/>
      </c>
      <c r="AX365" s="66">
        <f>AN365*AD365</f>
        <v/>
      </c>
      <c r="AY365" s="66">
        <f>AO365*AE365</f>
        <v/>
      </c>
      <c r="AZ365" s="66">
        <f>INDEX(Projects[Automation Equipment],364)&amp;""</f>
        <v/>
      </c>
      <c r="BA365" s="66">
        <f>IF(OR(A365="",'Smart Search'!H13=0),"",MAX(0,BE365*BF365*MAX(0,1-BG365)))</f>
        <v/>
      </c>
      <c r="BB365" s="66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66">
        <f>IF('Smart Search'!G13=1,IFERROR(1/'Smart Search'!H13,0),0)</f>
        <v/>
      </c>
      <c r="BD365" s="66">
        <f>BB365*BC365</f>
        <v/>
      </c>
      <c r="BE365" s="66">
        <f>AP365+AQ365+AR365+AS365+AT365+AU365+AV365+AW365+AX365+AY365+BD365</f>
        <v/>
      </c>
      <c r="BF365" s="5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5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5">
        <f>IF(AND(A365&lt;&gt;"",OR('Smart Search'!$L$5="",'Smart Search'!$L$5="All",TRIM(BZ365)=TRIM('Smart Search'!$L$5)),OR(TRIM('Smart Search'!$L$6)="",TRIM('Smart Search'!$L$6)="All",ISNUMBER(SEARCH(SUBSTITUTE(SUBSTITUTE(SUBSTITUTE(TRIM('Smart Search'!$L$6),"~","~~"),"*","~*"),"?","~?"),CA365))),OR('Smart Search'!$L$7="",AND(CB365&lt;&gt;0,CB365='Smart Search'!$L$7)),OR('Smart Search'!$L$8="",'Smart Search'!$L$8="All",TRIM(CC365)=TRIM('Smart Search'!$L$8))),IF(BA365="","",BA365+ROW()*0.0000000001),"")</f>
        <v/>
      </c>
      <c r="BI365" s="5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5">
        <f>IF(A365="","",N(INDEX(Projects[Mech Inst],364)))</f>
        <v/>
      </c>
      <c r="BK365" s="5">
        <f>IF(A365="","",N(INDEX(Projects[Elec Inst],364)))</f>
        <v/>
      </c>
      <c r="BL365" s="5">
        <f>IF(A365="","",N(INDEX(Projects[Project Management],364)))</f>
        <v/>
      </c>
      <c r="BM365" s="5">
        <f>IF(A365="","",N(INDEX(Projects[Systems Eng],364)))</f>
        <v/>
      </c>
      <c r="BN365" s="5">
        <f>IF(A365="","",N(INDEX(Projects[Mechanical Eng],364)))</f>
        <v/>
      </c>
      <c r="BO365" s="5">
        <f>IF(A365="","",N(INDEX(Projects[Structural Engineering],364)))</f>
        <v/>
      </c>
      <c r="BP365" s="5">
        <f>IF(A365="","",N(INDEX(Projects[Site Sup],364)))</f>
        <v/>
      </c>
      <c r="BQ365" s="5">
        <f>IF(A365="","",N(INDEX(Projects[Controls Commissioning],364)))</f>
        <v/>
      </c>
      <c r="BR365" s="5">
        <f>IF(A365="","",N(INDEX(Projects[Systems Commissioning],364)))</f>
        <v/>
      </c>
      <c r="BS365" s="5">
        <f>IF(A365="","",N(INDEX(Projects[Service Commissioning],364)))</f>
        <v/>
      </c>
      <c r="BT365" s="5">
        <f>IF(A365="","",N(INDEX(Projects[Controls Eng],364)))</f>
        <v/>
      </c>
      <c r="BU365" s="5">
        <f>IF(A365="","",N(INDEX(Projects[Controls Purchase],364)))</f>
        <v/>
      </c>
      <c r="BV365" s="5">
        <f>IF(A365="","",N(INDEX(Projects[Software Eng],364)))</f>
        <v/>
      </c>
      <c r="BW365" s="5">
        <f>IF(A365="","",N(INDEX(Projects[Misc],364)))</f>
        <v/>
      </c>
      <c r="BX365" s="5">
        <f>IF(A365="","",SUM(BJ365:BW365))</f>
        <v/>
      </c>
      <c r="BY365" s="5">
        <f>IF(A365="","",IFERROR(IF(ISNUMBER(U365),U365,VALUE(SUBSTITUTE(SUBSTITUTE(SUBSTITUTE(UPPER(TRIM(U365)),"M",""),",","")," ",""))),0))</f>
        <v/>
      </c>
      <c r="BZ365" s="5">
        <f>INDEX(Projects[Solution Type],364)&amp;""</f>
        <v/>
      </c>
      <c r="CA365" s="5">
        <f>INDEX(Projects[Client / Region],364)&amp;""</f>
        <v/>
      </c>
      <c r="CB365" s="5">
        <f>INDEX(Projects[Year],364)</f>
        <v/>
      </c>
      <c r="CC365" s="5">
        <f>INDEX(Projects[Won?],364)&amp;""</f>
        <v/>
      </c>
      <c r="CD365" s="5">
        <f>INDEX(Projects[Value (USD M)],364)</f>
        <v/>
      </c>
    </row>
    <row r="366" ht="15" customHeight="1" s="74">
      <c r="A366" s="66">
        <f>INDEX(Projects[Project ID *],365)&amp;""</f>
        <v/>
      </c>
      <c r="B366" s="66">
        <f>INDEX(Projects[Project Name *],365)&amp;""</f>
        <v/>
      </c>
      <c r="C366" s="66">
        <f>INDEX(Projects[MS Shuttles],365)</f>
        <v/>
      </c>
      <c r="D366" s="66">
        <f>INDEX(Projects[MS Tote Locations],365)</f>
        <v/>
      </c>
      <c r="E366" s="66">
        <f>INDEX(Projects[AS Robots],365)</f>
        <v/>
      </c>
      <c r="F366" s="66">
        <f>INDEX(Projects[AS Tote Locations],365)</f>
        <v/>
      </c>
      <c r="G366" s="66">
        <f>INDEX(Projects[PS Shuttles],365)</f>
        <v/>
      </c>
      <c r="H366" s="66">
        <f>INDEX(Projects[PS Pallet Locations],365)</f>
        <v/>
      </c>
      <c r="I366" s="66">
        <f>INDEX(Projects[SRM Cranes],365)</f>
        <v/>
      </c>
      <c r="J366" s="66">
        <f>INDEX(Projects[SRM Pallet Locations],365)</f>
        <v/>
      </c>
      <c r="K366" s="66">
        <f>INDEX(Projects[Case Conv (m)],365)</f>
        <v/>
      </c>
      <c r="L366" s="66">
        <f>INDEX(Projects[Pallet Conv (m)],365)</f>
        <v/>
      </c>
      <c r="M366" s="66">
        <f>INDEX(Projects[Mech Eng (wks)],365)</f>
        <v/>
      </c>
      <c r="N366" s="66">
        <f>INDEX(Projects[Controls Eng (wks)],365)</f>
        <v/>
      </c>
      <c r="O366" s="66">
        <f>INDEX(Projects[Systems Eng (wks)],365)</f>
        <v/>
      </c>
      <c r="P366" s="66">
        <f>INDEX(Projects[Software Eng (wks)],365)</f>
        <v/>
      </c>
      <c r="Q366" s="66">
        <f>INDEX(Projects[M&amp;E Installation (wks)],365)</f>
        <v/>
      </c>
      <c r="R366" s="66">
        <f>INDEX(Projects[Commissioning (wks)],365)</f>
        <v/>
      </c>
      <c r="S366" s="66">
        <f>INDEX(Projects[Total Timeline (wks)],365)</f>
        <v/>
      </c>
      <c r="T366" s="66">
        <f>INDEX(Projects[Currency],365)&amp;""</f>
        <v/>
      </c>
      <c r="U366" s="67">
        <f>INDEX(Projects[Value (M)],365)</f>
        <v/>
      </c>
      <c r="V366" s="66">
        <f>IF('Smart Search'!B13=1,IFERROR(1/'Smart Search'!H13,0),0)</f>
        <v/>
      </c>
      <c r="W366" s="66">
        <f>IF('Smart Search'!B13=1,IFERROR(1/'Smart Search'!H13,0),0)</f>
        <v/>
      </c>
      <c r="X366" s="66">
        <f>IF('Smart Search'!C13=1,IFERROR(1/'Smart Search'!H13,0),0)</f>
        <v/>
      </c>
      <c r="Y366" s="66">
        <f>IF('Smart Search'!C13=1,IFERROR(1/'Smart Search'!H13,0),0)</f>
        <v/>
      </c>
      <c r="Z366" s="66">
        <f>IF('Smart Search'!D13=1,IFERROR(1/'Smart Search'!H13,0),0)</f>
        <v/>
      </c>
      <c r="AA366" s="66">
        <f>IF('Smart Search'!D13=1,IFERROR(1/'Smart Search'!H13,0),0)</f>
        <v/>
      </c>
      <c r="AB366" s="66">
        <f>IF('Smart Search'!E13=1,IFERROR(1/'Smart Search'!H13,0),0)</f>
        <v/>
      </c>
      <c r="AC366" s="66">
        <f>IF('Smart Search'!E13=1,IFERROR(1/'Smart Search'!H13,0),0)</f>
        <v/>
      </c>
      <c r="AD366" s="66">
        <f>IF('Smart Search'!F13=1,IFERROR(1/'Smart Search'!H13,0),0)</f>
        <v/>
      </c>
      <c r="AE366" s="66">
        <f>IF('Smart Search'!F13=1,IFERROR(1/'Smart Search'!H13,0),0)</f>
        <v/>
      </c>
      <c r="AF366" s="66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66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66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66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66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66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66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66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66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66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66">
        <f>AF366*V366</f>
        <v/>
      </c>
      <c r="AQ366" s="66">
        <f>AG366*W366</f>
        <v/>
      </c>
      <c r="AR366" s="66">
        <f>AH366*X366</f>
        <v/>
      </c>
      <c r="AS366" s="66">
        <f>AI366*Y366</f>
        <v/>
      </c>
      <c r="AT366" s="66">
        <f>AJ366*Z366</f>
        <v/>
      </c>
      <c r="AU366" s="66">
        <f>AK366*AA366</f>
        <v/>
      </c>
      <c r="AV366" s="66">
        <f>AL366*AB366</f>
        <v/>
      </c>
      <c r="AW366" s="66">
        <f>AM366*AC366</f>
        <v/>
      </c>
      <c r="AX366" s="66">
        <f>AN366*AD366</f>
        <v/>
      </c>
      <c r="AY366" s="66">
        <f>AO366*AE366</f>
        <v/>
      </c>
      <c r="AZ366" s="66">
        <f>INDEX(Projects[Automation Equipment],365)&amp;""</f>
        <v/>
      </c>
      <c r="BA366" s="66">
        <f>IF(OR(A366="",'Smart Search'!H13=0),"",MAX(0,BE366*BF366*MAX(0,1-BG366)))</f>
        <v/>
      </c>
      <c r="BB366" s="66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66">
        <f>IF('Smart Search'!G13=1,IFERROR(1/'Smart Search'!H13,0),0)</f>
        <v/>
      </c>
      <c r="BD366" s="66">
        <f>BB366*BC366</f>
        <v/>
      </c>
      <c r="BE366" s="66">
        <f>AP366+AQ366+AR366+AS366+AT366+AU366+AV366+AW366+AX366+AY366+BD366</f>
        <v/>
      </c>
      <c r="BF366" s="5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5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5">
        <f>IF(AND(A366&lt;&gt;"",OR('Smart Search'!$L$5="",'Smart Search'!$L$5="All",TRIM(BZ366)=TRIM('Smart Search'!$L$5)),OR(TRIM('Smart Search'!$L$6)="",TRIM('Smart Search'!$L$6)="All",ISNUMBER(SEARCH(SUBSTITUTE(SUBSTITUTE(SUBSTITUTE(TRIM('Smart Search'!$L$6),"~","~~"),"*","~*"),"?","~?"),CA366))),OR('Smart Search'!$L$7="",AND(CB366&lt;&gt;0,CB366='Smart Search'!$L$7)),OR('Smart Search'!$L$8="",'Smart Search'!$L$8="All",TRIM(CC366)=TRIM('Smart Search'!$L$8))),IF(BA366="","",BA366+ROW()*0.0000000001),"")</f>
        <v/>
      </c>
      <c r="BI366" s="5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5">
        <f>IF(A366="","",N(INDEX(Projects[Mech Inst],365)))</f>
        <v/>
      </c>
      <c r="BK366" s="5">
        <f>IF(A366="","",N(INDEX(Projects[Elec Inst],365)))</f>
        <v/>
      </c>
      <c r="BL366" s="5">
        <f>IF(A366="","",N(INDEX(Projects[Project Management],365)))</f>
        <v/>
      </c>
      <c r="BM366" s="5">
        <f>IF(A366="","",N(INDEX(Projects[Systems Eng],365)))</f>
        <v/>
      </c>
      <c r="BN366" s="5">
        <f>IF(A366="","",N(INDEX(Projects[Mechanical Eng],365)))</f>
        <v/>
      </c>
      <c r="BO366" s="5">
        <f>IF(A366="","",N(INDEX(Projects[Structural Engineering],365)))</f>
        <v/>
      </c>
      <c r="BP366" s="5">
        <f>IF(A366="","",N(INDEX(Projects[Site Sup],365)))</f>
        <v/>
      </c>
      <c r="BQ366" s="5">
        <f>IF(A366="","",N(INDEX(Projects[Controls Commissioning],365)))</f>
        <v/>
      </c>
      <c r="BR366" s="5">
        <f>IF(A366="","",N(INDEX(Projects[Systems Commissioning],365)))</f>
        <v/>
      </c>
      <c r="BS366" s="5">
        <f>IF(A366="","",N(INDEX(Projects[Service Commissioning],365)))</f>
        <v/>
      </c>
      <c r="BT366" s="5">
        <f>IF(A366="","",N(INDEX(Projects[Controls Eng],365)))</f>
        <v/>
      </c>
      <c r="BU366" s="5">
        <f>IF(A366="","",N(INDEX(Projects[Controls Purchase],365)))</f>
        <v/>
      </c>
      <c r="BV366" s="5">
        <f>IF(A366="","",N(INDEX(Projects[Software Eng],365)))</f>
        <v/>
      </c>
      <c r="BW366" s="5">
        <f>IF(A366="","",N(INDEX(Projects[Misc],365)))</f>
        <v/>
      </c>
      <c r="BX366" s="5">
        <f>IF(A366="","",SUM(BJ366:BW366))</f>
        <v/>
      </c>
      <c r="BY366" s="5">
        <f>IF(A366="","",IFERROR(IF(ISNUMBER(U366),U366,VALUE(SUBSTITUTE(SUBSTITUTE(SUBSTITUTE(UPPER(TRIM(U366)),"M",""),",","")," ",""))),0))</f>
        <v/>
      </c>
      <c r="BZ366" s="5">
        <f>INDEX(Projects[Solution Type],365)&amp;""</f>
        <v/>
      </c>
      <c r="CA366" s="5">
        <f>INDEX(Projects[Client / Region],365)&amp;""</f>
        <v/>
      </c>
      <c r="CB366" s="5">
        <f>INDEX(Projects[Year],365)</f>
        <v/>
      </c>
      <c r="CC366" s="5">
        <f>INDEX(Projects[Won?],365)&amp;""</f>
        <v/>
      </c>
      <c r="CD366" s="5">
        <f>INDEX(Projects[Value (USD M)],365)</f>
        <v/>
      </c>
    </row>
    <row r="367" ht="15" customHeight="1" s="74">
      <c r="A367" s="66">
        <f>INDEX(Projects[Project ID *],366)&amp;""</f>
        <v/>
      </c>
      <c r="B367" s="66">
        <f>INDEX(Projects[Project Name *],366)&amp;""</f>
        <v/>
      </c>
      <c r="C367" s="66">
        <f>INDEX(Projects[MS Shuttles],366)</f>
        <v/>
      </c>
      <c r="D367" s="66">
        <f>INDEX(Projects[MS Tote Locations],366)</f>
        <v/>
      </c>
      <c r="E367" s="66">
        <f>INDEX(Projects[AS Robots],366)</f>
        <v/>
      </c>
      <c r="F367" s="66">
        <f>INDEX(Projects[AS Tote Locations],366)</f>
        <v/>
      </c>
      <c r="G367" s="66">
        <f>INDEX(Projects[PS Shuttles],366)</f>
        <v/>
      </c>
      <c r="H367" s="66">
        <f>INDEX(Projects[PS Pallet Locations],366)</f>
        <v/>
      </c>
      <c r="I367" s="66">
        <f>INDEX(Projects[SRM Cranes],366)</f>
        <v/>
      </c>
      <c r="J367" s="66">
        <f>INDEX(Projects[SRM Pallet Locations],366)</f>
        <v/>
      </c>
      <c r="K367" s="66">
        <f>INDEX(Projects[Case Conv (m)],366)</f>
        <v/>
      </c>
      <c r="L367" s="66">
        <f>INDEX(Projects[Pallet Conv (m)],366)</f>
        <v/>
      </c>
      <c r="M367" s="66">
        <f>INDEX(Projects[Mech Eng (wks)],366)</f>
        <v/>
      </c>
      <c r="N367" s="66">
        <f>INDEX(Projects[Controls Eng (wks)],366)</f>
        <v/>
      </c>
      <c r="O367" s="66">
        <f>INDEX(Projects[Systems Eng (wks)],366)</f>
        <v/>
      </c>
      <c r="P367" s="66">
        <f>INDEX(Projects[Software Eng (wks)],366)</f>
        <v/>
      </c>
      <c r="Q367" s="66">
        <f>INDEX(Projects[M&amp;E Installation (wks)],366)</f>
        <v/>
      </c>
      <c r="R367" s="66">
        <f>INDEX(Projects[Commissioning (wks)],366)</f>
        <v/>
      </c>
      <c r="S367" s="66">
        <f>INDEX(Projects[Total Timeline (wks)],366)</f>
        <v/>
      </c>
      <c r="T367" s="66">
        <f>INDEX(Projects[Currency],366)&amp;""</f>
        <v/>
      </c>
      <c r="U367" s="67">
        <f>INDEX(Projects[Value (M)],366)</f>
        <v/>
      </c>
      <c r="V367" s="66">
        <f>IF('Smart Search'!B13=1,IFERROR(1/'Smart Search'!H13,0),0)</f>
        <v/>
      </c>
      <c r="W367" s="66">
        <f>IF('Smart Search'!B13=1,IFERROR(1/'Smart Search'!H13,0),0)</f>
        <v/>
      </c>
      <c r="X367" s="66">
        <f>IF('Smart Search'!C13=1,IFERROR(1/'Smart Search'!H13,0),0)</f>
        <v/>
      </c>
      <c r="Y367" s="66">
        <f>IF('Smart Search'!C13=1,IFERROR(1/'Smart Search'!H13,0),0)</f>
        <v/>
      </c>
      <c r="Z367" s="66">
        <f>IF('Smart Search'!D13=1,IFERROR(1/'Smart Search'!H13,0),0)</f>
        <v/>
      </c>
      <c r="AA367" s="66">
        <f>IF('Smart Search'!D13=1,IFERROR(1/'Smart Search'!H13,0),0)</f>
        <v/>
      </c>
      <c r="AB367" s="66">
        <f>IF('Smart Search'!E13=1,IFERROR(1/'Smart Search'!H13,0),0)</f>
        <v/>
      </c>
      <c r="AC367" s="66">
        <f>IF('Smart Search'!E13=1,IFERROR(1/'Smart Search'!H13,0),0)</f>
        <v/>
      </c>
      <c r="AD367" s="66">
        <f>IF('Smart Search'!F13=1,IFERROR(1/'Smart Search'!H13,0),0)</f>
        <v/>
      </c>
      <c r="AE367" s="66">
        <f>IF('Smart Search'!F13=1,IFERROR(1/'Smart Search'!H13,0),0)</f>
        <v/>
      </c>
      <c r="AF367" s="66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66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66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66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66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66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66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66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66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66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66">
        <f>AF367*V367</f>
        <v/>
      </c>
      <c r="AQ367" s="66">
        <f>AG367*W367</f>
        <v/>
      </c>
      <c r="AR367" s="66">
        <f>AH367*X367</f>
        <v/>
      </c>
      <c r="AS367" s="66">
        <f>AI367*Y367</f>
        <v/>
      </c>
      <c r="AT367" s="66">
        <f>AJ367*Z367</f>
        <v/>
      </c>
      <c r="AU367" s="66">
        <f>AK367*AA367</f>
        <v/>
      </c>
      <c r="AV367" s="66">
        <f>AL367*AB367</f>
        <v/>
      </c>
      <c r="AW367" s="66">
        <f>AM367*AC367</f>
        <v/>
      </c>
      <c r="AX367" s="66">
        <f>AN367*AD367</f>
        <v/>
      </c>
      <c r="AY367" s="66">
        <f>AO367*AE367</f>
        <v/>
      </c>
      <c r="AZ367" s="66">
        <f>INDEX(Projects[Automation Equipment],366)&amp;""</f>
        <v/>
      </c>
      <c r="BA367" s="66">
        <f>IF(OR(A367="",'Smart Search'!H13=0),"",MAX(0,BE367*BF367*MAX(0,1-BG367)))</f>
        <v/>
      </c>
      <c r="BB367" s="66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66">
        <f>IF('Smart Search'!G13=1,IFERROR(1/'Smart Search'!H13,0),0)</f>
        <v/>
      </c>
      <c r="BD367" s="66">
        <f>BB367*BC367</f>
        <v/>
      </c>
      <c r="BE367" s="66">
        <f>AP367+AQ367+AR367+AS367+AT367+AU367+AV367+AW367+AX367+AY367+BD367</f>
        <v/>
      </c>
      <c r="BF367" s="5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5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5">
        <f>IF(AND(A367&lt;&gt;"",OR('Smart Search'!$L$5="",'Smart Search'!$L$5="All",TRIM(BZ367)=TRIM('Smart Search'!$L$5)),OR(TRIM('Smart Search'!$L$6)="",TRIM('Smart Search'!$L$6)="All",ISNUMBER(SEARCH(SUBSTITUTE(SUBSTITUTE(SUBSTITUTE(TRIM('Smart Search'!$L$6),"~","~~"),"*","~*"),"?","~?"),CA367))),OR('Smart Search'!$L$7="",AND(CB367&lt;&gt;0,CB367='Smart Search'!$L$7)),OR('Smart Search'!$L$8="",'Smart Search'!$L$8="All",TRIM(CC367)=TRIM('Smart Search'!$L$8))),IF(BA367="","",BA367+ROW()*0.0000000001),"")</f>
        <v/>
      </c>
      <c r="BI367" s="5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5">
        <f>IF(A367="","",N(INDEX(Projects[Mech Inst],366)))</f>
        <v/>
      </c>
      <c r="BK367" s="5">
        <f>IF(A367="","",N(INDEX(Projects[Elec Inst],366)))</f>
        <v/>
      </c>
      <c r="BL367" s="5">
        <f>IF(A367="","",N(INDEX(Projects[Project Management],366)))</f>
        <v/>
      </c>
      <c r="BM367" s="5">
        <f>IF(A367="","",N(INDEX(Projects[Systems Eng],366)))</f>
        <v/>
      </c>
      <c r="BN367" s="5">
        <f>IF(A367="","",N(INDEX(Projects[Mechanical Eng],366)))</f>
        <v/>
      </c>
      <c r="BO367" s="5">
        <f>IF(A367="","",N(INDEX(Projects[Structural Engineering],366)))</f>
        <v/>
      </c>
      <c r="BP367" s="5">
        <f>IF(A367="","",N(INDEX(Projects[Site Sup],366)))</f>
        <v/>
      </c>
      <c r="BQ367" s="5">
        <f>IF(A367="","",N(INDEX(Projects[Controls Commissioning],366)))</f>
        <v/>
      </c>
      <c r="BR367" s="5">
        <f>IF(A367="","",N(INDEX(Projects[Systems Commissioning],366)))</f>
        <v/>
      </c>
      <c r="BS367" s="5">
        <f>IF(A367="","",N(INDEX(Projects[Service Commissioning],366)))</f>
        <v/>
      </c>
      <c r="BT367" s="5">
        <f>IF(A367="","",N(INDEX(Projects[Controls Eng],366)))</f>
        <v/>
      </c>
      <c r="BU367" s="5">
        <f>IF(A367="","",N(INDEX(Projects[Controls Purchase],366)))</f>
        <v/>
      </c>
      <c r="BV367" s="5">
        <f>IF(A367="","",N(INDEX(Projects[Software Eng],366)))</f>
        <v/>
      </c>
      <c r="BW367" s="5">
        <f>IF(A367="","",N(INDEX(Projects[Misc],366)))</f>
        <v/>
      </c>
      <c r="BX367" s="5">
        <f>IF(A367="","",SUM(BJ367:BW367))</f>
        <v/>
      </c>
      <c r="BY367" s="5">
        <f>IF(A367="","",IFERROR(IF(ISNUMBER(U367),U367,VALUE(SUBSTITUTE(SUBSTITUTE(SUBSTITUTE(UPPER(TRIM(U367)),"M",""),",","")," ",""))),0))</f>
        <v/>
      </c>
      <c r="BZ367" s="5">
        <f>INDEX(Projects[Solution Type],366)&amp;""</f>
        <v/>
      </c>
      <c r="CA367" s="5">
        <f>INDEX(Projects[Client / Region],366)&amp;""</f>
        <v/>
      </c>
      <c r="CB367" s="5">
        <f>INDEX(Projects[Year],366)</f>
        <v/>
      </c>
      <c r="CC367" s="5">
        <f>INDEX(Projects[Won?],366)&amp;""</f>
        <v/>
      </c>
      <c r="CD367" s="5">
        <f>INDEX(Projects[Value (USD M)],366)</f>
        <v/>
      </c>
    </row>
    <row r="368" ht="15" customHeight="1" s="74">
      <c r="A368" s="66">
        <f>INDEX(Projects[Project ID *],367)&amp;""</f>
        <v/>
      </c>
      <c r="B368" s="66">
        <f>INDEX(Projects[Project Name *],367)&amp;""</f>
        <v/>
      </c>
      <c r="C368" s="66">
        <f>INDEX(Projects[MS Shuttles],367)</f>
        <v/>
      </c>
      <c r="D368" s="66">
        <f>INDEX(Projects[MS Tote Locations],367)</f>
        <v/>
      </c>
      <c r="E368" s="66">
        <f>INDEX(Projects[AS Robots],367)</f>
        <v/>
      </c>
      <c r="F368" s="66">
        <f>INDEX(Projects[AS Tote Locations],367)</f>
        <v/>
      </c>
      <c r="G368" s="66">
        <f>INDEX(Projects[PS Shuttles],367)</f>
        <v/>
      </c>
      <c r="H368" s="66">
        <f>INDEX(Projects[PS Pallet Locations],367)</f>
        <v/>
      </c>
      <c r="I368" s="66">
        <f>INDEX(Projects[SRM Cranes],367)</f>
        <v/>
      </c>
      <c r="J368" s="66">
        <f>INDEX(Projects[SRM Pallet Locations],367)</f>
        <v/>
      </c>
      <c r="K368" s="66">
        <f>INDEX(Projects[Case Conv (m)],367)</f>
        <v/>
      </c>
      <c r="L368" s="66">
        <f>INDEX(Projects[Pallet Conv (m)],367)</f>
        <v/>
      </c>
      <c r="M368" s="66">
        <f>INDEX(Projects[Mech Eng (wks)],367)</f>
        <v/>
      </c>
      <c r="N368" s="66">
        <f>INDEX(Projects[Controls Eng (wks)],367)</f>
        <v/>
      </c>
      <c r="O368" s="66">
        <f>INDEX(Projects[Systems Eng (wks)],367)</f>
        <v/>
      </c>
      <c r="P368" s="66">
        <f>INDEX(Projects[Software Eng (wks)],367)</f>
        <v/>
      </c>
      <c r="Q368" s="66">
        <f>INDEX(Projects[M&amp;E Installation (wks)],367)</f>
        <v/>
      </c>
      <c r="R368" s="66">
        <f>INDEX(Projects[Commissioning (wks)],367)</f>
        <v/>
      </c>
      <c r="S368" s="66">
        <f>INDEX(Projects[Total Timeline (wks)],367)</f>
        <v/>
      </c>
      <c r="T368" s="66">
        <f>INDEX(Projects[Currency],367)&amp;""</f>
        <v/>
      </c>
      <c r="U368" s="67">
        <f>INDEX(Projects[Value (M)],367)</f>
        <v/>
      </c>
      <c r="V368" s="66">
        <f>IF('Smart Search'!B13=1,IFERROR(1/'Smart Search'!H13,0),0)</f>
        <v/>
      </c>
      <c r="W368" s="66">
        <f>IF('Smart Search'!B13=1,IFERROR(1/'Smart Search'!H13,0),0)</f>
        <v/>
      </c>
      <c r="X368" s="66">
        <f>IF('Smart Search'!C13=1,IFERROR(1/'Smart Search'!H13,0),0)</f>
        <v/>
      </c>
      <c r="Y368" s="66">
        <f>IF('Smart Search'!C13=1,IFERROR(1/'Smart Search'!H13,0),0)</f>
        <v/>
      </c>
      <c r="Z368" s="66">
        <f>IF('Smart Search'!D13=1,IFERROR(1/'Smart Search'!H13,0),0)</f>
        <v/>
      </c>
      <c r="AA368" s="66">
        <f>IF('Smart Search'!D13=1,IFERROR(1/'Smart Search'!H13,0),0)</f>
        <v/>
      </c>
      <c r="AB368" s="66">
        <f>IF('Smart Search'!E13=1,IFERROR(1/'Smart Search'!H13,0),0)</f>
        <v/>
      </c>
      <c r="AC368" s="66">
        <f>IF('Smart Search'!E13=1,IFERROR(1/'Smart Search'!H13,0),0)</f>
        <v/>
      </c>
      <c r="AD368" s="66">
        <f>IF('Smart Search'!F13=1,IFERROR(1/'Smart Search'!H13,0),0)</f>
        <v/>
      </c>
      <c r="AE368" s="66">
        <f>IF('Smart Search'!F13=1,IFERROR(1/'Smart Search'!H13,0),0)</f>
        <v/>
      </c>
      <c r="AF368" s="66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66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66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66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66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66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66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66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66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66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66">
        <f>AF368*V368</f>
        <v/>
      </c>
      <c r="AQ368" s="66">
        <f>AG368*W368</f>
        <v/>
      </c>
      <c r="AR368" s="66">
        <f>AH368*X368</f>
        <v/>
      </c>
      <c r="AS368" s="66">
        <f>AI368*Y368</f>
        <v/>
      </c>
      <c r="AT368" s="66">
        <f>AJ368*Z368</f>
        <v/>
      </c>
      <c r="AU368" s="66">
        <f>AK368*AA368</f>
        <v/>
      </c>
      <c r="AV368" s="66">
        <f>AL368*AB368</f>
        <v/>
      </c>
      <c r="AW368" s="66">
        <f>AM368*AC368</f>
        <v/>
      </c>
      <c r="AX368" s="66">
        <f>AN368*AD368</f>
        <v/>
      </c>
      <c r="AY368" s="66">
        <f>AO368*AE368</f>
        <v/>
      </c>
      <c r="AZ368" s="66">
        <f>INDEX(Projects[Automation Equipment],367)&amp;""</f>
        <v/>
      </c>
      <c r="BA368" s="66">
        <f>IF(OR(A368="",'Smart Search'!H13=0),"",MAX(0,BE368*BF368*MAX(0,1-BG368)))</f>
        <v/>
      </c>
      <c r="BB368" s="66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66">
        <f>IF('Smart Search'!G13=1,IFERROR(1/'Smart Search'!H13,0),0)</f>
        <v/>
      </c>
      <c r="BD368" s="66">
        <f>BB368*BC368</f>
        <v/>
      </c>
      <c r="BE368" s="66">
        <f>AP368+AQ368+AR368+AS368+AT368+AU368+AV368+AW368+AX368+AY368+BD368</f>
        <v/>
      </c>
      <c r="BF368" s="5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5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5">
        <f>IF(AND(A368&lt;&gt;"",OR('Smart Search'!$L$5="",'Smart Search'!$L$5="All",TRIM(BZ368)=TRIM('Smart Search'!$L$5)),OR(TRIM('Smart Search'!$L$6)="",TRIM('Smart Search'!$L$6)="All",ISNUMBER(SEARCH(SUBSTITUTE(SUBSTITUTE(SUBSTITUTE(TRIM('Smart Search'!$L$6),"~","~~"),"*","~*"),"?","~?"),CA368))),OR('Smart Search'!$L$7="",AND(CB368&lt;&gt;0,CB368='Smart Search'!$L$7)),OR('Smart Search'!$L$8="",'Smart Search'!$L$8="All",TRIM(CC368)=TRIM('Smart Search'!$L$8))),IF(BA368="","",BA368+ROW()*0.0000000001),"")</f>
        <v/>
      </c>
      <c r="BI368" s="5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5">
        <f>IF(A368="","",N(INDEX(Projects[Mech Inst],367)))</f>
        <v/>
      </c>
      <c r="BK368" s="5">
        <f>IF(A368="","",N(INDEX(Projects[Elec Inst],367)))</f>
        <v/>
      </c>
      <c r="BL368" s="5">
        <f>IF(A368="","",N(INDEX(Projects[Project Management],367)))</f>
        <v/>
      </c>
      <c r="BM368" s="5">
        <f>IF(A368="","",N(INDEX(Projects[Systems Eng],367)))</f>
        <v/>
      </c>
      <c r="BN368" s="5">
        <f>IF(A368="","",N(INDEX(Projects[Mechanical Eng],367)))</f>
        <v/>
      </c>
      <c r="BO368" s="5">
        <f>IF(A368="","",N(INDEX(Projects[Structural Engineering],367)))</f>
        <v/>
      </c>
      <c r="BP368" s="5">
        <f>IF(A368="","",N(INDEX(Projects[Site Sup],367)))</f>
        <v/>
      </c>
      <c r="BQ368" s="5">
        <f>IF(A368="","",N(INDEX(Projects[Controls Commissioning],367)))</f>
        <v/>
      </c>
      <c r="BR368" s="5">
        <f>IF(A368="","",N(INDEX(Projects[Systems Commissioning],367)))</f>
        <v/>
      </c>
      <c r="BS368" s="5">
        <f>IF(A368="","",N(INDEX(Projects[Service Commissioning],367)))</f>
        <v/>
      </c>
      <c r="BT368" s="5">
        <f>IF(A368="","",N(INDEX(Projects[Controls Eng],367)))</f>
        <v/>
      </c>
      <c r="BU368" s="5">
        <f>IF(A368="","",N(INDEX(Projects[Controls Purchase],367)))</f>
        <v/>
      </c>
      <c r="BV368" s="5">
        <f>IF(A368="","",N(INDEX(Projects[Software Eng],367)))</f>
        <v/>
      </c>
      <c r="BW368" s="5">
        <f>IF(A368="","",N(INDEX(Projects[Misc],367)))</f>
        <v/>
      </c>
      <c r="BX368" s="5">
        <f>IF(A368="","",SUM(BJ368:BW368))</f>
        <v/>
      </c>
      <c r="BY368" s="5">
        <f>IF(A368="","",IFERROR(IF(ISNUMBER(U368),U368,VALUE(SUBSTITUTE(SUBSTITUTE(SUBSTITUTE(UPPER(TRIM(U368)),"M",""),",","")," ",""))),0))</f>
        <v/>
      </c>
      <c r="BZ368" s="5">
        <f>INDEX(Projects[Solution Type],367)&amp;""</f>
        <v/>
      </c>
      <c r="CA368" s="5">
        <f>INDEX(Projects[Client / Region],367)&amp;""</f>
        <v/>
      </c>
      <c r="CB368" s="5">
        <f>INDEX(Projects[Year],367)</f>
        <v/>
      </c>
      <c r="CC368" s="5">
        <f>INDEX(Projects[Won?],367)&amp;""</f>
        <v/>
      </c>
      <c r="CD368" s="5">
        <f>INDEX(Projects[Value (USD M)],367)</f>
        <v/>
      </c>
    </row>
    <row r="369" ht="15" customHeight="1" s="74">
      <c r="A369" s="66">
        <f>INDEX(Projects[Project ID *],368)&amp;""</f>
        <v/>
      </c>
      <c r="B369" s="66">
        <f>INDEX(Projects[Project Name *],368)&amp;""</f>
        <v/>
      </c>
      <c r="C369" s="66">
        <f>INDEX(Projects[MS Shuttles],368)</f>
        <v/>
      </c>
      <c r="D369" s="66">
        <f>INDEX(Projects[MS Tote Locations],368)</f>
        <v/>
      </c>
      <c r="E369" s="66">
        <f>INDEX(Projects[AS Robots],368)</f>
        <v/>
      </c>
      <c r="F369" s="66">
        <f>INDEX(Projects[AS Tote Locations],368)</f>
        <v/>
      </c>
      <c r="G369" s="66">
        <f>INDEX(Projects[PS Shuttles],368)</f>
        <v/>
      </c>
      <c r="H369" s="66">
        <f>INDEX(Projects[PS Pallet Locations],368)</f>
        <v/>
      </c>
      <c r="I369" s="66">
        <f>INDEX(Projects[SRM Cranes],368)</f>
        <v/>
      </c>
      <c r="J369" s="66">
        <f>INDEX(Projects[SRM Pallet Locations],368)</f>
        <v/>
      </c>
      <c r="K369" s="66">
        <f>INDEX(Projects[Case Conv (m)],368)</f>
        <v/>
      </c>
      <c r="L369" s="66">
        <f>INDEX(Projects[Pallet Conv (m)],368)</f>
        <v/>
      </c>
      <c r="M369" s="66">
        <f>INDEX(Projects[Mech Eng (wks)],368)</f>
        <v/>
      </c>
      <c r="N369" s="66">
        <f>INDEX(Projects[Controls Eng (wks)],368)</f>
        <v/>
      </c>
      <c r="O369" s="66">
        <f>INDEX(Projects[Systems Eng (wks)],368)</f>
        <v/>
      </c>
      <c r="P369" s="66">
        <f>INDEX(Projects[Software Eng (wks)],368)</f>
        <v/>
      </c>
      <c r="Q369" s="66">
        <f>INDEX(Projects[M&amp;E Installation (wks)],368)</f>
        <v/>
      </c>
      <c r="R369" s="66">
        <f>INDEX(Projects[Commissioning (wks)],368)</f>
        <v/>
      </c>
      <c r="S369" s="66">
        <f>INDEX(Projects[Total Timeline (wks)],368)</f>
        <v/>
      </c>
      <c r="T369" s="66">
        <f>INDEX(Projects[Currency],368)&amp;""</f>
        <v/>
      </c>
      <c r="U369" s="67">
        <f>INDEX(Projects[Value (M)],368)</f>
        <v/>
      </c>
      <c r="V369" s="66">
        <f>IF('Smart Search'!B13=1,IFERROR(1/'Smart Search'!H13,0),0)</f>
        <v/>
      </c>
      <c r="W369" s="66">
        <f>IF('Smart Search'!B13=1,IFERROR(1/'Smart Search'!H13,0),0)</f>
        <v/>
      </c>
      <c r="X369" s="66">
        <f>IF('Smart Search'!C13=1,IFERROR(1/'Smart Search'!H13,0),0)</f>
        <v/>
      </c>
      <c r="Y369" s="66">
        <f>IF('Smart Search'!C13=1,IFERROR(1/'Smart Search'!H13,0),0)</f>
        <v/>
      </c>
      <c r="Z369" s="66">
        <f>IF('Smart Search'!D13=1,IFERROR(1/'Smart Search'!H13,0),0)</f>
        <v/>
      </c>
      <c r="AA369" s="66">
        <f>IF('Smart Search'!D13=1,IFERROR(1/'Smart Search'!H13,0),0)</f>
        <v/>
      </c>
      <c r="AB369" s="66">
        <f>IF('Smart Search'!E13=1,IFERROR(1/'Smart Search'!H13,0),0)</f>
        <v/>
      </c>
      <c r="AC369" s="66">
        <f>IF('Smart Search'!E13=1,IFERROR(1/'Smart Search'!H13,0),0)</f>
        <v/>
      </c>
      <c r="AD369" s="66">
        <f>IF('Smart Search'!F13=1,IFERROR(1/'Smart Search'!H13,0),0)</f>
        <v/>
      </c>
      <c r="AE369" s="66">
        <f>IF('Smart Search'!F13=1,IFERROR(1/'Smart Search'!H13,0),0)</f>
        <v/>
      </c>
      <c r="AF369" s="66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66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66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66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66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66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66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66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66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66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66">
        <f>AF369*V369</f>
        <v/>
      </c>
      <c r="AQ369" s="66">
        <f>AG369*W369</f>
        <v/>
      </c>
      <c r="AR369" s="66">
        <f>AH369*X369</f>
        <v/>
      </c>
      <c r="AS369" s="66">
        <f>AI369*Y369</f>
        <v/>
      </c>
      <c r="AT369" s="66">
        <f>AJ369*Z369</f>
        <v/>
      </c>
      <c r="AU369" s="66">
        <f>AK369*AA369</f>
        <v/>
      </c>
      <c r="AV369" s="66">
        <f>AL369*AB369</f>
        <v/>
      </c>
      <c r="AW369" s="66">
        <f>AM369*AC369</f>
        <v/>
      </c>
      <c r="AX369" s="66">
        <f>AN369*AD369</f>
        <v/>
      </c>
      <c r="AY369" s="66">
        <f>AO369*AE369</f>
        <v/>
      </c>
      <c r="AZ369" s="66">
        <f>INDEX(Projects[Automation Equipment],368)&amp;""</f>
        <v/>
      </c>
      <c r="BA369" s="66">
        <f>IF(OR(A369="",'Smart Search'!H13=0),"",MAX(0,BE369*BF369*MAX(0,1-BG369)))</f>
        <v/>
      </c>
      <c r="BB369" s="66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66">
        <f>IF('Smart Search'!G13=1,IFERROR(1/'Smart Search'!H13,0),0)</f>
        <v/>
      </c>
      <c r="BD369" s="66">
        <f>BB369*BC369</f>
        <v/>
      </c>
      <c r="BE369" s="66">
        <f>AP369+AQ369+AR369+AS369+AT369+AU369+AV369+AW369+AX369+AY369+BD369</f>
        <v/>
      </c>
      <c r="BF369" s="5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5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5">
        <f>IF(AND(A369&lt;&gt;"",OR('Smart Search'!$L$5="",'Smart Search'!$L$5="All",TRIM(BZ369)=TRIM('Smart Search'!$L$5)),OR(TRIM('Smart Search'!$L$6)="",TRIM('Smart Search'!$L$6)="All",ISNUMBER(SEARCH(SUBSTITUTE(SUBSTITUTE(SUBSTITUTE(TRIM('Smart Search'!$L$6),"~","~~"),"*","~*"),"?","~?"),CA369))),OR('Smart Search'!$L$7="",AND(CB369&lt;&gt;0,CB369='Smart Search'!$L$7)),OR('Smart Search'!$L$8="",'Smart Search'!$L$8="All",TRIM(CC369)=TRIM('Smart Search'!$L$8))),IF(BA369="","",BA369+ROW()*0.0000000001),"")</f>
        <v/>
      </c>
      <c r="BI369" s="5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5">
        <f>IF(A369="","",N(INDEX(Projects[Mech Inst],368)))</f>
        <v/>
      </c>
      <c r="BK369" s="5">
        <f>IF(A369="","",N(INDEX(Projects[Elec Inst],368)))</f>
        <v/>
      </c>
      <c r="BL369" s="5">
        <f>IF(A369="","",N(INDEX(Projects[Project Management],368)))</f>
        <v/>
      </c>
      <c r="BM369" s="5">
        <f>IF(A369="","",N(INDEX(Projects[Systems Eng],368)))</f>
        <v/>
      </c>
      <c r="BN369" s="5">
        <f>IF(A369="","",N(INDEX(Projects[Mechanical Eng],368)))</f>
        <v/>
      </c>
      <c r="BO369" s="5">
        <f>IF(A369="","",N(INDEX(Projects[Structural Engineering],368)))</f>
        <v/>
      </c>
      <c r="BP369" s="5">
        <f>IF(A369="","",N(INDEX(Projects[Site Sup],368)))</f>
        <v/>
      </c>
      <c r="BQ369" s="5">
        <f>IF(A369="","",N(INDEX(Projects[Controls Commissioning],368)))</f>
        <v/>
      </c>
      <c r="BR369" s="5">
        <f>IF(A369="","",N(INDEX(Projects[Systems Commissioning],368)))</f>
        <v/>
      </c>
      <c r="BS369" s="5">
        <f>IF(A369="","",N(INDEX(Projects[Service Commissioning],368)))</f>
        <v/>
      </c>
      <c r="BT369" s="5">
        <f>IF(A369="","",N(INDEX(Projects[Controls Eng],368)))</f>
        <v/>
      </c>
      <c r="BU369" s="5">
        <f>IF(A369="","",N(INDEX(Projects[Controls Purchase],368)))</f>
        <v/>
      </c>
      <c r="BV369" s="5">
        <f>IF(A369="","",N(INDEX(Projects[Software Eng],368)))</f>
        <v/>
      </c>
      <c r="BW369" s="5">
        <f>IF(A369="","",N(INDEX(Projects[Misc],368)))</f>
        <v/>
      </c>
      <c r="BX369" s="5">
        <f>IF(A369="","",SUM(BJ369:BW369))</f>
        <v/>
      </c>
      <c r="BY369" s="5">
        <f>IF(A369="","",IFERROR(IF(ISNUMBER(U369),U369,VALUE(SUBSTITUTE(SUBSTITUTE(SUBSTITUTE(UPPER(TRIM(U369)),"M",""),",","")," ",""))),0))</f>
        <v/>
      </c>
      <c r="BZ369" s="5">
        <f>INDEX(Projects[Solution Type],368)&amp;""</f>
        <v/>
      </c>
      <c r="CA369" s="5">
        <f>INDEX(Projects[Client / Region],368)&amp;""</f>
        <v/>
      </c>
      <c r="CB369" s="5">
        <f>INDEX(Projects[Year],368)</f>
        <v/>
      </c>
      <c r="CC369" s="5">
        <f>INDEX(Projects[Won?],368)&amp;""</f>
        <v/>
      </c>
      <c r="CD369" s="5">
        <f>INDEX(Projects[Value (USD M)],368)</f>
        <v/>
      </c>
    </row>
    <row r="370" ht="15" customHeight="1" s="74">
      <c r="A370" s="66">
        <f>INDEX(Projects[Project ID *],369)&amp;""</f>
        <v/>
      </c>
      <c r="B370" s="66">
        <f>INDEX(Projects[Project Name *],369)&amp;""</f>
        <v/>
      </c>
      <c r="C370" s="66">
        <f>INDEX(Projects[MS Shuttles],369)</f>
        <v/>
      </c>
      <c r="D370" s="66">
        <f>INDEX(Projects[MS Tote Locations],369)</f>
        <v/>
      </c>
      <c r="E370" s="66">
        <f>INDEX(Projects[AS Robots],369)</f>
        <v/>
      </c>
      <c r="F370" s="66">
        <f>INDEX(Projects[AS Tote Locations],369)</f>
        <v/>
      </c>
      <c r="G370" s="66">
        <f>INDEX(Projects[PS Shuttles],369)</f>
        <v/>
      </c>
      <c r="H370" s="66">
        <f>INDEX(Projects[PS Pallet Locations],369)</f>
        <v/>
      </c>
      <c r="I370" s="66">
        <f>INDEX(Projects[SRM Cranes],369)</f>
        <v/>
      </c>
      <c r="J370" s="66">
        <f>INDEX(Projects[SRM Pallet Locations],369)</f>
        <v/>
      </c>
      <c r="K370" s="66">
        <f>INDEX(Projects[Case Conv (m)],369)</f>
        <v/>
      </c>
      <c r="L370" s="66">
        <f>INDEX(Projects[Pallet Conv (m)],369)</f>
        <v/>
      </c>
      <c r="M370" s="66">
        <f>INDEX(Projects[Mech Eng (wks)],369)</f>
        <v/>
      </c>
      <c r="N370" s="66">
        <f>INDEX(Projects[Controls Eng (wks)],369)</f>
        <v/>
      </c>
      <c r="O370" s="66">
        <f>INDEX(Projects[Systems Eng (wks)],369)</f>
        <v/>
      </c>
      <c r="P370" s="66">
        <f>INDEX(Projects[Software Eng (wks)],369)</f>
        <v/>
      </c>
      <c r="Q370" s="66">
        <f>INDEX(Projects[M&amp;E Installation (wks)],369)</f>
        <v/>
      </c>
      <c r="R370" s="66">
        <f>INDEX(Projects[Commissioning (wks)],369)</f>
        <v/>
      </c>
      <c r="S370" s="66">
        <f>INDEX(Projects[Total Timeline (wks)],369)</f>
        <v/>
      </c>
      <c r="T370" s="66">
        <f>INDEX(Projects[Currency],369)&amp;""</f>
        <v/>
      </c>
      <c r="U370" s="67">
        <f>INDEX(Projects[Value (M)],369)</f>
        <v/>
      </c>
      <c r="V370" s="66">
        <f>IF('Smart Search'!B13=1,IFERROR(1/'Smart Search'!H13,0),0)</f>
        <v/>
      </c>
      <c r="W370" s="66">
        <f>IF('Smart Search'!B13=1,IFERROR(1/'Smart Search'!H13,0),0)</f>
        <v/>
      </c>
      <c r="X370" s="66">
        <f>IF('Smart Search'!C13=1,IFERROR(1/'Smart Search'!H13,0),0)</f>
        <v/>
      </c>
      <c r="Y370" s="66">
        <f>IF('Smart Search'!C13=1,IFERROR(1/'Smart Search'!H13,0),0)</f>
        <v/>
      </c>
      <c r="Z370" s="66">
        <f>IF('Smart Search'!D13=1,IFERROR(1/'Smart Search'!H13,0),0)</f>
        <v/>
      </c>
      <c r="AA370" s="66">
        <f>IF('Smart Search'!D13=1,IFERROR(1/'Smart Search'!H13,0),0)</f>
        <v/>
      </c>
      <c r="AB370" s="66">
        <f>IF('Smart Search'!E13=1,IFERROR(1/'Smart Search'!H13,0),0)</f>
        <v/>
      </c>
      <c r="AC370" s="66">
        <f>IF('Smart Search'!E13=1,IFERROR(1/'Smart Search'!H13,0),0)</f>
        <v/>
      </c>
      <c r="AD370" s="66">
        <f>IF('Smart Search'!F13=1,IFERROR(1/'Smart Search'!H13,0),0)</f>
        <v/>
      </c>
      <c r="AE370" s="66">
        <f>IF('Smart Search'!F13=1,IFERROR(1/'Smart Search'!H13,0),0)</f>
        <v/>
      </c>
      <c r="AF370" s="66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66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66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66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66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66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66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66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66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66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66">
        <f>AF370*V370</f>
        <v/>
      </c>
      <c r="AQ370" s="66">
        <f>AG370*W370</f>
        <v/>
      </c>
      <c r="AR370" s="66">
        <f>AH370*X370</f>
        <v/>
      </c>
      <c r="AS370" s="66">
        <f>AI370*Y370</f>
        <v/>
      </c>
      <c r="AT370" s="66">
        <f>AJ370*Z370</f>
        <v/>
      </c>
      <c r="AU370" s="66">
        <f>AK370*AA370</f>
        <v/>
      </c>
      <c r="AV370" s="66">
        <f>AL370*AB370</f>
        <v/>
      </c>
      <c r="AW370" s="66">
        <f>AM370*AC370</f>
        <v/>
      </c>
      <c r="AX370" s="66">
        <f>AN370*AD370</f>
        <v/>
      </c>
      <c r="AY370" s="66">
        <f>AO370*AE370</f>
        <v/>
      </c>
      <c r="AZ370" s="66">
        <f>INDEX(Projects[Automation Equipment],369)&amp;""</f>
        <v/>
      </c>
      <c r="BA370" s="66">
        <f>IF(OR(A370="",'Smart Search'!H13=0),"",MAX(0,BE370*BF370*MAX(0,1-BG370)))</f>
        <v/>
      </c>
      <c r="BB370" s="66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66">
        <f>IF('Smart Search'!G13=1,IFERROR(1/'Smart Search'!H13,0),0)</f>
        <v/>
      </c>
      <c r="BD370" s="66">
        <f>BB370*BC370</f>
        <v/>
      </c>
      <c r="BE370" s="66">
        <f>AP370+AQ370+AR370+AS370+AT370+AU370+AV370+AW370+AX370+AY370+BD370</f>
        <v/>
      </c>
      <c r="BF370" s="5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5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5">
        <f>IF(AND(A370&lt;&gt;"",OR('Smart Search'!$L$5="",'Smart Search'!$L$5="All",TRIM(BZ370)=TRIM('Smart Search'!$L$5)),OR(TRIM('Smart Search'!$L$6)="",TRIM('Smart Search'!$L$6)="All",ISNUMBER(SEARCH(SUBSTITUTE(SUBSTITUTE(SUBSTITUTE(TRIM('Smart Search'!$L$6),"~","~~"),"*","~*"),"?","~?"),CA370))),OR('Smart Search'!$L$7="",AND(CB370&lt;&gt;0,CB370='Smart Search'!$L$7)),OR('Smart Search'!$L$8="",'Smart Search'!$L$8="All",TRIM(CC370)=TRIM('Smart Search'!$L$8))),IF(BA370="","",BA370+ROW()*0.0000000001),"")</f>
        <v/>
      </c>
      <c r="BI370" s="5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5">
        <f>IF(A370="","",N(INDEX(Projects[Mech Inst],369)))</f>
        <v/>
      </c>
      <c r="BK370" s="5">
        <f>IF(A370="","",N(INDEX(Projects[Elec Inst],369)))</f>
        <v/>
      </c>
      <c r="BL370" s="5">
        <f>IF(A370="","",N(INDEX(Projects[Project Management],369)))</f>
        <v/>
      </c>
      <c r="BM370" s="5">
        <f>IF(A370="","",N(INDEX(Projects[Systems Eng],369)))</f>
        <v/>
      </c>
      <c r="BN370" s="5">
        <f>IF(A370="","",N(INDEX(Projects[Mechanical Eng],369)))</f>
        <v/>
      </c>
      <c r="BO370" s="5">
        <f>IF(A370="","",N(INDEX(Projects[Structural Engineering],369)))</f>
        <v/>
      </c>
      <c r="BP370" s="5">
        <f>IF(A370="","",N(INDEX(Projects[Site Sup],369)))</f>
        <v/>
      </c>
      <c r="BQ370" s="5">
        <f>IF(A370="","",N(INDEX(Projects[Controls Commissioning],369)))</f>
        <v/>
      </c>
      <c r="BR370" s="5">
        <f>IF(A370="","",N(INDEX(Projects[Systems Commissioning],369)))</f>
        <v/>
      </c>
      <c r="BS370" s="5">
        <f>IF(A370="","",N(INDEX(Projects[Service Commissioning],369)))</f>
        <v/>
      </c>
      <c r="BT370" s="5">
        <f>IF(A370="","",N(INDEX(Projects[Controls Eng],369)))</f>
        <v/>
      </c>
      <c r="BU370" s="5">
        <f>IF(A370="","",N(INDEX(Projects[Controls Purchase],369)))</f>
        <v/>
      </c>
      <c r="BV370" s="5">
        <f>IF(A370="","",N(INDEX(Projects[Software Eng],369)))</f>
        <v/>
      </c>
      <c r="BW370" s="5">
        <f>IF(A370="","",N(INDEX(Projects[Misc],369)))</f>
        <v/>
      </c>
      <c r="BX370" s="5">
        <f>IF(A370="","",SUM(BJ370:BW370))</f>
        <v/>
      </c>
      <c r="BY370" s="5">
        <f>IF(A370="","",IFERROR(IF(ISNUMBER(U370),U370,VALUE(SUBSTITUTE(SUBSTITUTE(SUBSTITUTE(UPPER(TRIM(U370)),"M",""),",","")," ",""))),0))</f>
        <v/>
      </c>
      <c r="BZ370" s="5">
        <f>INDEX(Projects[Solution Type],369)&amp;""</f>
        <v/>
      </c>
      <c r="CA370" s="5">
        <f>INDEX(Projects[Client / Region],369)&amp;""</f>
        <v/>
      </c>
      <c r="CB370" s="5">
        <f>INDEX(Projects[Year],369)</f>
        <v/>
      </c>
      <c r="CC370" s="5">
        <f>INDEX(Projects[Won?],369)&amp;""</f>
        <v/>
      </c>
      <c r="CD370" s="5">
        <f>INDEX(Projects[Value (USD M)],369)</f>
        <v/>
      </c>
    </row>
    <row r="371" ht="15" customHeight="1" s="74">
      <c r="A371" s="66">
        <f>INDEX(Projects[Project ID *],370)&amp;""</f>
        <v/>
      </c>
      <c r="B371" s="66">
        <f>INDEX(Projects[Project Name *],370)&amp;""</f>
        <v/>
      </c>
      <c r="C371" s="66">
        <f>INDEX(Projects[MS Shuttles],370)</f>
        <v/>
      </c>
      <c r="D371" s="66">
        <f>INDEX(Projects[MS Tote Locations],370)</f>
        <v/>
      </c>
      <c r="E371" s="66">
        <f>INDEX(Projects[AS Robots],370)</f>
        <v/>
      </c>
      <c r="F371" s="66">
        <f>INDEX(Projects[AS Tote Locations],370)</f>
        <v/>
      </c>
      <c r="G371" s="66">
        <f>INDEX(Projects[PS Shuttles],370)</f>
        <v/>
      </c>
      <c r="H371" s="66">
        <f>INDEX(Projects[PS Pallet Locations],370)</f>
        <v/>
      </c>
      <c r="I371" s="66">
        <f>INDEX(Projects[SRM Cranes],370)</f>
        <v/>
      </c>
      <c r="J371" s="66">
        <f>INDEX(Projects[SRM Pallet Locations],370)</f>
        <v/>
      </c>
      <c r="K371" s="66">
        <f>INDEX(Projects[Case Conv (m)],370)</f>
        <v/>
      </c>
      <c r="L371" s="66">
        <f>INDEX(Projects[Pallet Conv (m)],370)</f>
        <v/>
      </c>
      <c r="M371" s="66">
        <f>INDEX(Projects[Mech Eng (wks)],370)</f>
        <v/>
      </c>
      <c r="N371" s="66">
        <f>INDEX(Projects[Controls Eng (wks)],370)</f>
        <v/>
      </c>
      <c r="O371" s="66">
        <f>INDEX(Projects[Systems Eng (wks)],370)</f>
        <v/>
      </c>
      <c r="P371" s="66">
        <f>INDEX(Projects[Software Eng (wks)],370)</f>
        <v/>
      </c>
      <c r="Q371" s="66">
        <f>INDEX(Projects[M&amp;E Installation (wks)],370)</f>
        <v/>
      </c>
      <c r="R371" s="66">
        <f>INDEX(Projects[Commissioning (wks)],370)</f>
        <v/>
      </c>
      <c r="S371" s="66">
        <f>INDEX(Projects[Total Timeline (wks)],370)</f>
        <v/>
      </c>
      <c r="T371" s="66">
        <f>INDEX(Projects[Currency],370)&amp;""</f>
        <v/>
      </c>
      <c r="U371" s="67">
        <f>INDEX(Projects[Value (M)],370)</f>
        <v/>
      </c>
      <c r="V371" s="66">
        <f>IF('Smart Search'!B13=1,IFERROR(1/'Smart Search'!H13,0),0)</f>
        <v/>
      </c>
      <c r="W371" s="66">
        <f>IF('Smart Search'!B13=1,IFERROR(1/'Smart Search'!H13,0),0)</f>
        <v/>
      </c>
      <c r="X371" s="66">
        <f>IF('Smart Search'!C13=1,IFERROR(1/'Smart Search'!H13,0),0)</f>
        <v/>
      </c>
      <c r="Y371" s="66">
        <f>IF('Smart Search'!C13=1,IFERROR(1/'Smart Search'!H13,0),0)</f>
        <v/>
      </c>
      <c r="Z371" s="66">
        <f>IF('Smart Search'!D13=1,IFERROR(1/'Smart Search'!H13,0),0)</f>
        <v/>
      </c>
      <c r="AA371" s="66">
        <f>IF('Smart Search'!D13=1,IFERROR(1/'Smart Search'!H13,0),0)</f>
        <v/>
      </c>
      <c r="AB371" s="66">
        <f>IF('Smart Search'!E13=1,IFERROR(1/'Smart Search'!H13,0),0)</f>
        <v/>
      </c>
      <c r="AC371" s="66">
        <f>IF('Smart Search'!E13=1,IFERROR(1/'Smart Search'!H13,0),0)</f>
        <v/>
      </c>
      <c r="AD371" s="66">
        <f>IF('Smart Search'!F13=1,IFERROR(1/'Smart Search'!H13,0),0)</f>
        <v/>
      </c>
      <c r="AE371" s="66">
        <f>IF('Smart Search'!F13=1,IFERROR(1/'Smart Search'!H13,0),0)</f>
        <v/>
      </c>
      <c r="AF371" s="66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66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66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66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66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66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66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66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66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66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66">
        <f>AF371*V371</f>
        <v/>
      </c>
      <c r="AQ371" s="66">
        <f>AG371*W371</f>
        <v/>
      </c>
      <c r="AR371" s="66">
        <f>AH371*X371</f>
        <v/>
      </c>
      <c r="AS371" s="66">
        <f>AI371*Y371</f>
        <v/>
      </c>
      <c r="AT371" s="66">
        <f>AJ371*Z371</f>
        <v/>
      </c>
      <c r="AU371" s="66">
        <f>AK371*AA371</f>
        <v/>
      </c>
      <c r="AV371" s="66">
        <f>AL371*AB371</f>
        <v/>
      </c>
      <c r="AW371" s="66">
        <f>AM371*AC371</f>
        <v/>
      </c>
      <c r="AX371" s="66">
        <f>AN371*AD371</f>
        <v/>
      </c>
      <c r="AY371" s="66">
        <f>AO371*AE371</f>
        <v/>
      </c>
      <c r="AZ371" s="66">
        <f>INDEX(Projects[Automation Equipment],370)&amp;""</f>
        <v/>
      </c>
      <c r="BA371" s="66">
        <f>IF(OR(A371="",'Smart Search'!H13=0),"",MAX(0,BE371*BF371*MAX(0,1-BG371)))</f>
        <v/>
      </c>
      <c r="BB371" s="66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66">
        <f>IF('Smart Search'!G13=1,IFERROR(1/'Smart Search'!H13,0),0)</f>
        <v/>
      </c>
      <c r="BD371" s="66">
        <f>BB371*BC371</f>
        <v/>
      </c>
      <c r="BE371" s="66">
        <f>AP371+AQ371+AR371+AS371+AT371+AU371+AV371+AW371+AX371+AY371+BD371</f>
        <v/>
      </c>
      <c r="BF371" s="5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5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5">
        <f>IF(AND(A371&lt;&gt;"",OR('Smart Search'!$L$5="",'Smart Search'!$L$5="All",TRIM(BZ371)=TRIM('Smart Search'!$L$5)),OR(TRIM('Smart Search'!$L$6)="",TRIM('Smart Search'!$L$6)="All",ISNUMBER(SEARCH(SUBSTITUTE(SUBSTITUTE(SUBSTITUTE(TRIM('Smart Search'!$L$6),"~","~~"),"*","~*"),"?","~?"),CA371))),OR('Smart Search'!$L$7="",AND(CB371&lt;&gt;0,CB371='Smart Search'!$L$7)),OR('Smart Search'!$L$8="",'Smart Search'!$L$8="All",TRIM(CC371)=TRIM('Smart Search'!$L$8))),IF(BA371="","",BA371+ROW()*0.0000000001),"")</f>
        <v/>
      </c>
      <c r="BI371" s="5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5">
        <f>IF(A371="","",N(INDEX(Projects[Mech Inst],370)))</f>
        <v/>
      </c>
      <c r="BK371" s="5">
        <f>IF(A371="","",N(INDEX(Projects[Elec Inst],370)))</f>
        <v/>
      </c>
      <c r="BL371" s="5">
        <f>IF(A371="","",N(INDEX(Projects[Project Management],370)))</f>
        <v/>
      </c>
      <c r="BM371" s="5">
        <f>IF(A371="","",N(INDEX(Projects[Systems Eng],370)))</f>
        <v/>
      </c>
      <c r="BN371" s="5">
        <f>IF(A371="","",N(INDEX(Projects[Mechanical Eng],370)))</f>
        <v/>
      </c>
      <c r="BO371" s="5">
        <f>IF(A371="","",N(INDEX(Projects[Structural Engineering],370)))</f>
        <v/>
      </c>
      <c r="BP371" s="5">
        <f>IF(A371="","",N(INDEX(Projects[Site Sup],370)))</f>
        <v/>
      </c>
      <c r="BQ371" s="5">
        <f>IF(A371="","",N(INDEX(Projects[Controls Commissioning],370)))</f>
        <v/>
      </c>
      <c r="BR371" s="5">
        <f>IF(A371="","",N(INDEX(Projects[Systems Commissioning],370)))</f>
        <v/>
      </c>
      <c r="BS371" s="5">
        <f>IF(A371="","",N(INDEX(Projects[Service Commissioning],370)))</f>
        <v/>
      </c>
      <c r="BT371" s="5">
        <f>IF(A371="","",N(INDEX(Projects[Controls Eng],370)))</f>
        <v/>
      </c>
      <c r="BU371" s="5">
        <f>IF(A371="","",N(INDEX(Projects[Controls Purchase],370)))</f>
        <v/>
      </c>
      <c r="BV371" s="5">
        <f>IF(A371="","",N(INDEX(Projects[Software Eng],370)))</f>
        <v/>
      </c>
      <c r="BW371" s="5">
        <f>IF(A371="","",N(INDEX(Projects[Misc],370)))</f>
        <v/>
      </c>
      <c r="BX371" s="5">
        <f>IF(A371="","",SUM(BJ371:BW371))</f>
        <v/>
      </c>
      <c r="BY371" s="5">
        <f>IF(A371="","",IFERROR(IF(ISNUMBER(U371),U371,VALUE(SUBSTITUTE(SUBSTITUTE(SUBSTITUTE(UPPER(TRIM(U371)),"M",""),",","")," ",""))),0))</f>
        <v/>
      </c>
      <c r="BZ371" s="5">
        <f>INDEX(Projects[Solution Type],370)&amp;""</f>
        <v/>
      </c>
      <c r="CA371" s="5">
        <f>INDEX(Projects[Client / Region],370)&amp;""</f>
        <v/>
      </c>
      <c r="CB371" s="5">
        <f>INDEX(Projects[Year],370)</f>
        <v/>
      </c>
      <c r="CC371" s="5">
        <f>INDEX(Projects[Won?],370)&amp;""</f>
        <v/>
      </c>
      <c r="CD371" s="5">
        <f>INDEX(Projects[Value (USD M)],370)</f>
        <v/>
      </c>
    </row>
    <row r="372" ht="15" customHeight="1" s="74">
      <c r="A372" s="66">
        <f>INDEX(Projects[Project ID *],371)&amp;""</f>
        <v/>
      </c>
      <c r="B372" s="66">
        <f>INDEX(Projects[Project Name *],371)&amp;""</f>
        <v/>
      </c>
      <c r="C372" s="66">
        <f>INDEX(Projects[MS Shuttles],371)</f>
        <v/>
      </c>
      <c r="D372" s="66">
        <f>INDEX(Projects[MS Tote Locations],371)</f>
        <v/>
      </c>
      <c r="E372" s="66">
        <f>INDEX(Projects[AS Robots],371)</f>
        <v/>
      </c>
      <c r="F372" s="66">
        <f>INDEX(Projects[AS Tote Locations],371)</f>
        <v/>
      </c>
      <c r="G372" s="66">
        <f>INDEX(Projects[PS Shuttles],371)</f>
        <v/>
      </c>
      <c r="H372" s="66">
        <f>INDEX(Projects[PS Pallet Locations],371)</f>
        <v/>
      </c>
      <c r="I372" s="66">
        <f>INDEX(Projects[SRM Cranes],371)</f>
        <v/>
      </c>
      <c r="J372" s="66">
        <f>INDEX(Projects[SRM Pallet Locations],371)</f>
        <v/>
      </c>
      <c r="K372" s="66">
        <f>INDEX(Projects[Case Conv (m)],371)</f>
        <v/>
      </c>
      <c r="L372" s="66">
        <f>INDEX(Projects[Pallet Conv (m)],371)</f>
        <v/>
      </c>
      <c r="M372" s="66">
        <f>INDEX(Projects[Mech Eng (wks)],371)</f>
        <v/>
      </c>
      <c r="N372" s="66">
        <f>INDEX(Projects[Controls Eng (wks)],371)</f>
        <v/>
      </c>
      <c r="O372" s="66">
        <f>INDEX(Projects[Systems Eng (wks)],371)</f>
        <v/>
      </c>
      <c r="P372" s="66">
        <f>INDEX(Projects[Software Eng (wks)],371)</f>
        <v/>
      </c>
      <c r="Q372" s="66">
        <f>INDEX(Projects[M&amp;E Installation (wks)],371)</f>
        <v/>
      </c>
      <c r="R372" s="66">
        <f>INDEX(Projects[Commissioning (wks)],371)</f>
        <v/>
      </c>
      <c r="S372" s="66">
        <f>INDEX(Projects[Total Timeline (wks)],371)</f>
        <v/>
      </c>
      <c r="T372" s="66">
        <f>INDEX(Projects[Currency],371)&amp;""</f>
        <v/>
      </c>
      <c r="U372" s="67">
        <f>INDEX(Projects[Value (M)],371)</f>
        <v/>
      </c>
      <c r="V372" s="66">
        <f>IF('Smart Search'!B13=1,IFERROR(1/'Smart Search'!H13,0),0)</f>
        <v/>
      </c>
      <c r="W372" s="66">
        <f>IF('Smart Search'!B13=1,IFERROR(1/'Smart Search'!H13,0),0)</f>
        <v/>
      </c>
      <c r="X372" s="66">
        <f>IF('Smart Search'!C13=1,IFERROR(1/'Smart Search'!H13,0),0)</f>
        <v/>
      </c>
      <c r="Y372" s="66">
        <f>IF('Smart Search'!C13=1,IFERROR(1/'Smart Search'!H13,0),0)</f>
        <v/>
      </c>
      <c r="Z372" s="66">
        <f>IF('Smart Search'!D13=1,IFERROR(1/'Smart Search'!H13,0),0)</f>
        <v/>
      </c>
      <c r="AA372" s="66">
        <f>IF('Smart Search'!D13=1,IFERROR(1/'Smart Search'!H13,0),0)</f>
        <v/>
      </c>
      <c r="AB372" s="66">
        <f>IF('Smart Search'!E13=1,IFERROR(1/'Smart Search'!H13,0),0)</f>
        <v/>
      </c>
      <c r="AC372" s="66">
        <f>IF('Smart Search'!E13=1,IFERROR(1/'Smart Search'!H13,0),0)</f>
        <v/>
      </c>
      <c r="AD372" s="66">
        <f>IF('Smart Search'!F13=1,IFERROR(1/'Smart Search'!H13,0),0)</f>
        <v/>
      </c>
      <c r="AE372" s="66">
        <f>IF('Smart Search'!F13=1,IFERROR(1/'Smart Search'!H13,0),0)</f>
        <v/>
      </c>
      <c r="AF372" s="66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66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66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66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66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66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66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66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66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66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66">
        <f>AF372*V372</f>
        <v/>
      </c>
      <c r="AQ372" s="66">
        <f>AG372*W372</f>
        <v/>
      </c>
      <c r="AR372" s="66">
        <f>AH372*X372</f>
        <v/>
      </c>
      <c r="AS372" s="66">
        <f>AI372*Y372</f>
        <v/>
      </c>
      <c r="AT372" s="66">
        <f>AJ372*Z372</f>
        <v/>
      </c>
      <c r="AU372" s="66">
        <f>AK372*AA372</f>
        <v/>
      </c>
      <c r="AV372" s="66">
        <f>AL372*AB372</f>
        <v/>
      </c>
      <c r="AW372" s="66">
        <f>AM372*AC372</f>
        <v/>
      </c>
      <c r="AX372" s="66">
        <f>AN372*AD372</f>
        <v/>
      </c>
      <c r="AY372" s="66">
        <f>AO372*AE372</f>
        <v/>
      </c>
      <c r="AZ372" s="66">
        <f>INDEX(Projects[Automation Equipment],371)&amp;""</f>
        <v/>
      </c>
      <c r="BA372" s="66">
        <f>IF(OR(A372="",'Smart Search'!H13=0),"",MAX(0,BE372*BF372*MAX(0,1-BG372)))</f>
        <v/>
      </c>
      <c r="BB372" s="66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66">
        <f>IF('Smart Search'!G13=1,IFERROR(1/'Smart Search'!H13,0),0)</f>
        <v/>
      </c>
      <c r="BD372" s="66">
        <f>BB372*BC372</f>
        <v/>
      </c>
      <c r="BE372" s="66">
        <f>AP372+AQ372+AR372+AS372+AT372+AU372+AV372+AW372+AX372+AY372+BD372</f>
        <v/>
      </c>
      <c r="BF372" s="5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5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5">
        <f>IF(AND(A372&lt;&gt;"",OR('Smart Search'!$L$5="",'Smart Search'!$L$5="All",TRIM(BZ372)=TRIM('Smart Search'!$L$5)),OR(TRIM('Smart Search'!$L$6)="",TRIM('Smart Search'!$L$6)="All",ISNUMBER(SEARCH(SUBSTITUTE(SUBSTITUTE(SUBSTITUTE(TRIM('Smart Search'!$L$6),"~","~~"),"*","~*"),"?","~?"),CA372))),OR('Smart Search'!$L$7="",AND(CB372&lt;&gt;0,CB372='Smart Search'!$L$7)),OR('Smart Search'!$L$8="",'Smart Search'!$L$8="All",TRIM(CC372)=TRIM('Smart Search'!$L$8))),IF(BA372="","",BA372+ROW()*0.0000000001),"")</f>
        <v/>
      </c>
      <c r="BI372" s="5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5">
        <f>IF(A372="","",N(INDEX(Projects[Mech Inst],371)))</f>
        <v/>
      </c>
      <c r="BK372" s="5">
        <f>IF(A372="","",N(INDEX(Projects[Elec Inst],371)))</f>
        <v/>
      </c>
      <c r="BL372" s="5">
        <f>IF(A372="","",N(INDEX(Projects[Project Management],371)))</f>
        <v/>
      </c>
      <c r="BM372" s="5">
        <f>IF(A372="","",N(INDEX(Projects[Systems Eng],371)))</f>
        <v/>
      </c>
      <c r="BN372" s="5">
        <f>IF(A372="","",N(INDEX(Projects[Mechanical Eng],371)))</f>
        <v/>
      </c>
      <c r="BO372" s="5">
        <f>IF(A372="","",N(INDEX(Projects[Structural Engineering],371)))</f>
        <v/>
      </c>
      <c r="BP372" s="5">
        <f>IF(A372="","",N(INDEX(Projects[Site Sup],371)))</f>
        <v/>
      </c>
      <c r="BQ372" s="5">
        <f>IF(A372="","",N(INDEX(Projects[Controls Commissioning],371)))</f>
        <v/>
      </c>
      <c r="BR372" s="5">
        <f>IF(A372="","",N(INDEX(Projects[Systems Commissioning],371)))</f>
        <v/>
      </c>
      <c r="BS372" s="5">
        <f>IF(A372="","",N(INDEX(Projects[Service Commissioning],371)))</f>
        <v/>
      </c>
      <c r="BT372" s="5">
        <f>IF(A372="","",N(INDEX(Projects[Controls Eng],371)))</f>
        <v/>
      </c>
      <c r="BU372" s="5">
        <f>IF(A372="","",N(INDEX(Projects[Controls Purchase],371)))</f>
        <v/>
      </c>
      <c r="BV372" s="5">
        <f>IF(A372="","",N(INDEX(Projects[Software Eng],371)))</f>
        <v/>
      </c>
      <c r="BW372" s="5">
        <f>IF(A372="","",N(INDEX(Projects[Misc],371)))</f>
        <v/>
      </c>
      <c r="BX372" s="5">
        <f>IF(A372="","",SUM(BJ372:BW372))</f>
        <v/>
      </c>
      <c r="BY372" s="5">
        <f>IF(A372="","",IFERROR(IF(ISNUMBER(U372),U372,VALUE(SUBSTITUTE(SUBSTITUTE(SUBSTITUTE(UPPER(TRIM(U372)),"M",""),",","")," ",""))),0))</f>
        <v/>
      </c>
      <c r="BZ372" s="5">
        <f>INDEX(Projects[Solution Type],371)&amp;""</f>
        <v/>
      </c>
      <c r="CA372" s="5">
        <f>INDEX(Projects[Client / Region],371)&amp;""</f>
        <v/>
      </c>
      <c r="CB372" s="5">
        <f>INDEX(Projects[Year],371)</f>
        <v/>
      </c>
      <c r="CC372" s="5">
        <f>INDEX(Projects[Won?],371)&amp;""</f>
        <v/>
      </c>
      <c r="CD372" s="5">
        <f>INDEX(Projects[Value (USD M)],371)</f>
        <v/>
      </c>
    </row>
    <row r="373" ht="15" customHeight="1" s="74">
      <c r="A373" s="66">
        <f>INDEX(Projects[Project ID *],372)&amp;""</f>
        <v/>
      </c>
      <c r="B373" s="66">
        <f>INDEX(Projects[Project Name *],372)&amp;""</f>
        <v/>
      </c>
      <c r="C373" s="66">
        <f>INDEX(Projects[MS Shuttles],372)</f>
        <v/>
      </c>
      <c r="D373" s="66">
        <f>INDEX(Projects[MS Tote Locations],372)</f>
        <v/>
      </c>
      <c r="E373" s="66">
        <f>INDEX(Projects[AS Robots],372)</f>
        <v/>
      </c>
      <c r="F373" s="66">
        <f>INDEX(Projects[AS Tote Locations],372)</f>
        <v/>
      </c>
      <c r="G373" s="66">
        <f>INDEX(Projects[PS Shuttles],372)</f>
        <v/>
      </c>
      <c r="H373" s="66">
        <f>INDEX(Projects[PS Pallet Locations],372)</f>
        <v/>
      </c>
      <c r="I373" s="66">
        <f>INDEX(Projects[SRM Cranes],372)</f>
        <v/>
      </c>
      <c r="J373" s="66">
        <f>INDEX(Projects[SRM Pallet Locations],372)</f>
        <v/>
      </c>
      <c r="K373" s="66">
        <f>INDEX(Projects[Case Conv (m)],372)</f>
        <v/>
      </c>
      <c r="L373" s="66">
        <f>INDEX(Projects[Pallet Conv (m)],372)</f>
        <v/>
      </c>
      <c r="M373" s="66">
        <f>INDEX(Projects[Mech Eng (wks)],372)</f>
        <v/>
      </c>
      <c r="N373" s="66">
        <f>INDEX(Projects[Controls Eng (wks)],372)</f>
        <v/>
      </c>
      <c r="O373" s="66">
        <f>INDEX(Projects[Systems Eng (wks)],372)</f>
        <v/>
      </c>
      <c r="P373" s="66">
        <f>INDEX(Projects[Software Eng (wks)],372)</f>
        <v/>
      </c>
      <c r="Q373" s="66">
        <f>INDEX(Projects[M&amp;E Installation (wks)],372)</f>
        <v/>
      </c>
      <c r="R373" s="66">
        <f>INDEX(Projects[Commissioning (wks)],372)</f>
        <v/>
      </c>
      <c r="S373" s="66">
        <f>INDEX(Projects[Total Timeline (wks)],372)</f>
        <v/>
      </c>
      <c r="T373" s="66">
        <f>INDEX(Projects[Currency],372)&amp;""</f>
        <v/>
      </c>
      <c r="U373" s="67">
        <f>INDEX(Projects[Value (M)],372)</f>
        <v/>
      </c>
      <c r="V373" s="66">
        <f>IF('Smart Search'!B13=1,IFERROR(1/'Smart Search'!H13,0),0)</f>
        <v/>
      </c>
      <c r="W373" s="66">
        <f>IF('Smart Search'!B13=1,IFERROR(1/'Smart Search'!H13,0),0)</f>
        <v/>
      </c>
      <c r="X373" s="66">
        <f>IF('Smart Search'!C13=1,IFERROR(1/'Smart Search'!H13,0),0)</f>
        <v/>
      </c>
      <c r="Y373" s="66">
        <f>IF('Smart Search'!C13=1,IFERROR(1/'Smart Search'!H13,0),0)</f>
        <v/>
      </c>
      <c r="Z373" s="66">
        <f>IF('Smart Search'!D13=1,IFERROR(1/'Smart Search'!H13,0),0)</f>
        <v/>
      </c>
      <c r="AA373" s="66">
        <f>IF('Smart Search'!D13=1,IFERROR(1/'Smart Search'!H13,0),0)</f>
        <v/>
      </c>
      <c r="AB373" s="66">
        <f>IF('Smart Search'!E13=1,IFERROR(1/'Smart Search'!H13,0),0)</f>
        <v/>
      </c>
      <c r="AC373" s="66">
        <f>IF('Smart Search'!E13=1,IFERROR(1/'Smart Search'!H13,0),0)</f>
        <v/>
      </c>
      <c r="AD373" s="66">
        <f>IF('Smart Search'!F13=1,IFERROR(1/'Smart Search'!H13,0),0)</f>
        <v/>
      </c>
      <c r="AE373" s="66">
        <f>IF('Smart Search'!F13=1,IFERROR(1/'Smart Search'!H13,0),0)</f>
        <v/>
      </c>
      <c r="AF373" s="66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66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66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66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66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66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66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66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66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66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66">
        <f>AF373*V373</f>
        <v/>
      </c>
      <c r="AQ373" s="66">
        <f>AG373*W373</f>
        <v/>
      </c>
      <c r="AR373" s="66">
        <f>AH373*X373</f>
        <v/>
      </c>
      <c r="AS373" s="66">
        <f>AI373*Y373</f>
        <v/>
      </c>
      <c r="AT373" s="66">
        <f>AJ373*Z373</f>
        <v/>
      </c>
      <c r="AU373" s="66">
        <f>AK373*AA373</f>
        <v/>
      </c>
      <c r="AV373" s="66">
        <f>AL373*AB373</f>
        <v/>
      </c>
      <c r="AW373" s="66">
        <f>AM373*AC373</f>
        <v/>
      </c>
      <c r="AX373" s="66">
        <f>AN373*AD373</f>
        <v/>
      </c>
      <c r="AY373" s="66">
        <f>AO373*AE373</f>
        <v/>
      </c>
      <c r="AZ373" s="66">
        <f>INDEX(Projects[Automation Equipment],372)&amp;""</f>
        <v/>
      </c>
      <c r="BA373" s="66">
        <f>IF(OR(A373="",'Smart Search'!H13=0),"",MAX(0,BE373*BF373*MAX(0,1-BG373)))</f>
        <v/>
      </c>
      <c r="BB373" s="66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66">
        <f>IF('Smart Search'!G13=1,IFERROR(1/'Smart Search'!H13,0),0)</f>
        <v/>
      </c>
      <c r="BD373" s="66">
        <f>BB373*BC373</f>
        <v/>
      </c>
      <c r="BE373" s="66">
        <f>AP373+AQ373+AR373+AS373+AT373+AU373+AV373+AW373+AX373+AY373+BD373</f>
        <v/>
      </c>
      <c r="BF373" s="5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5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5">
        <f>IF(AND(A373&lt;&gt;"",OR('Smart Search'!$L$5="",'Smart Search'!$L$5="All",TRIM(BZ373)=TRIM('Smart Search'!$L$5)),OR(TRIM('Smart Search'!$L$6)="",TRIM('Smart Search'!$L$6)="All",ISNUMBER(SEARCH(SUBSTITUTE(SUBSTITUTE(SUBSTITUTE(TRIM('Smart Search'!$L$6),"~","~~"),"*","~*"),"?","~?"),CA373))),OR('Smart Search'!$L$7="",AND(CB373&lt;&gt;0,CB373='Smart Search'!$L$7)),OR('Smart Search'!$L$8="",'Smart Search'!$L$8="All",TRIM(CC373)=TRIM('Smart Search'!$L$8))),IF(BA373="","",BA373+ROW()*0.0000000001),"")</f>
        <v/>
      </c>
      <c r="BI373" s="5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5">
        <f>IF(A373="","",N(INDEX(Projects[Mech Inst],372)))</f>
        <v/>
      </c>
      <c r="BK373" s="5">
        <f>IF(A373="","",N(INDEX(Projects[Elec Inst],372)))</f>
        <v/>
      </c>
      <c r="BL373" s="5">
        <f>IF(A373="","",N(INDEX(Projects[Project Management],372)))</f>
        <v/>
      </c>
      <c r="BM373" s="5">
        <f>IF(A373="","",N(INDEX(Projects[Systems Eng],372)))</f>
        <v/>
      </c>
      <c r="BN373" s="5">
        <f>IF(A373="","",N(INDEX(Projects[Mechanical Eng],372)))</f>
        <v/>
      </c>
      <c r="BO373" s="5">
        <f>IF(A373="","",N(INDEX(Projects[Structural Engineering],372)))</f>
        <v/>
      </c>
      <c r="BP373" s="5">
        <f>IF(A373="","",N(INDEX(Projects[Site Sup],372)))</f>
        <v/>
      </c>
      <c r="BQ373" s="5">
        <f>IF(A373="","",N(INDEX(Projects[Controls Commissioning],372)))</f>
        <v/>
      </c>
      <c r="BR373" s="5">
        <f>IF(A373="","",N(INDEX(Projects[Systems Commissioning],372)))</f>
        <v/>
      </c>
      <c r="BS373" s="5">
        <f>IF(A373="","",N(INDEX(Projects[Service Commissioning],372)))</f>
        <v/>
      </c>
      <c r="BT373" s="5">
        <f>IF(A373="","",N(INDEX(Projects[Controls Eng],372)))</f>
        <v/>
      </c>
      <c r="BU373" s="5">
        <f>IF(A373="","",N(INDEX(Projects[Controls Purchase],372)))</f>
        <v/>
      </c>
      <c r="BV373" s="5">
        <f>IF(A373="","",N(INDEX(Projects[Software Eng],372)))</f>
        <v/>
      </c>
      <c r="BW373" s="5">
        <f>IF(A373="","",N(INDEX(Projects[Misc],372)))</f>
        <v/>
      </c>
      <c r="BX373" s="5">
        <f>IF(A373="","",SUM(BJ373:BW373))</f>
        <v/>
      </c>
      <c r="BY373" s="5">
        <f>IF(A373="","",IFERROR(IF(ISNUMBER(U373),U373,VALUE(SUBSTITUTE(SUBSTITUTE(SUBSTITUTE(UPPER(TRIM(U373)),"M",""),",","")," ",""))),0))</f>
        <v/>
      </c>
      <c r="BZ373" s="5">
        <f>INDEX(Projects[Solution Type],372)&amp;""</f>
        <v/>
      </c>
      <c r="CA373" s="5">
        <f>INDEX(Projects[Client / Region],372)&amp;""</f>
        <v/>
      </c>
      <c r="CB373" s="5">
        <f>INDEX(Projects[Year],372)</f>
        <v/>
      </c>
      <c r="CC373" s="5">
        <f>INDEX(Projects[Won?],372)&amp;""</f>
        <v/>
      </c>
      <c r="CD373" s="5">
        <f>INDEX(Projects[Value (USD M)],372)</f>
        <v/>
      </c>
    </row>
    <row r="374" ht="15" customHeight="1" s="74">
      <c r="A374" s="66">
        <f>INDEX(Projects[Project ID *],373)&amp;""</f>
        <v/>
      </c>
      <c r="B374" s="66">
        <f>INDEX(Projects[Project Name *],373)&amp;""</f>
        <v/>
      </c>
      <c r="C374" s="66">
        <f>INDEX(Projects[MS Shuttles],373)</f>
        <v/>
      </c>
      <c r="D374" s="66">
        <f>INDEX(Projects[MS Tote Locations],373)</f>
        <v/>
      </c>
      <c r="E374" s="66">
        <f>INDEX(Projects[AS Robots],373)</f>
        <v/>
      </c>
      <c r="F374" s="66">
        <f>INDEX(Projects[AS Tote Locations],373)</f>
        <v/>
      </c>
      <c r="G374" s="66">
        <f>INDEX(Projects[PS Shuttles],373)</f>
        <v/>
      </c>
      <c r="H374" s="66">
        <f>INDEX(Projects[PS Pallet Locations],373)</f>
        <v/>
      </c>
      <c r="I374" s="66">
        <f>INDEX(Projects[SRM Cranes],373)</f>
        <v/>
      </c>
      <c r="J374" s="66">
        <f>INDEX(Projects[SRM Pallet Locations],373)</f>
        <v/>
      </c>
      <c r="K374" s="66">
        <f>INDEX(Projects[Case Conv (m)],373)</f>
        <v/>
      </c>
      <c r="L374" s="66">
        <f>INDEX(Projects[Pallet Conv (m)],373)</f>
        <v/>
      </c>
      <c r="M374" s="66">
        <f>INDEX(Projects[Mech Eng (wks)],373)</f>
        <v/>
      </c>
      <c r="N374" s="66">
        <f>INDEX(Projects[Controls Eng (wks)],373)</f>
        <v/>
      </c>
      <c r="O374" s="66">
        <f>INDEX(Projects[Systems Eng (wks)],373)</f>
        <v/>
      </c>
      <c r="P374" s="66">
        <f>INDEX(Projects[Software Eng (wks)],373)</f>
        <v/>
      </c>
      <c r="Q374" s="66">
        <f>INDEX(Projects[M&amp;E Installation (wks)],373)</f>
        <v/>
      </c>
      <c r="R374" s="66">
        <f>INDEX(Projects[Commissioning (wks)],373)</f>
        <v/>
      </c>
      <c r="S374" s="66">
        <f>INDEX(Projects[Total Timeline (wks)],373)</f>
        <v/>
      </c>
      <c r="T374" s="66">
        <f>INDEX(Projects[Currency],373)&amp;""</f>
        <v/>
      </c>
      <c r="U374" s="67">
        <f>INDEX(Projects[Value (M)],373)</f>
        <v/>
      </c>
      <c r="V374" s="66">
        <f>IF('Smart Search'!B13=1,IFERROR(1/'Smart Search'!H13,0),0)</f>
        <v/>
      </c>
      <c r="W374" s="66">
        <f>IF('Smart Search'!B13=1,IFERROR(1/'Smart Search'!H13,0),0)</f>
        <v/>
      </c>
      <c r="X374" s="66">
        <f>IF('Smart Search'!C13=1,IFERROR(1/'Smart Search'!H13,0),0)</f>
        <v/>
      </c>
      <c r="Y374" s="66">
        <f>IF('Smart Search'!C13=1,IFERROR(1/'Smart Search'!H13,0),0)</f>
        <v/>
      </c>
      <c r="Z374" s="66">
        <f>IF('Smart Search'!D13=1,IFERROR(1/'Smart Search'!H13,0),0)</f>
        <v/>
      </c>
      <c r="AA374" s="66">
        <f>IF('Smart Search'!D13=1,IFERROR(1/'Smart Search'!H13,0),0)</f>
        <v/>
      </c>
      <c r="AB374" s="66">
        <f>IF('Smart Search'!E13=1,IFERROR(1/'Smart Search'!H13,0),0)</f>
        <v/>
      </c>
      <c r="AC374" s="66">
        <f>IF('Smart Search'!E13=1,IFERROR(1/'Smart Search'!H13,0),0)</f>
        <v/>
      </c>
      <c r="AD374" s="66">
        <f>IF('Smart Search'!F13=1,IFERROR(1/'Smart Search'!H13,0),0)</f>
        <v/>
      </c>
      <c r="AE374" s="66">
        <f>IF('Smart Search'!F13=1,IFERROR(1/'Smart Search'!H13,0),0)</f>
        <v/>
      </c>
      <c r="AF374" s="66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66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66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66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66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66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66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66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66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66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66">
        <f>AF374*V374</f>
        <v/>
      </c>
      <c r="AQ374" s="66">
        <f>AG374*W374</f>
        <v/>
      </c>
      <c r="AR374" s="66">
        <f>AH374*X374</f>
        <v/>
      </c>
      <c r="AS374" s="66">
        <f>AI374*Y374</f>
        <v/>
      </c>
      <c r="AT374" s="66">
        <f>AJ374*Z374</f>
        <v/>
      </c>
      <c r="AU374" s="66">
        <f>AK374*AA374</f>
        <v/>
      </c>
      <c r="AV374" s="66">
        <f>AL374*AB374</f>
        <v/>
      </c>
      <c r="AW374" s="66">
        <f>AM374*AC374</f>
        <v/>
      </c>
      <c r="AX374" s="66">
        <f>AN374*AD374</f>
        <v/>
      </c>
      <c r="AY374" s="66">
        <f>AO374*AE374</f>
        <v/>
      </c>
      <c r="AZ374" s="66">
        <f>INDEX(Projects[Automation Equipment],373)&amp;""</f>
        <v/>
      </c>
      <c r="BA374" s="66">
        <f>IF(OR(A374="",'Smart Search'!H13=0),"",MAX(0,BE374*BF374*MAX(0,1-BG374)))</f>
        <v/>
      </c>
      <c r="BB374" s="66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66">
        <f>IF('Smart Search'!G13=1,IFERROR(1/'Smart Search'!H13,0),0)</f>
        <v/>
      </c>
      <c r="BD374" s="66">
        <f>BB374*BC374</f>
        <v/>
      </c>
      <c r="BE374" s="66">
        <f>AP374+AQ374+AR374+AS374+AT374+AU374+AV374+AW374+AX374+AY374+BD374</f>
        <v/>
      </c>
      <c r="BF374" s="5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5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5">
        <f>IF(AND(A374&lt;&gt;"",OR('Smart Search'!$L$5="",'Smart Search'!$L$5="All",TRIM(BZ374)=TRIM('Smart Search'!$L$5)),OR(TRIM('Smart Search'!$L$6)="",TRIM('Smart Search'!$L$6)="All",ISNUMBER(SEARCH(SUBSTITUTE(SUBSTITUTE(SUBSTITUTE(TRIM('Smart Search'!$L$6),"~","~~"),"*","~*"),"?","~?"),CA374))),OR('Smart Search'!$L$7="",AND(CB374&lt;&gt;0,CB374='Smart Search'!$L$7)),OR('Smart Search'!$L$8="",'Smart Search'!$L$8="All",TRIM(CC374)=TRIM('Smart Search'!$L$8))),IF(BA374="","",BA374+ROW()*0.0000000001),"")</f>
        <v/>
      </c>
      <c r="BI374" s="5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5">
        <f>IF(A374="","",N(INDEX(Projects[Mech Inst],373)))</f>
        <v/>
      </c>
      <c r="BK374" s="5">
        <f>IF(A374="","",N(INDEX(Projects[Elec Inst],373)))</f>
        <v/>
      </c>
      <c r="BL374" s="5">
        <f>IF(A374="","",N(INDEX(Projects[Project Management],373)))</f>
        <v/>
      </c>
      <c r="BM374" s="5">
        <f>IF(A374="","",N(INDEX(Projects[Systems Eng],373)))</f>
        <v/>
      </c>
      <c r="BN374" s="5">
        <f>IF(A374="","",N(INDEX(Projects[Mechanical Eng],373)))</f>
        <v/>
      </c>
      <c r="BO374" s="5">
        <f>IF(A374="","",N(INDEX(Projects[Structural Engineering],373)))</f>
        <v/>
      </c>
      <c r="BP374" s="5">
        <f>IF(A374="","",N(INDEX(Projects[Site Sup],373)))</f>
        <v/>
      </c>
      <c r="BQ374" s="5">
        <f>IF(A374="","",N(INDEX(Projects[Controls Commissioning],373)))</f>
        <v/>
      </c>
      <c r="BR374" s="5">
        <f>IF(A374="","",N(INDEX(Projects[Systems Commissioning],373)))</f>
        <v/>
      </c>
      <c r="BS374" s="5">
        <f>IF(A374="","",N(INDEX(Projects[Service Commissioning],373)))</f>
        <v/>
      </c>
      <c r="BT374" s="5">
        <f>IF(A374="","",N(INDEX(Projects[Controls Eng],373)))</f>
        <v/>
      </c>
      <c r="BU374" s="5">
        <f>IF(A374="","",N(INDEX(Projects[Controls Purchase],373)))</f>
        <v/>
      </c>
      <c r="BV374" s="5">
        <f>IF(A374="","",N(INDEX(Projects[Software Eng],373)))</f>
        <v/>
      </c>
      <c r="BW374" s="5">
        <f>IF(A374="","",N(INDEX(Projects[Misc],373)))</f>
        <v/>
      </c>
      <c r="BX374" s="5">
        <f>IF(A374="","",SUM(BJ374:BW374))</f>
        <v/>
      </c>
      <c r="BY374" s="5">
        <f>IF(A374="","",IFERROR(IF(ISNUMBER(U374),U374,VALUE(SUBSTITUTE(SUBSTITUTE(SUBSTITUTE(UPPER(TRIM(U374)),"M",""),",","")," ",""))),0))</f>
        <v/>
      </c>
      <c r="BZ374" s="5">
        <f>INDEX(Projects[Solution Type],373)&amp;""</f>
        <v/>
      </c>
      <c r="CA374" s="5">
        <f>INDEX(Projects[Client / Region],373)&amp;""</f>
        <v/>
      </c>
      <c r="CB374" s="5">
        <f>INDEX(Projects[Year],373)</f>
        <v/>
      </c>
      <c r="CC374" s="5">
        <f>INDEX(Projects[Won?],373)&amp;""</f>
        <v/>
      </c>
      <c r="CD374" s="5">
        <f>INDEX(Projects[Value (USD M)],373)</f>
        <v/>
      </c>
    </row>
    <row r="375" ht="15" customHeight="1" s="74">
      <c r="A375" s="66">
        <f>INDEX(Projects[Project ID *],374)&amp;""</f>
        <v/>
      </c>
      <c r="B375" s="66">
        <f>INDEX(Projects[Project Name *],374)&amp;""</f>
        <v/>
      </c>
      <c r="C375" s="66">
        <f>INDEX(Projects[MS Shuttles],374)</f>
        <v/>
      </c>
      <c r="D375" s="66">
        <f>INDEX(Projects[MS Tote Locations],374)</f>
        <v/>
      </c>
      <c r="E375" s="66">
        <f>INDEX(Projects[AS Robots],374)</f>
        <v/>
      </c>
      <c r="F375" s="66">
        <f>INDEX(Projects[AS Tote Locations],374)</f>
        <v/>
      </c>
      <c r="G375" s="66">
        <f>INDEX(Projects[PS Shuttles],374)</f>
        <v/>
      </c>
      <c r="H375" s="66">
        <f>INDEX(Projects[PS Pallet Locations],374)</f>
        <v/>
      </c>
      <c r="I375" s="66">
        <f>INDEX(Projects[SRM Cranes],374)</f>
        <v/>
      </c>
      <c r="J375" s="66">
        <f>INDEX(Projects[SRM Pallet Locations],374)</f>
        <v/>
      </c>
      <c r="K375" s="66">
        <f>INDEX(Projects[Case Conv (m)],374)</f>
        <v/>
      </c>
      <c r="L375" s="66">
        <f>INDEX(Projects[Pallet Conv (m)],374)</f>
        <v/>
      </c>
      <c r="M375" s="66">
        <f>INDEX(Projects[Mech Eng (wks)],374)</f>
        <v/>
      </c>
      <c r="N375" s="66">
        <f>INDEX(Projects[Controls Eng (wks)],374)</f>
        <v/>
      </c>
      <c r="O375" s="66">
        <f>INDEX(Projects[Systems Eng (wks)],374)</f>
        <v/>
      </c>
      <c r="P375" s="66">
        <f>INDEX(Projects[Software Eng (wks)],374)</f>
        <v/>
      </c>
      <c r="Q375" s="66">
        <f>INDEX(Projects[M&amp;E Installation (wks)],374)</f>
        <v/>
      </c>
      <c r="R375" s="66">
        <f>INDEX(Projects[Commissioning (wks)],374)</f>
        <v/>
      </c>
      <c r="S375" s="66">
        <f>INDEX(Projects[Total Timeline (wks)],374)</f>
        <v/>
      </c>
      <c r="T375" s="66">
        <f>INDEX(Projects[Currency],374)&amp;""</f>
        <v/>
      </c>
      <c r="U375" s="67">
        <f>INDEX(Projects[Value (M)],374)</f>
        <v/>
      </c>
      <c r="V375" s="66">
        <f>IF('Smart Search'!B13=1,IFERROR(1/'Smart Search'!H13,0),0)</f>
        <v/>
      </c>
      <c r="W375" s="66">
        <f>IF('Smart Search'!B13=1,IFERROR(1/'Smart Search'!H13,0),0)</f>
        <v/>
      </c>
      <c r="X375" s="66">
        <f>IF('Smart Search'!C13=1,IFERROR(1/'Smart Search'!H13,0),0)</f>
        <v/>
      </c>
      <c r="Y375" s="66">
        <f>IF('Smart Search'!C13=1,IFERROR(1/'Smart Search'!H13,0),0)</f>
        <v/>
      </c>
      <c r="Z375" s="66">
        <f>IF('Smart Search'!D13=1,IFERROR(1/'Smart Search'!H13,0),0)</f>
        <v/>
      </c>
      <c r="AA375" s="66">
        <f>IF('Smart Search'!D13=1,IFERROR(1/'Smart Search'!H13,0),0)</f>
        <v/>
      </c>
      <c r="AB375" s="66">
        <f>IF('Smart Search'!E13=1,IFERROR(1/'Smart Search'!H13,0),0)</f>
        <v/>
      </c>
      <c r="AC375" s="66">
        <f>IF('Smart Search'!E13=1,IFERROR(1/'Smart Search'!H13,0),0)</f>
        <v/>
      </c>
      <c r="AD375" s="66">
        <f>IF('Smart Search'!F13=1,IFERROR(1/'Smart Search'!H13,0),0)</f>
        <v/>
      </c>
      <c r="AE375" s="66">
        <f>IF('Smart Search'!F13=1,IFERROR(1/'Smart Search'!H13,0),0)</f>
        <v/>
      </c>
      <c r="AF375" s="66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66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66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66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66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66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66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66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66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66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66">
        <f>AF375*V375</f>
        <v/>
      </c>
      <c r="AQ375" s="66">
        <f>AG375*W375</f>
        <v/>
      </c>
      <c r="AR375" s="66">
        <f>AH375*X375</f>
        <v/>
      </c>
      <c r="AS375" s="66">
        <f>AI375*Y375</f>
        <v/>
      </c>
      <c r="AT375" s="66">
        <f>AJ375*Z375</f>
        <v/>
      </c>
      <c r="AU375" s="66">
        <f>AK375*AA375</f>
        <v/>
      </c>
      <c r="AV375" s="66">
        <f>AL375*AB375</f>
        <v/>
      </c>
      <c r="AW375" s="66">
        <f>AM375*AC375</f>
        <v/>
      </c>
      <c r="AX375" s="66">
        <f>AN375*AD375</f>
        <v/>
      </c>
      <c r="AY375" s="66">
        <f>AO375*AE375</f>
        <v/>
      </c>
      <c r="AZ375" s="66">
        <f>INDEX(Projects[Automation Equipment],374)&amp;""</f>
        <v/>
      </c>
      <c r="BA375" s="66">
        <f>IF(OR(A375="",'Smart Search'!H13=0),"",MAX(0,BE375*BF375*MAX(0,1-BG375)))</f>
        <v/>
      </c>
      <c r="BB375" s="66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66">
        <f>IF('Smart Search'!G13=1,IFERROR(1/'Smart Search'!H13,0),0)</f>
        <v/>
      </c>
      <c r="BD375" s="66">
        <f>BB375*BC375</f>
        <v/>
      </c>
      <c r="BE375" s="66">
        <f>AP375+AQ375+AR375+AS375+AT375+AU375+AV375+AW375+AX375+AY375+BD375</f>
        <v/>
      </c>
      <c r="BF375" s="5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5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5">
        <f>IF(AND(A375&lt;&gt;"",OR('Smart Search'!$L$5="",'Smart Search'!$L$5="All",TRIM(BZ375)=TRIM('Smart Search'!$L$5)),OR(TRIM('Smart Search'!$L$6)="",TRIM('Smart Search'!$L$6)="All",ISNUMBER(SEARCH(SUBSTITUTE(SUBSTITUTE(SUBSTITUTE(TRIM('Smart Search'!$L$6),"~","~~"),"*","~*"),"?","~?"),CA375))),OR('Smart Search'!$L$7="",AND(CB375&lt;&gt;0,CB375='Smart Search'!$L$7)),OR('Smart Search'!$L$8="",'Smart Search'!$L$8="All",TRIM(CC375)=TRIM('Smart Search'!$L$8))),IF(BA375="","",BA375+ROW()*0.0000000001),"")</f>
        <v/>
      </c>
      <c r="BI375" s="5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5">
        <f>IF(A375="","",N(INDEX(Projects[Mech Inst],374)))</f>
        <v/>
      </c>
      <c r="BK375" s="5">
        <f>IF(A375="","",N(INDEX(Projects[Elec Inst],374)))</f>
        <v/>
      </c>
      <c r="BL375" s="5">
        <f>IF(A375="","",N(INDEX(Projects[Project Management],374)))</f>
        <v/>
      </c>
      <c r="BM375" s="5">
        <f>IF(A375="","",N(INDEX(Projects[Systems Eng],374)))</f>
        <v/>
      </c>
      <c r="BN375" s="5">
        <f>IF(A375="","",N(INDEX(Projects[Mechanical Eng],374)))</f>
        <v/>
      </c>
      <c r="BO375" s="5">
        <f>IF(A375="","",N(INDEX(Projects[Structural Engineering],374)))</f>
        <v/>
      </c>
      <c r="BP375" s="5">
        <f>IF(A375="","",N(INDEX(Projects[Site Sup],374)))</f>
        <v/>
      </c>
      <c r="BQ375" s="5">
        <f>IF(A375="","",N(INDEX(Projects[Controls Commissioning],374)))</f>
        <v/>
      </c>
      <c r="BR375" s="5">
        <f>IF(A375="","",N(INDEX(Projects[Systems Commissioning],374)))</f>
        <v/>
      </c>
      <c r="BS375" s="5">
        <f>IF(A375="","",N(INDEX(Projects[Service Commissioning],374)))</f>
        <v/>
      </c>
      <c r="BT375" s="5">
        <f>IF(A375="","",N(INDEX(Projects[Controls Eng],374)))</f>
        <v/>
      </c>
      <c r="BU375" s="5">
        <f>IF(A375="","",N(INDEX(Projects[Controls Purchase],374)))</f>
        <v/>
      </c>
      <c r="BV375" s="5">
        <f>IF(A375="","",N(INDEX(Projects[Software Eng],374)))</f>
        <v/>
      </c>
      <c r="BW375" s="5">
        <f>IF(A375="","",N(INDEX(Projects[Misc],374)))</f>
        <v/>
      </c>
      <c r="BX375" s="5">
        <f>IF(A375="","",SUM(BJ375:BW375))</f>
        <v/>
      </c>
      <c r="BY375" s="5">
        <f>IF(A375="","",IFERROR(IF(ISNUMBER(U375),U375,VALUE(SUBSTITUTE(SUBSTITUTE(SUBSTITUTE(UPPER(TRIM(U375)),"M",""),",","")," ",""))),0))</f>
        <v/>
      </c>
      <c r="BZ375" s="5">
        <f>INDEX(Projects[Solution Type],374)&amp;""</f>
        <v/>
      </c>
      <c r="CA375" s="5">
        <f>INDEX(Projects[Client / Region],374)&amp;""</f>
        <v/>
      </c>
      <c r="CB375" s="5">
        <f>INDEX(Projects[Year],374)</f>
        <v/>
      </c>
      <c r="CC375" s="5">
        <f>INDEX(Projects[Won?],374)&amp;""</f>
        <v/>
      </c>
      <c r="CD375" s="5">
        <f>INDEX(Projects[Value (USD M)],374)</f>
        <v/>
      </c>
    </row>
    <row r="376" ht="15" customHeight="1" s="74">
      <c r="A376" s="66">
        <f>INDEX(Projects[Project ID *],375)&amp;""</f>
        <v/>
      </c>
      <c r="B376" s="66">
        <f>INDEX(Projects[Project Name *],375)&amp;""</f>
        <v/>
      </c>
      <c r="C376" s="66">
        <f>INDEX(Projects[MS Shuttles],375)</f>
        <v/>
      </c>
      <c r="D376" s="66">
        <f>INDEX(Projects[MS Tote Locations],375)</f>
        <v/>
      </c>
      <c r="E376" s="66">
        <f>INDEX(Projects[AS Robots],375)</f>
        <v/>
      </c>
      <c r="F376" s="66">
        <f>INDEX(Projects[AS Tote Locations],375)</f>
        <v/>
      </c>
      <c r="G376" s="66">
        <f>INDEX(Projects[PS Shuttles],375)</f>
        <v/>
      </c>
      <c r="H376" s="66">
        <f>INDEX(Projects[PS Pallet Locations],375)</f>
        <v/>
      </c>
      <c r="I376" s="66">
        <f>INDEX(Projects[SRM Cranes],375)</f>
        <v/>
      </c>
      <c r="J376" s="66">
        <f>INDEX(Projects[SRM Pallet Locations],375)</f>
        <v/>
      </c>
      <c r="K376" s="66">
        <f>INDEX(Projects[Case Conv (m)],375)</f>
        <v/>
      </c>
      <c r="L376" s="66">
        <f>INDEX(Projects[Pallet Conv (m)],375)</f>
        <v/>
      </c>
      <c r="M376" s="66">
        <f>INDEX(Projects[Mech Eng (wks)],375)</f>
        <v/>
      </c>
      <c r="N376" s="66">
        <f>INDEX(Projects[Controls Eng (wks)],375)</f>
        <v/>
      </c>
      <c r="O376" s="66">
        <f>INDEX(Projects[Systems Eng (wks)],375)</f>
        <v/>
      </c>
      <c r="P376" s="66">
        <f>INDEX(Projects[Software Eng (wks)],375)</f>
        <v/>
      </c>
      <c r="Q376" s="66">
        <f>INDEX(Projects[M&amp;E Installation (wks)],375)</f>
        <v/>
      </c>
      <c r="R376" s="66">
        <f>INDEX(Projects[Commissioning (wks)],375)</f>
        <v/>
      </c>
      <c r="S376" s="66">
        <f>INDEX(Projects[Total Timeline (wks)],375)</f>
        <v/>
      </c>
      <c r="T376" s="66">
        <f>INDEX(Projects[Currency],375)&amp;""</f>
        <v/>
      </c>
      <c r="U376" s="67">
        <f>INDEX(Projects[Value (M)],375)</f>
        <v/>
      </c>
      <c r="V376" s="66">
        <f>IF('Smart Search'!B13=1,IFERROR(1/'Smart Search'!H13,0),0)</f>
        <v/>
      </c>
      <c r="W376" s="66">
        <f>IF('Smart Search'!B13=1,IFERROR(1/'Smart Search'!H13,0),0)</f>
        <v/>
      </c>
      <c r="X376" s="66">
        <f>IF('Smart Search'!C13=1,IFERROR(1/'Smart Search'!H13,0),0)</f>
        <v/>
      </c>
      <c r="Y376" s="66">
        <f>IF('Smart Search'!C13=1,IFERROR(1/'Smart Search'!H13,0),0)</f>
        <v/>
      </c>
      <c r="Z376" s="66">
        <f>IF('Smart Search'!D13=1,IFERROR(1/'Smart Search'!H13,0),0)</f>
        <v/>
      </c>
      <c r="AA376" s="66">
        <f>IF('Smart Search'!D13=1,IFERROR(1/'Smart Search'!H13,0),0)</f>
        <v/>
      </c>
      <c r="AB376" s="66">
        <f>IF('Smart Search'!E13=1,IFERROR(1/'Smart Search'!H13,0),0)</f>
        <v/>
      </c>
      <c r="AC376" s="66">
        <f>IF('Smart Search'!E13=1,IFERROR(1/'Smart Search'!H13,0),0)</f>
        <v/>
      </c>
      <c r="AD376" s="66">
        <f>IF('Smart Search'!F13=1,IFERROR(1/'Smart Search'!H13,0),0)</f>
        <v/>
      </c>
      <c r="AE376" s="66">
        <f>IF('Smart Search'!F13=1,IFERROR(1/'Smart Search'!H13,0),0)</f>
        <v/>
      </c>
      <c r="AF376" s="66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66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66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66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66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66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66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66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66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66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66">
        <f>AF376*V376</f>
        <v/>
      </c>
      <c r="AQ376" s="66">
        <f>AG376*W376</f>
        <v/>
      </c>
      <c r="AR376" s="66">
        <f>AH376*X376</f>
        <v/>
      </c>
      <c r="AS376" s="66">
        <f>AI376*Y376</f>
        <v/>
      </c>
      <c r="AT376" s="66">
        <f>AJ376*Z376</f>
        <v/>
      </c>
      <c r="AU376" s="66">
        <f>AK376*AA376</f>
        <v/>
      </c>
      <c r="AV376" s="66">
        <f>AL376*AB376</f>
        <v/>
      </c>
      <c r="AW376" s="66">
        <f>AM376*AC376</f>
        <v/>
      </c>
      <c r="AX376" s="66">
        <f>AN376*AD376</f>
        <v/>
      </c>
      <c r="AY376" s="66">
        <f>AO376*AE376</f>
        <v/>
      </c>
      <c r="AZ376" s="66">
        <f>INDEX(Projects[Automation Equipment],375)&amp;""</f>
        <v/>
      </c>
      <c r="BA376" s="66">
        <f>IF(OR(A376="",'Smart Search'!H13=0),"",MAX(0,BE376*BF376*MAX(0,1-BG376)))</f>
        <v/>
      </c>
      <c r="BB376" s="66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66">
        <f>IF('Smart Search'!G13=1,IFERROR(1/'Smart Search'!H13,0),0)</f>
        <v/>
      </c>
      <c r="BD376" s="66">
        <f>BB376*BC376</f>
        <v/>
      </c>
      <c r="BE376" s="66">
        <f>AP376+AQ376+AR376+AS376+AT376+AU376+AV376+AW376+AX376+AY376+BD376</f>
        <v/>
      </c>
      <c r="BF376" s="5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5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5">
        <f>IF(AND(A376&lt;&gt;"",OR('Smart Search'!$L$5="",'Smart Search'!$L$5="All",TRIM(BZ376)=TRIM('Smart Search'!$L$5)),OR(TRIM('Smart Search'!$L$6)="",TRIM('Smart Search'!$L$6)="All",ISNUMBER(SEARCH(SUBSTITUTE(SUBSTITUTE(SUBSTITUTE(TRIM('Smart Search'!$L$6),"~","~~"),"*","~*"),"?","~?"),CA376))),OR('Smart Search'!$L$7="",AND(CB376&lt;&gt;0,CB376='Smart Search'!$L$7)),OR('Smart Search'!$L$8="",'Smart Search'!$L$8="All",TRIM(CC376)=TRIM('Smart Search'!$L$8))),IF(BA376="","",BA376+ROW()*0.0000000001),"")</f>
        <v/>
      </c>
      <c r="BI376" s="5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5">
        <f>IF(A376="","",N(INDEX(Projects[Mech Inst],375)))</f>
        <v/>
      </c>
      <c r="BK376" s="5">
        <f>IF(A376="","",N(INDEX(Projects[Elec Inst],375)))</f>
        <v/>
      </c>
      <c r="BL376" s="5">
        <f>IF(A376="","",N(INDEX(Projects[Project Management],375)))</f>
        <v/>
      </c>
      <c r="BM376" s="5">
        <f>IF(A376="","",N(INDEX(Projects[Systems Eng],375)))</f>
        <v/>
      </c>
      <c r="BN376" s="5">
        <f>IF(A376="","",N(INDEX(Projects[Mechanical Eng],375)))</f>
        <v/>
      </c>
      <c r="BO376" s="5">
        <f>IF(A376="","",N(INDEX(Projects[Structural Engineering],375)))</f>
        <v/>
      </c>
      <c r="BP376" s="5">
        <f>IF(A376="","",N(INDEX(Projects[Site Sup],375)))</f>
        <v/>
      </c>
      <c r="BQ376" s="5">
        <f>IF(A376="","",N(INDEX(Projects[Controls Commissioning],375)))</f>
        <v/>
      </c>
      <c r="BR376" s="5">
        <f>IF(A376="","",N(INDEX(Projects[Systems Commissioning],375)))</f>
        <v/>
      </c>
      <c r="BS376" s="5">
        <f>IF(A376="","",N(INDEX(Projects[Service Commissioning],375)))</f>
        <v/>
      </c>
      <c r="BT376" s="5">
        <f>IF(A376="","",N(INDEX(Projects[Controls Eng],375)))</f>
        <v/>
      </c>
      <c r="BU376" s="5">
        <f>IF(A376="","",N(INDEX(Projects[Controls Purchase],375)))</f>
        <v/>
      </c>
      <c r="BV376" s="5">
        <f>IF(A376="","",N(INDEX(Projects[Software Eng],375)))</f>
        <v/>
      </c>
      <c r="BW376" s="5">
        <f>IF(A376="","",N(INDEX(Projects[Misc],375)))</f>
        <v/>
      </c>
      <c r="BX376" s="5">
        <f>IF(A376="","",SUM(BJ376:BW376))</f>
        <v/>
      </c>
      <c r="BY376" s="5">
        <f>IF(A376="","",IFERROR(IF(ISNUMBER(U376),U376,VALUE(SUBSTITUTE(SUBSTITUTE(SUBSTITUTE(UPPER(TRIM(U376)),"M",""),",","")," ",""))),0))</f>
        <v/>
      </c>
      <c r="BZ376" s="5">
        <f>INDEX(Projects[Solution Type],375)&amp;""</f>
        <v/>
      </c>
      <c r="CA376" s="5">
        <f>INDEX(Projects[Client / Region],375)&amp;""</f>
        <v/>
      </c>
      <c r="CB376" s="5">
        <f>INDEX(Projects[Year],375)</f>
        <v/>
      </c>
      <c r="CC376" s="5">
        <f>INDEX(Projects[Won?],375)&amp;""</f>
        <v/>
      </c>
      <c r="CD376" s="5">
        <f>INDEX(Projects[Value (USD M)],375)</f>
        <v/>
      </c>
    </row>
    <row r="377" ht="15" customHeight="1" s="74">
      <c r="A377" s="66">
        <f>INDEX(Projects[Project ID *],376)&amp;""</f>
        <v/>
      </c>
      <c r="B377" s="66">
        <f>INDEX(Projects[Project Name *],376)&amp;""</f>
        <v/>
      </c>
      <c r="C377" s="66">
        <f>INDEX(Projects[MS Shuttles],376)</f>
        <v/>
      </c>
      <c r="D377" s="66">
        <f>INDEX(Projects[MS Tote Locations],376)</f>
        <v/>
      </c>
      <c r="E377" s="66">
        <f>INDEX(Projects[AS Robots],376)</f>
        <v/>
      </c>
      <c r="F377" s="66">
        <f>INDEX(Projects[AS Tote Locations],376)</f>
        <v/>
      </c>
      <c r="G377" s="66">
        <f>INDEX(Projects[PS Shuttles],376)</f>
        <v/>
      </c>
      <c r="H377" s="66">
        <f>INDEX(Projects[PS Pallet Locations],376)</f>
        <v/>
      </c>
      <c r="I377" s="66">
        <f>INDEX(Projects[SRM Cranes],376)</f>
        <v/>
      </c>
      <c r="J377" s="66">
        <f>INDEX(Projects[SRM Pallet Locations],376)</f>
        <v/>
      </c>
      <c r="K377" s="66">
        <f>INDEX(Projects[Case Conv (m)],376)</f>
        <v/>
      </c>
      <c r="L377" s="66">
        <f>INDEX(Projects[Pallet Conv (m)],376)</f>
        <v/>
      </c>
      <c r="M377" s="66">
        <f>INDEX(Projects[Mech Eng (wks)],376)</f>
        <v/>
      </c>
      <c r="N377" s="66">
        <f>INDEX(Projects[Controls Eng (wks)],376)</f>
        <v/>
      </c>
      <c r="O377" s="66">
        <f>INDEX(Projects[Systems Eng (wks)],376)</f>
        <v/>
      </c>
      <c r="P377" s="66">
        <f>INDEX(Projects[Software Eng (wks)],376)</f>
        <v/>
      </c>
      <c r="Q377" s="66">
        <f>INDEX(Projects[M&amp;E Installation (wks)],376)</f>
        <v/>
      </c>
      <c r="R377" s="66">
        <f>INDEX(Projects[Commissioning (wks)],376)</f>
        <v/>
      </c>
      <c r="S377" s="66">
        <f>INDEX(Projects[Total Timeline (wks)],376)</f>
        <v/>
      </c>
      <c r="T377" s="66">
        <f>INDEX(Projects[Currency],376)&amp;""</f>
        <v/>
      </c>
      <c r="U377" s="67">
        <f>INDEX(Projects[Value (M)],376)</f>
        <v/>
      </c>
      <c r="V377" s="66">
        <f>IF('Smart Search'!B13=1,IFERROR(1/'Smart Search'!H13,0),0)</f>
        <v/>
      </c>
      <c r="W377" s="66">
        <f>IF('Smart Search'!B13=1,IFERROR(1/'Smart Search'!H13,0),0)</f>
        <v/>
      </c>
      <c r="X377" s="66">
        <f>IF('Smart Search'!C13=1,IFERROR(1/'Smart Search'!H13,0),0)</f>
        <v/>
      </c>
      <c r="Y377" s="66">
        <f>IF('Smart Search'!C13=1,IFERROR(1/'Smart Search'!H13,0),0)</f>
        <v/>
      </c>
      <c r="Z377" s="66">
        <f>IF('Smart Search'!D13=1,IFERROR(1/'Smart Search'!H13,0),0)</f>
        <v/>
      </c>
      <c r="AA377" s="66">
        <f>IF('Smart Search'!D13=1,IFERROR(1/'Smart Search'!H13,0),0)</f>
        <v/>
      </c>
      <c r="AB377" s="66">
        <f>IF('Smart Search'!E13=1,IFERROR(1/'Smart Search'!H13,0),0)</f>
        <v/>
      </c>
      <c r="AC377" s="66">
        <f>IF('Smart Search'!E13=1,IFERROR(1/'Smart Search'!H13,0),0)</f>
        <v/>
      </c>
      <c r="AD377" s="66">
        <f>IF('Smart Search'!F13=1,IFERROR(1/'Smart Search'!H13,0),0)</f>
        <v/>
      </c>
      <c r="AE377" s="66">
        <f>IF('Smart Search'!F13=1,IFERROR(1/'Smart Search'!H13,0),0)</f>
        <v/>
      </c>
      <c r="AF377" s="66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66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66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66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66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66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66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66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66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66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66">
        <f>AF377*V377</f>
        <v/>
      </c>
      <c r="AQ377" s="66">
        <f>AG377*W377</f>
        <v/>
      </c>
      <c r="AR377" s="66">
        <f>AH377*X377</f>
        <v/>
      </c>
      <c r="AS377" s="66">
        <f>AI377*Y377</f>
        <v/>
      </c>
      <c r="AT377" s="66">
        <f>AJ377*Z377</f>
        <v/>
      </c>
      <c r="AU377" s="66">
        <f>AK377*AA377</f>
        <v/>
      </c>
      <c r="AV377" s="66">
        <f>AL377*AB377</f>
        <v/>
      </c>
      <c r="AW377" s="66">
        <f>AM377*AC377</f>
        <v/>
      </c>
      <c r="AX377" s="66">
        <f>AN377*AD377</f>
        <v/>
      </c>
      <c r="AY377" s="66">
        <f>AO377*AE377</f>
        <v/>
      </c>
      <c r="AZ377" s="66">
        <f>INDEX(Projects[Automation Equipment],376)&amp;""</f>
        <v/>
      </c>
      <c r="BA377" s="66">
        <f>IF(OR(A377="",'Smart Search'!H13=0),"",MAX(0,BE377*BF377*MAX(0,1-BG377)))</f>
        <v/>
      </c>
      <c r="BB377" s="66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66">
        <f>IF('Smart Search'!G13=1,IFERROR(1/'Smart Search'!H13,0),0)</f>
        <v/>
      </c>
      <c r="BD377" s="66">
        <f>BB377*BC377</f>
        <v/>
      </c>
      <c r="BE377" s="66">
        <f>AP377+AQ377+AR377+AS377+AT377+AU377+AV377+AW377+AX377+AY377+BD377</f>
        <v/>
      </c>
      <c r="BF377" s="5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5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5">
        <f>IF(AND(A377&lt;&gt;"",OR('Smart Search'!$L$5="",'Smart Search'!$L$5="All",TRIM(BZ377)=TRIM('Smart Search'!$L$5)),OR(TRIM('Smart Search'!$L$6)="",TRIM('Smart Search'!$L$6)="All",ISNUMBER(SEARCH(SUBSTITUTE(SUBSTITUTE(SUBSTITUTE(TRIM('Smart Search'!$L$6),"~","~~"),"*","~*"),"?","~?"),CA377))),OR('Smart Search'!$L$7="",AND(CB377&lt;&gt;0,CB377='Smart Search'!$L$7)),OR('Smart Search'!$L$8="",'Smart Search'!$L$8="All",TRIM(CC377)=TRIM('Smart Search'!$L$8))),IF(BA377="","",BA377+ROW()*0.0000000001),"")</f>
        <v/>
      </c>
      <c r="BI377" s="5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5">
        <f>IF(A377="","",N(INDEX(Projects[Mech Inst],376)))</f>
        <v/>
      </c>
      <c r="BK377" s="5">
        <f>IF(A377="","",N(INDEX(Projects[Elec Inst],376)))</f>
        <v/>
      </c>
      <c r="BL377" s="5">
        <f>IF(A377="","",N(INDEX(Projects[Project Management],376)))</f>
        <v/>
      </c>
      <c r="BM377" s="5">
        <f>IF(A377="","",N(INDEX(Projects[Systems Eng],376)))</f>
        <v/>
      </c>
      <c r="BN377" s="5">
        <f>IF(A377="","",N(INDEX(Projects[Mechanical Eng],376)))</f>
        <v/>
      </c>
      <c r="BO377" s="5">
        <f>IF(A377="","",N(INDEX(Projects[Structural Engineering],376)))</f>
        <v/>
      </c>
      <c r="BP377" s="5">
        <f>IF(A377="","",N(INDEX(Projects[Site Sup],376)))</f>
        <v/>
      </c>
      <c r="BQ377" s="5">
        <f>IF(A377="","",N(INDEX(Projects[Controls Commissioning],376)))</f>
        <v/>
      </c>
      <c r="BR377" s="5">
        <f>IF(A377="","",N(INDEX(Projects[Systems Commissioning],376)))</f>
        <v/>
      </c>
      <c r="BS377" s="5">
        <f>IF(A377="","",N(INDEX(Projects[Service Commissioning],376)))</f>
        <v/>
      </c>
      <c r="BT377" s="5">
        <f>IF(A377="","",N(INDEX(Projects[Controls Eng],376)))</f>
        <v/>
      </c>
      <c r="BU377" s="5">
        <f>IF(A377="","",N(INDEX(Projects[Controls Purchase],376)))</f>
        <v/>
      </c>
      <c r="BV377" s="5">
        <f>IF(A377="","",N(INDEX(Projects[Software Eng],376)))</f>
        <v/>
      </c>
      <c r="BW377" s="5">
        <f>IF(A377="","",N(INDEX(Projects[Misc],376)))</f>
        <v/>
      </c>
      <c r="BX377" s="5">
        <f>IF(A377="","",SUM(BJ377:BW377))</f>
        <v/>
      </c>
      <c r="BY377" s="5">
        <f>IF(A377="","",IFERROR(IF(ISNUMBER(U377),U377,VALUE(SUBSTITUTE(SUBSTITUTE(SUBSTITUTE(UPPER(TRIM(U377)),"M",""),",","")," ",""))),0))</f>
        <v/>
      </c>
      <c r="BZ377" s="5">
        <f>INDEX(Projects[Solution Type],376)&amp;""</f>
        <v/>
      </c>
      <c r="CA377" s="5">
        <f>INDEX(Projects[Client / Region],376)&amp;""</f>
        <v/>
      </c>
      <c r="CB377" s="5">
        <f>INDEX(Projects[Year],376)</f>
        <v/>
      </c>
      <c r="CC377" s="5">
        <f>INDEX(Projects[Won?],376)&amp;""</f>
        <v/>
      </c>
      <c r="CD377" s="5">
        <f>INDEX(Projects[Value (USD M)],376)</f>
        <v/>
      </c>
    </row>
    <row r="378" ht="15" customHeight="1" s="74">
      <c r="A378" s="66">
        <f>INDEX(Projects[Project ID *],377)&amp;""</f>
        <v/>
      </c>
      <c r="B378" s="66">
        <f>INDEX(Projects[Project Name *],377)&amp;""</f>
        <v/>
      </c>
      <c r="C378" s="66">
        <f>INDEX(Projects[MS Shuttles],377)</f>
        <v/>
      </c>
      <c r="D378" s="66">
        <f>INDEX(Projects[MS Tote Locations],377)</f>
        <v/>
      </c>
      <c r="E378" s="66">
        <f>INDEX(Projects[AS Robots],377)</f>
        <v/>
      </c>
      <c r="F378" s="66">
        <f>INDEX(Projects[AS Tote Locations],377)</f>
        <v/>
      </c>
      <c r="G378" s="66">
        <f>INDEX(Projects[PS Shuttles],377)</f>
        <v/>
      </c>
      <c r="H378" s="66">
        <f>INDEX(Projects[PS Pallet Locations],377)</f>
        <v/>
      </c>
      <c r="I378" s="66">
        <f>INDEX(Projects[SRM Cranes],377)</f>
        <v/>
      </c>
      <c r="J378" s="66">
        <f>INDEX(Projects[SRM Pallet Locations],377)</f>
        <v/>
      </c>
      <c r="K378" s="66">
        <f>INDEX(Projects[Case Conv (m)],377)</f>
        <v/>
      </c>
      <c r="L378" s="66">
        <f>INDEX(Projects[Pallet Conv (m)],377)</f>
        <v/>
      </c>
      <c r="M378" s="66">
        <f>INDEX(Projects[Mech Eng (wks)],377)</f>
        <v/>
      </c>
      <c r="N378" s="66">
        <f>INDEX(Projects[Controls Eng (wks)],377)</f>
        <v/>
      </c>
      <c r="O378" s="66">
        <f>INDEX(Projects[Systems Eng (wks)],377)</f>
        <v/>
      </c>
      <c r="P378" s="66">
        <f>INDEX(Projects[Software Eng (wks)],377)</f>
        <v/>
      </c>
      <c r="Q378" s="66">
        <f>INDEX(Projects[M&amp;E Installation (wks)],377)</f>
        <v/>
      </c>
      <c r="R378" s="66">
        <f>INDEX(Projects[Commissioning (wks)],377)</f>
        <v/>
      </c>
      <c r="S378" s="66">
        <f>INDEX(Projects[Total Timeline (wks)],377)</f>
        <v/>
      </c>
      <c r="T378" s="66">
        <f>INDEX(Projects[Currency],377)&amp;""</f>
        <v/>
      </c>
      <c r="U378" s="67">
        <f>INDEX(Projects[Value (M)],377)</f>
        <v/>
      </c>
      <c r="V378" s="66">
        <f>IF('Smart Search'!B13=1,IFERROR(1/'Smart Search'!H13,0),0)</f>
        <v/>
      </c>
      <c r="W378" s="66">
        <f>IF('Smart Search'!B13=1,IFERROR(1/'Smart Search'!H13,0),0)</f>
        <v/>
      </c>
      <c r="X378" s="66">
        <f>IF('Smart Search'!C13=1,IFERROR(1/'Smart Search'!H13,0),0)</f>
        <v/>
      </c>
      <c r="Y378" s="66">
        <f>IF('Smart Search'!C13=1,IFERROR(1/'Smart Search'!H13,0),0)</f>
        <v/>
      </c>
      <c r="Z378" s="66">
        <f>IF('Smart Search'!D13=1,IFERROR(1/'Smart Search'!H13,0),0)</f>
        <v/>
      </c>
      <c r="AA378" s="66">
        <f>IF('Smart Search'!D13=1,IFERROR(1/'Smart Search'!H13,0),0)</f>
        <v/>
      </c>
      <c r="AB378" s="66">
        <f>IF('Smart Search'!E13=1,IFERROR(1/'Smart Search'!H13,0),0)</f>
        <v/>
      </c>
      <c r="AC378" s="66">
        <f>IF('Smart Search'!E13=1,IFERROR(1/'Smart Search'!H13,0),0)</f>
        <v/>
      </c>
      <c r="AD378" s="66">
        <f>IF('Smart Search'!F13=1,IFERROR(1/'Smart Search'!H13,0),0)</f>
        <v/>
      </c>
      <c r="AE378" s="66">
        <f>IF('Smart Search'!F13=1,IFERROR(1/'Smart Search'!H13,0),0)</f>
        <v/>
      </c>
      <c r="AF378" s="66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66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66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66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66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66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66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66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66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66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66">
        <f>AF378*V378</f>
        <v/>
      </c>
      <c r="AQ378" s="66">
        <f>AG378*W378</f>
        <v/>
      </c>
      <c r="AR378" s="66">
        <f>AH378*X378</f>
        <v/>
      </c>
      <c r="AS378" s="66">
        <f>AI378*Y378</f>
        <v/>
      </c>
      <c r="AT378" s="66">
        <f>AJ378*Z378</f>
        <v/>
      </c>
      <c r="AU378" s="66">
        <f>AK378*AA378</f>
        <v/>
      </c>
      <c r="AV378" s="66">
        <f>AL378*AB378</f>
        <v/>
      </c>
      <c r="AW378" s="66">
        <f>AM378*AC378</f>
        <v/>
      </c>
      <c r="AX378" s="66">
        <f>AN378*AD378</f>
        <v/>
      </c>
      <c r="AY378" s="66">
        <f>AO378*AE378</f>
        <v/>
      </c>
      <c r="AZ378" s="66">
        <f>INDEX(Projects[Automation Equipment],377)&amp;""</f>
        <v/>
      </c>
      <c r="BA378" s="66">
        <f>IF(OR(A378="",'Smart Search'!H13=0),"",MAX(0,BE378*BF378*MAX(0,1-BG378)))</f>
        <v/>
      </c>
      <c r="BB378" s="66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66">
        <f>IF('Smart Search'!G13=1,IFERROR(1/'Smart Search'!H13,0),0)</f>
        <v/>
      </c>
      <c r="BD378" s="66">
        <f>BB378*BC378</f>
        <v/>
      </c>
      <c r="BE378" s="66">
        <f>AP378+AQ378+AR378+AS378+AT378+AU378+AV378+AW378+AX378+AY378+BD378</f>
        <v/>
      </c>
      <c r="BF378" s="5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5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5">
        <f>IF(AND(A378&lt;&gt;"",OR('Smart Search'!$L$5="",'Smart Search'!$L$5="All",TRIM(BZ378)=TRIM('Smart Search'!$L$5)),OR(TRIM('Smart Search'!$L$6)="",TRIM('Smart Search'!$L$6)="All",ISNUMBER(SEARCH(SUBSTITUTE(SUBSTITUTE(SUBSTITUTE(TRIM('Smart Search'!$L$6),"~","~~"),"*","~*"),"?","~?"),CA378))),OR('Smart Search'!$L$7="",AND(CB378&lt;&gt;0,CB378='Smart Search'!$L$7)),OR('Smart Search'!$L$8="",'Smart Search'!$L$8="All",TRIM(CC378)=TRIM('Smart Search'!$L$8))),IF(BA378="","",BA378+ROW()*0.0000000001),"")</f>
        <v/>
      </c>
      <c r="BI378" s="5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5">
        <f>IF(A378="","",N(INDEX(Projects[Mech Inst],377)))</f>
        <v/>
      </c>
      <c r="BK378" s="5">
        <f>IF(A378="","",N(INDEX(Projects[Elec Inst],377)))</f>
        <v/>
      </c>
      <c r="BL378" s="5">
        <f>IF(A378="","",N(INDEX(Projects[Project Management],377)))</f>
        <v/>
      </c>
      <c r="BM378" s="5">
        <f>IF(A378="","",N(INDEX(Projects[Systems Eng],377)))</f>
        <v/>
      </c>
      <c r="BN378" s="5">
        <f>IF(A378="","",N(INDEX(Projects[Mechanical Eng],377)))</f>
        <v/>
      </c>
      <c r="BO378" s="5">
        <f>IF(A378="","",N(INDEX(Projects[Structural Engineering],377)))</f>
        <v/>
      </c>
      <c r="BP378" s="5">
        <f>IF(A378="","",N(INDEX(Projects[Site Sup],377)))</f>
        <v/>
      </c>
      <c r="BQ378" s="5">
        <f>IF(A378="","",N(INDEX(Projects[Controls Commissioning],377)))</f>
        <v/>
      </c>
      <c r="BR378" s="5">
        <f>IF(A378="","",N(INDEX(Projects[Systems Commissioning],377)))</f>
        <v/>
      </c>
      <c r="BS378" s="5">
        <f>IF(A378="","",N(INDEX(Projects[Service Commissioning],377)))</f>
        <v/>
      </c>
      <c r="BT378" s="5">
        <f>IF(A378="","",N(INDEX(Projects[Controls Eng],377)))</f>
        <v/>
      </c>
      <c r="BU378" s="5">
        <f>IF(A378="","",N(INDEX(Projects[Controls Purchase],377)))</f>
        <v/>
      </c>
      <c r="BV378" s="5">
        <f>IF(A378="","",N(INDEX(Projects[Software Eng],377)))</f>
        <v/>
      </c>
      <c r="BW378" s="5">
        <f>IF(A378="","",N(INDEX(Projects[Misc],377)))</f>
        <v/>
      </c>
      <c r="BX378" s="5">
        <f>IF(A378="","",SUM(BJ378:BW378))</f>
        <v/>
      </c>
      <c r="BY378" s="5">
        <f>IF(A378="","",IFERROR(IF(ISNUMBER(U378),U378,VALUE(SUBSTITUTE(SUBSTITUTE(SUBSTITUTE(UPPER(TRIM(U378)),"M",""),",","")," ",""))),0))</f>
        <v/>
      </c>
      <c r="BZ378" s="5">
        <f>INDEX(Projects[Solution Type],377)&amp;""</f>
        <v/>
      </c>
      <c r="CA378" s="5">
        <f>INDEX(Projects[Client / Region],377)&amp;""</f>
        <v/>
      </c>
      <c r="CB378" s="5">
        <f>INDEX(Projects[Year],377)</f>
        <v/>
      </c>
      <c r="CC378" s="5">
        <f>INDEX(Projects[Won?],377)&amp;""</f>
        <v/>
      </c>
      <c r="CD378" s="5">
        <f>INDEX(Projects[Value (USD M)],377)</f>
        <v/>
      </c>
    </row>
    <row r="379" ht="15" customHeight="1" s="74">
      <c r="A379" s="66">
        <f>INDEX(Projects[Project ID *],378)&amp;""</f>
        <v/>
      </c>
      <c r="B379" s="66">
        <f>INDEX(Projects[Project Name *],378)&amp;""</f>
        <v/>
      </c>
      <c r="C379" s="66">
        <f>INDEX(Projects[MS Shuttles],378)</f>
        <v/>
      </c>
      <c r="D379" s="66">
        <f>INDEX(Projects[MS Tote Locations],378)</f>
        <v/>
      </c>
      <c r="E379" s="66">
        <f>INDEX(Projects[AS Robots],378)</f>
        <v/>
      </c>
      <c r="F379" s="66">
        <f>INDEX(Projects[AS Tote Locations],378)</f>
        <v/>
      </c>
      <c r="G379" s="66">
        <f>INDEX(Projects[PS Shuttles],378)</f>
        <v/>
      </c>
      <c r="H379" s="66">
        <f>INDEX(Projects[PS Pallet Locations],378)</f>
        <v/>
      </c>
      <c r="I379" s="66">
        <f>INDEX(Projects[SRM Cranes],378)</f>
        <v/>
      </c>
      <c r="J379" s="66">
        <f>INDEX(Projects[SRM Pallet Locations],378)</f>
        <v/>
      </c>
      <c r="K379" s="66">
        <f>INDEX(Projects[Case Conv (m)],378)</f>
        <v/>
      </c>
      <c r="L379" s="66">
        <f>INDEX(Projects[Pallet Conv (m)],378)</f>
        <v/>
      </c>
      <c r="M379" s="66">
        <f>INDEX(Projects[Mech Eng (wks)],378)</f>
        <v/>
      </c>
      <c r="N379" s="66">
        <f>INDEX(Projects[Controls Eng (wks)],378)</f>
        <v/>
      </c>
      <c r="O379" s="66">
        <f>INDEX(Projects[Systems Eng (wks)],378)</f>
        <v/>
      </c>
      <c r="P379" s="66">
        <f>INDEX(Projects[Software Eng (wks)],378)</f>
        <v/>
      </c>
      <c r="Q379" s="66">
        <f>INDEX(Projects[M&amp;E Installation (wks)],378)</f>
        <v/>
      </c>
      <c r="R379" s="66">
        <f>INDEX(Projects[Commissioning (wks)],378)</f>
        <v/>
      </c>
      <c r="S379" s="66">
        <f>INDEX(Projects[Total Timeline (wks)],378)</f>
        <v/>
      </c>
      <c r="T379" s="66">
        <f>INDEX(Projects[Currency],378)&amp;""</f>
        <v/>
      </c>
      <c r="U379" s="67">
        <f>INDEX(Projects[Value (M)],378)</f>
        <v/>
      </c>
      <c r="V379" s="66">
        <f>IF('Smart Search'!B13=1,IFERROR(1/'Smart Search'!H13,0),0)</f>
        <v/>
      </c>
      <c r="W379" s="66">
        <f>IF('Smart Search'!B13=1,IFERROR(1/'Smart Search'!H13,0),0)</f>
        <v/>
      </c>
      <c r="X379" s="66">
        <f>IF('Smart Search'!C13=1,IFERROR(1/'Smart Search'!H13,0),0)</f>
        <v/>
      </c>
      <c r="Y379" s="66">
        <f>IF('Smart Search'!C13=1,IFERROR(1/'Smart Search'!H13,0),0)</f>
        <v/>
      </c>
      <c r="Z379" s="66">
        <f>IF('Smart Search'!D13=1,IFERROR(1/'Smart Search'!H13,0),0)</f>
        <v/>
      </c>
      <c r="AA379" s="66">
        <f>IF('Smart Search'!D13=1,IFERROR(1/'Smart Search'!H13,0),0)</f>
        <v/>
      </c>
      <c r="AB379" s="66">
        <f>IF('Smart Search'!E13=1,IFERROR(1/'Smart Search'!H13,0),0)</f>
        <v/>
      </c>
      <c r="AC379" s="66">
        <f>IF('Smart Search'!E13=1,IFERROR(1/'Smart Search'!H13,0),0)</f>
        <v/>
      </c>
      <c r="AD379" s="66">
        <f>IF('Smart Search'!F13=1,IFERROR(1/'Smart Search'!H13,0),0)</f>
        <v/>
      </c>
      <c r="AE379" s="66">
        <f>IF('Smart Search'!F13=1,IFERROR(1/'Smart Search'!H13,0),0)</f>
        <v/>
      </c>
      <c r="AF379" s="66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66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66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66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66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66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66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66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66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66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66">
        <f>AF379*V379</f>
        <v/>
      </c>
      <c r="AQ379" s="66">
        <f>AG379*W379</f>
        <v/>
      </c>
      <c r="AR379" s="66">
        <f>AH379*X379</f>
        <v/>
      </c>
      <c r="AS379" s="66">
        <f>AI379*Y379</f>
        <v/>
      </c>
      <c r="AT379" s="66">
        <f>AJ379*Z379</f>
        <v/>
      </c>
      <c r="AU379" s="66">
        <f>AK379*AA379</f>
        <v/>
      </c>
      <c r="AV379" s="66">
        <f>AL379*AB379</f>
        <v/>
      </c>
      <c r="AW379" s="66">
        <f>AM379*AC379</f>
        <v/>
      </c>
      <c r="AX379" s="66">
        <f>AN379*AD379</f>
        <v/>
      </c>
      <c r="AY379" s="66">
        <f>AO379*AE379</f>
        <v/>
      </c>
      <c r="AZ379" s="66">
        <f>INDEX(Projects[Automation Equipment],378)&amp;""</f>
        <v/>
      </c>
      <c r="BA379" s="66">
        <f>IF(OR(A379="",'Smart Search'!H13=0),"",MAX(0,BE379*BF379*MAX(0,1-BG379)))</f>
        <v/>
      </c>
      <c r="BB379" s="66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66">
        <f>IF('Smart Search'!G13=1,IFERROR(1/'Smart Search'!H13,0),0)</f>
        <v/>
      </c>
      <c r="BD379" s="66">
        <f>BB379*BC379</f>
        <v/>
      </c>
      <c r="BE379" s="66">
        <f>AP379+AQ379+AR379+AS379+AT379+AU379+AV379+AW379+AX379+AY379+BD379</f>
        <v/>
      </c>
      <c r="BF379" s="5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5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5">
        <f>IF(AND(A379&lt;&gt;"",OR('Smart Search'!$L$5="",'Smart Search'!$L$5="All",TRIM(BZ379)=TRIM('Smart Search'!$L$5)),OR(TRIM('Smart Search'!$L$6)="",TRIM('Smart Search'!$L$6)="All",ISNUMBER(SEARCH(SUBSTITUTE(SUBSTITUTE(SUBSTITUTE(TRIM('Smart Search'!$L$6),"~","~~"),"*","~*"),"?","~?"),CA379))),OR('Smart Search'!$L$7="",AND(CB379&lt;&gt;0,CB379='Smart Search'!$L$7)),OR('Smart Search'!$L$8="",'Smart Search'!$L$8="All",TRIM(CC379)=TRIM('Smart Search'!$L$8))),IF(BA379="","",BA379+ROW()*0.0000000001),"")</f>
        <v/>
      </c>
      <c r="BI379" s="5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5">
        <f>IF(A379="","",N(INDEX(Projects[Mech Inst],378)))</f>
        <v/>
      </c>
      <c r="BK379" s="5">
        <f>IF(A379="","",N(INDEX(Projects[Elec Inst],378)))</f>
        <v/>
      </c>
      <c r="BL379" s="5">
        <f>IF(A379="","",N(INDEX(Projects[Project Management],378)))</f>
        <v/>
      </c>
      <c r="BM379" s="5">
        <f>IF(A379="","",N(INDEX(Projects[Systems Eng],378)))</f>
        <v/>
      </c>
      <c r="BN379" s="5">
        <f>IF(A379="","",N(INDEX(Projects[Mechanical Eng],378)))</f>
        <v/>
      </c>
      <c r="BO379" s="5">
        <f>IF(A379="","",N(INDEX(Projects[Structural Engineering],378)))</f>
        <v/>
      </c>
      <c r="BP379" s="5">
        <f>IF(A379="","",N(INDEX(Projects[Site Sup],378)))</f>
        <v/>
      </c>
      <c r="BQ379" s="5">
        <f>IF(A379="","",N(INDEX(Projects[Controls Commissioning],378)))</f>
        <v/>
      </c>
      <c r="BR379" s="5">
        <f>IF(A379="","",N(INDEX(Projects[Systems Commissioning],378)))</f>
        <v/>
      </c>
      <c r="BS379" s="5">
        <f>IF(A379="","",N(INDEX(Projects[Service Commissioning],378)))</f>
        <v/>
      </c>
      <c r="BT379" s="5">
        <f>IF(A379="","",N(INDEX(Projects[Controls Eng],378)))</f>
        <v/>
      </c>
      <c r="BU379" s="5">
        <f>IF(A379="","",N(INDEX(Projects[Controls Purchase],378)))</f>
        <v/>
      </c>
      <c r="BV379" s="5">
        <f>IF(A379="","",N(INDEX(Projects[Software Eng],378)))</f>
        <v/>
      </c>
      <c r="BW379" s="5">
        <f>IF(A379="","",N(INDEX(Projects[Misc],378)))</f>
        <v/>
      </c>
      <c r="BX379" s="5">
        <f>IF(A379="","",SUM(BJ379:BW379))</f>
        <v/>
      </c>
      <c r="BY379" s="5">
        <f>IF(A379="","",IFERROR(IF(ISNUMBER(U379),U379,VALUE(SUBSTITUTE(SUBSTITUTE(SUBSTITUTE(UPPER(TRIM(U379)),"M",""),",","")," ",""))),0))</f>
        <v/>
      </c>
      <c r="BZ379" s="5">
        <f>INDEX(Projects[Solution Type],378)&amp;""</f>
        <v/>
      </c>
      <c r="CA379" s="5">
        <f>INDEX(Projects[Client / Region],378)&amp;""</f>
        <v/>
      </c>
      <c r="CB379" s="5">
        <f>INDEX(Projects[Year],378)</f>
        <v/>
      </c>
      <c r="CC379" s="5">
        <f>INDEX(Projects[Won?],378)&amp;""</f>
        <v/>
      </c>
      <c r="CD379" s="5">
        <f>INDEX(Projects[Value (USD M)],378)</f>
        <v/>
      </c>
    </row>
    <row r="380" ht="15" customHeight="1" s="74">
      <c r="A380" s="66">
        <f>INDEX(Projects[Project ID *],379)&amp;""</f>
        <v/>
      </c>
      <c r="B380" s="66">
        <f>INDEX(Projects[Project Name *],379)&amp;""</f>
        <v/>
      </c>
      <c r="C380" s="66">
        <f>INDEX(Projects[MS Shuttles],379)</f>
        <v/>
      </c>
      <c r="D380" s="66">
        <f>INDEX(Projects[MS Tote Locations],379)</f>
        <v/>
      </c>
      <c r="E380" s="66">
        <f>INDEX(Projects[AS Robots],379)</f>
        <v/>
      </c>
      <c r="F380" s="66">
        <f>INDEX(Projects[AS Tote Locations],379)</f>
        <v/>
      </c>
      <c r="G380" s="66">
        <f>INDEX(Projects[PS Shuttles],379)</f>
        <v/>
      </c>
      <c r="H380" s="66">
        <f>INDEX(Projects[PS Pallet Locations],379)</f>
        <v/>
      </c>
      <c r="I380" s="66">
        <f>INDEX(Projects[SRM Cranes],379)</f>
        <v/>
      </c>
      <c r="J380" s="66">
        <f>INDEX(Projects[SRM Pallet Locations],379)</f>
        <v/>
      </c>
      <c r="K380" s="66">
        <f>INDEX(Projects[Case Conv (m)],379)</f>
        <v/>
      </c>
      <c r="L380" s="66">
        <f>INDEX(Projects[Pallet Conv (m)],379)</f>
        <v/>
      </c>
      <c r="M380" s="66">
        <f>INDEX(Projects[Mech Eng (wks)],379)</f>
        <v/>
      </c>
      <c r="N380" s="66">
        <f>INDEX(Projects[Controls Eng (wks)],379)</f>
        <v/>
      </c>
      <c r="O380" s="66">
        <f>INDEX(Projects[Systems Eng (wks)],379)</f>
        <v/>
      </c>
      <c r="P380" s="66">
        <f>INDEX(Projects[Software Eng (wks)],379)</f>
        <v/>
      </c>
      <c r="Q380" s="66">
        <f>INDEX(Projects[M&amp;E Installation (wks)],379)</f>
        <v/>
      </c>
      <c r="R380" s="66">
        <f>INDEX(Projects[Commissioning (wks)],379)</f>
        <v/>
      </c>
      <c r="S380" s="66">
        <f>INDEX(Projects[Total Timeline (wks)],379)</f>
        <v/>
      </c>
      <c r="T380" s="66">
        <f>INDEX(Projects[Currency],379)&amp;""</f>
        <v/>
      </c>
      <c r="U380" s="67">
        <f>INDEX(Projects[Value (M)],379)</f>
        <v/>
      </c>
      <c r="V380" s="66">
        <f>IF('Smart Search'!B13=1,IFERROR(1/'Smart Search'!H13,0),0)</f>
        <v/>
      </c>
      <c r="W380" s="66">
        <f>IF('Smart Search'!B13=1,IFERROR(1/'Smart Search'!H13,0),0)</f>
        <v/>
      </c>
      <c r="X380" s="66">
        <f>IF('Smart Search'!C13=1,IFERROR(1/'Smart Search'!H13,0),0)</f>
        <v/>
      </c>
      <c r="Y380" s="66">
        <f>IF('Smart Search'!C13=1,IFERROR(1/'Smart Search'!H13,0),0)</f>
        <v/>
      </c>
      <c r="Z380" s="66">
        <f>IF('Smart Search'!D13=1,IFERROR(1/'Smart Search'!H13,0),0)</f>
        <v/>
      </c>
      <c r="AA380" s="66">
        <f>IF('Smart Search'!D13=1,IFERROR(1/'Smart Search'!H13,0),0)</f>
        <v/>
      </c>
      <c r="AB380" s="66">
        <f>IF('Smart Search'!E13=1,IFERROR(1/'Smart Search'!H13,0),0)</f>
        <v/>
      </c>
      <c r="AC380" s="66">
        <f>IF('Smart Search'!E13=1,IFERROR(1/'Smart Search'!H13,0),0)</f>
        <v/>
      </c>
      <c r="AD380" s="66">
        <f>IF('Smart Search'!F13=1,IFERROR(1/'Smart Search'!H13,0),0)</f>
        <v/>
      </c>
      <c r="AE380" s="66">
        <f>IF('Smart Search'!F13=1,IFERROR(1/'Smart Search'!H13,0),0)</f>
        <v/>
      </c>
      <c r="AF380" s="66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66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66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66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66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66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66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66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66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66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66">
        <f>AF380*V380</f>
        <v/>
      </c>
      <c r="AQ380" s="66">
        <f>AG380*W380</f>
        <v/>
      </c>
      <c r="AR380" s="66">
        <f>AH380*X380</f>
        <v/>
      </c>
      <c r="AS380" s="66">
        <f>AI380*Y380</f>
        <v/>
      </c>
      <c r="AT380" s="66">
        <f>AJ380*Z380</f>
        <v/>
      </c>
      <c r="AU380" s="66">
        <f>AK380*AA380</f>
        <v/>
      </c>
      <c r="AV380" s="66">
        <f>AL380*AB380</f>
        <v/>
      </c>
      <c r="AW380" s="66">
        <f>AM380*AC380</f>
        <v/>
      </c>
      <c r="AX380" s="66">
        <f>AN380*AD380</f>
        <v/>
      </c>
      <c r="AY380" s="66">
        <f>AO380*AE380</f>
        <v/>
      </c>
      <c r="AZ380" s="66">
        <f>INDEX(Projects[Automation Equipment],379)&amp;""</f>
        <v/>
      </c>
      <c r="BA380" s="66">
        <f>IF(OR(A380="",'Smart Search'!H13=0),"",MAX(0,BE380*BF380*MAX(0,1-BG380)))</f>
        <v/>
      </c>
      <c r="BB380" s="66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66">
        <f>IF('Smart Search'!G13=1,IFERROR(1/'Smart Search'!H13,0),0)</f>
        <v/>
      </c>
      <c r="BD380" s="66">
        <f>BB380*BC380</f>
        <v/>
      </c>
      <c r="BE380" s="66">
        <f>AP380+AQ380+AR380+AS380+AT380+AU380+AV380+AW380+AX380+AY380+BD380</f>
        <v/>
      </c>
      <c r="BF380" s="5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5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5">
        <f>IF(AND(A380&lt;&gt;"",OR('Smart Search'!$L$5="",'Smart Search'!$L$5="All",TRIM(BZ380)=TRIM('Smart Search'!$L$5)),OR(TRIM('Smart Search'!$L$6)="",TRIM('Smart Search'!$L$6)="All",ISNUMBER(SEARCH(SUBSTITUTE(SUBSTITUTE(SUBSTITUTE(TRIM('Smart Search'!$L$6),"~","~~"),"*","~*"),"?","~?"),CA380))),OR('Smart Search'!$L$7="",AND(CB380&lt;&gt;0,CB380='Smart Search'!$L$7)),OR('Smart Search'!$L$8="",'Smart Search'!$L$8="All",TRIM(CC380)=TRIM('Smart Search'!$L$8))),IF(BA380="","",BA380+ROW()*0.0000000001),"")</f>
        <v/>
      </c>
      <c r="BI380" s="5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5">
        <f>IF(A380="","",N(INDEX(Projects[Mech Inst],379)))</f>
        <v/>
      </c>
      <c r="BK380" s="5">
        <f>IF(A380="","",N(INDEX(Projects[Elec Inst],379)))</f>
        <v/>
      </c>
      <c r="BL380" s="5">
        <f>IF(A380="","",N(INDEX(Projects[Project Management],379)))</f>
        <v/>
      </c>
      <c r="BM380" s="5">
        <f>IF(A380="","",N(INDEX(Projects[Systems Eng],379)))</f>
        <v/>
      </c>
      <c r="BN380" s="5">
        <f>IF(A380="","",N(INDEX(Projects[Mechanical Eng],379)))</f>
        <v/>
      </c>
      <c r="BO380" s="5">
        <f>IF(A380="","",N(INDEX(Projects[Structural Engineering],379)))</f>
        <v/>
      </c>
      <c r="BP380" s="5">
        <f>IF(A380="","",N(INDEX(Projects[Site Sup],379)))</f>
        <v/>
      </c>
      <c r="BQ380" s="5">
        <f>IF(A380="","",N(INDEX(Projects[Controls Commissioning],379)))</f>
        <v/>
      </c>
      <c r="BR380" s="5">
        <f>IF(A380="","",N(INDEX(Projects[Systems Commissioning],379)))</f>
        <v/>
      </c>
      <c r="BS380" s="5">
        <f>IF(A380="","",N(INDEX(Projects[Service Commissioning],379)))</f>
        <v/>
      </c>
      <c r="BT380" s="5">
        <f>IF(A380="","",N(INDEX(Projects[Controls Eng],379)))</f>
        <v/>
      </c>
      <c r="BU380" s="5">
        <f>IF(A380="","",N(INDEX(Projects[Controls Purchase],379)))</f>
        <v/>
      </c>
      <c r="BV380" s="5">
        <f>IF(A380="","",N(INDEX(Projects[Software Eng],379)))</f>
        <v/>
      </c>
      <c r="BW380" s="5">
        <f>IF(A380="","",N(INDEX(Projects[Misc],379)))</f>
        <v/>
      </c>
      <c r="BX380" s="5">
        <f>IF(A380="","",SUM(BJ380:BW380))</f>
        <v/>
      </c>
      <c r="BY380" s="5">
        <f>IF(A380="","",IFERROR(IF(ISNUMBER(U380),U380,VALUE(SUBSTITUTE(SUBSTITUTE(SUBSTITUTE(UPPER(TRIM(U380)),"M",""),",","")," ",""))),0))</f>
        <v/>
      </c>
      <c r="BZ380" s="5">
        <f>INDEX(Projects[Solution Type],379)&amp;""</f>
        <v/>
      </c>
      <c r="CA380" s="5">
        <f>INDEX(Projects[Client / Region],379)&amp;""</f>
        <v/>
      </c>
      <c r="CB380" s="5">
        <f>INDEX(Projects[Year],379)</f>
        <v/>
      </c>
      <c r="CC380" s="5">
        <f>INDEX(Projects[Won?],379)&amp;""</f>
        <v/>
      </c>
      <c r="CD380" s="5">
        <f>INDEX(Projects[Value (USD M)],379)</f>
        <v/>
      </c>
    </row>
    <row r="381" ht="15" customHeight="1" s="74">
      <c r="A381" s="66">
        <f>INDEX(Projects[Project ID *],380)&amp;""</f>
        <v/>
      </c>
      <c r="B381" s="66">
        <f>INDEX(Projects[Project Name *],380)&amp;""</f>
        <v/>
      </c>
      <c r="C381" s="66">
        <f>INDEX(Projects[MS Shuttles],380)</f>
        <v/>
      </c>
      <c r="D381" s="66">
        <f>INDEX(Projects[MS Tote Locations],380)</f>
        <v/>
      </c>
      <c r="E381" s="66">
        <f>INDEX(Projects[AS Robots],380)</f>
        <v/>
      </c>
      <c r="F381" s="66">
        <f>INDEX(Projects[AS Tote Locations],380)</f>
        <v/>
      </c>
      <c r="G381" s="66">
        <f>INDEX(Projects[PS Shuttles],380)</f>
        <v/>
      </c>
      <c r="H381" s="66">
        <f>INDEX(Projects[PS Pallet Locations],380)</f>
        <v/>
      </c>
      <c r="I381" s="66">
        <f>INDEX(Projects[SRM Cranes],380)</f>
        <v/>
      </c>
      <c r="J381" s="66">
        <f>INDEX(Projects[SRM Pallet Locations],380)</f>
        <v/>
      </c>
      <c r="K381" s="66">
        <f>INDEX(Projects[Case Conv (m)],380)</f>
        <v/>
      </c>
      <c r="L381" s="66">
        <f>INDEX(Projects[Pallet Conv (m)],380)</f>
        <v/>
      </c>
      <c r="M381" s="66">
        <f>INDEX(Projects[Mech Eng (wks)],380)</f>
        <v/>
      </c>
      <c r="N381" s="66">
        <f>INDEX(Projects[Controls Eng (wks)],380)</f>
        <v/>
      </c>
      <c r="O381" s="66">
        <f>INDEX(Projects[Systems Eng (wks)],380)</f>
        <v/>
      </c>
      <c r="P381" s="66">
        <f>INDEX(Projects[Software Eng (wks)],380)</f>
        <v/>
      </c>
      <c r="Q381" s="66">
        <f>INDEX(Projects[M&amp;E Installation (wks)],380)</f>
        <v/>
      </c>
      <c r="R381" s="66">
        <f>INDEX(Projects[Commissioning (wks)],380)</f>
        <v/>
      </c>
      <c r="S381" s="66">
        <f>INDEX(Projects[Total Timeline (wks)],380)</f>
        <v/>
      </c>
      <c r="T381" s="66">
        <f>INDEX(Projects[Currency],380)&amp;""</f>
        <v/>
      </c>
      <c r="U381" s="67">
        <f>INDEX(Projects[Value (M)],380)</f>
        <v/>
      </c>
      <c r="V381" s="66">
        <f>IF('Smart Search'!B13=1,IFERROR(1/'Smart Search'!H13,0),0)</f>
        <v/>
      </c>
      <c r="W381" s="66">
        <f>IF('Smart Search'!B13=1,IFERROR(1/'Smart Search'!H13,0),0)</f>
        <v/>
      </c>
      <c r="X381" s="66">
        <f>IF('Smart Search'!C13=1,IFERROR(1/'Smart Search'!H13,0),0)</f>
        <v/>
      </c>
      <c r="Y381" s="66">
        <f>IF('Smart Search'!C13=1,IFERROR(1/'Smart Search'!H13,0),0)</f>
        <v/>
      </c>
      <c r="Z381" s="66">
        <f>IF('Smart Search'!D13=1,IFERROR(1/'Smart Search'!H13,0),0)</f>
        <v/>
      </c>
      <c r="AA381" s="66">
        <f>IF('Smart Search'!D13=1,IFERROR(1/'Smart Search'!H13,0),0)</f>
        <v/>
      </c>
      <c r="AB381" s="66">
        <f>IF('Smart Search'!E13=1,IFERROR(1/'Smart Search'!H13,0),0)</f>
        <v/>
      </c>
      <c r="AC381" s="66">
        <f>IF('Smart Search'!E13=1,IFERROR(1/'Smart Search'!H13,0),0)</f>
        <v/>
      </c>
      <c r="AD381" s="66">
        <f>IF('Smart Search'!F13=1,IFERROR(1/'Smart Search'!H13,0),0)</f>
        <v/>
      </c>
      <c r="AE381" s="66">
        <f>IF('Smart Search'!F13=1,IFERROR(1/'Smart Search'!H13,0),0)</f>
        <v/>
      </c>
      <c r="AF381" s="66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66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66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66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66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66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66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66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66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66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66">
        <f>AF381*V381</f>
        <v/>
      </c>
      <c r="AQ381" s="66">
        <f>AG381*W381</f>
        <v/>
      </c>
      <c r="AR381" s="66">
        <f>AH381*X381</f>
        <v/>
      </c>
      <c r="AS381" s="66">
        <f>AI381*Y381</f>
        <v/>
      </c>
      <c r="AT381" s="66">
        <f>AJ381*Z381</f>
        <v/>
      </c>
      <c r="AU381" s="66">
        <f>AK381*AA381</f>
        <v/>
      </c>
      <c r="AV381" s="66">
        <f>AL381*AB381</f>
        <v/>
      </c>
      <c r="AW381" s="66">
        <f>AM381*AC381</f>
        <v/>
      </c>
      <c r="AX381" s="66">
        <f>AN381*AD381</f>
        <v/>
      </c>
      <c r="AY381" s="66">
        <f>AO381*AE381</f>
        <v/>
      </c>
      <c r="AZ381" s="66">
        <f>INDEX(Projects[Automation Equipment],380)&amp;""</f>
        <v/>
      </c>
      <c r="BA381" s="66">
        <f>IF(OR(A381="",'Smart Search'!H13=0),"",MAX(0,BE381*BF381*MAX(0,1-BG381)))</f>
        <v/>
      </c>
      <c r="BB381" s="66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66">
        <f>IF('Smart Search'!G13=1,IFERROR(1/'Smart Search'!H13,0),0)</f>
        <v/>
      </c>
      <c r="BD381" s="66">
        <f>BB381*BC381</f>
        <v/>
      </c>
      <c r="BE381" s="66">
        <f>AP381+AQ381+AR381+AS381+AT381+AU381+AV381+AW381+AX381+AY381+BD381</f>
        <v/>
      </c>
      <c r="BF381" s="5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5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5">
        <f>IF(AND(A381&lt;&gt;"",OR('Smart Search'!$L$5="",'Smart Search'!$L$5="All",TRIM(BZ381)=TRIM('Smart Search'!$L$5)),OR(TRIM('Smart Search'!$L$6)="",TRIM('Smart Search'!$L$6)="All",ISNUMBER(SEARCH(SUBSTITUTE(SUBSTITUTE(SUBSTITUTE(TRIM('Smart Search'!$L$6),"~","~~"),"*","~*"),"?","~?"),CA381))),OR('Smart Search'!$L$7="",AND(CB381&lt;&gt;0,CB381='Smart Search'!$L$7)),OR('Smart Search'!$L$8="",'Smart Search'!$L$8="All",TRIM(CC381)=TRIM('Smart Search'!$L$8))),IF(BA381="","",BA381+ROW()*0.0000000001),"")</f>
        <v/>
      </c>
      <c r="BI381" s="5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5">
        <f>IF(A381="","",N(INDEX(Projects[Mech Inst],380)))</f>
        <v/>
      </c>
      <c r="BK381" s="5">
        <f>IF(A381="","",N(INDEX(Projects[Elec Inst],380)))</f>
        <v/>
      </c>
      <c r="BL381" s="5">
        <f>IF(A381="","",N(INDEX(Projects[Project Management],380)))</f>
        <v/>
      </c>
      <c r="BM381" s="5">
        <f>IF(A381="","",N(INDEX(Projects[Systems Eng],380)))</f>
        <v/>
      </c>
      <c r="BN381" s="5">
        <f>IF(A381="","",N(INDEX(Projects[Mechanical Eng],380)))</f>
        <v/>
      </c>
      <c r="BO381" s="5">
        <f>IF(A381="","",N(INDEX(Projects[Structural Engineering],380)))</f>
        <v/>
      </c>
      <c r="BP381" s="5">
        <f>IF(A381="","",N(INDEX(Projects[Site Sup],380)))</f>
        <v/>
      </c>
      <c r="BQ381" s="5">
        <f>IF(A381="","",N(INDEX(Projects[Controls Commissioning],380)))</f>
        <v/>
      </c>
      <c r="BR381" s="5">
        <f>IF(A381="","",N(INDEX(Projects[Systems Commissioning],380)))</f>
        <v/>
      </c>
      <c r="BS381" s="5">
        <f>IF(A381="","",N(INDEX(Projects[Service Commissioning],380)))</f>
        <v/>
      </c>
      <c r="BT381" s="5">
        <f>IF(A381="","",N(INDEX(Projects[Controls Eng],380)))</f>
        <v/>
      </c>
      <c r="BU381" s="5">
        <f>IF(A381="","",N(INDEX(Projects[Controls Purchase],380)))</f>
        <v/>
      </c>
      <c r="BV381" s="5">
        <f>IF(A381="","",N(INDEX(Projects[Software Eng],380)))</f>
        <v/>
      </c>
      <c r="BW381" s="5">
        <f>IF(A381="","",N(INDEX(Projects[Misc],380)))</f>
        <v/>
      </c>
      <c r="BX381" s="5">
        <f>IF(A381="","",SUM(BJ381:BW381))</f>
        <v/>
      </c>
      <c r="BY381" s="5">
        <f>IF(A381="","",IFERROR(IF(ISNUMBER(U381),U381,VALUE(SUBSTITUTE(SUBSTITUTE(SUBSTITUTE(UPPER(TRIM(U381)),"M",""),",","")," ",""))),0))</f>
        <v/>
      </c>
      <c r="BZ381" s="5">
        <f>INDEX(Projects[Solution Type],380)&amp;""</f>
        <v/>
      </c>
      <c r="CA381" s="5">
        <f>INDEX(Projects[Client / Region],380)&amp;""</f>
        <v/>
      </c>
      <c r="CB381" s="5">
        <f>INDEX(Projects[Year],380)</f>
        <v/>
      </c>
      <c r="CC381" s="5">
        <f>INDEX(Projects[Won?],380)&amp;""</f>
        <v/>
      </c>
      <c r="CD381" s="5">
        <f>INDEX(Projects[Value (USD M)],380)</f>
        <v/>
      </c>
    </row>
    <row r="382" ht="15" customHeight="1" s="74">
      <c r="A382" s="66">
        <f>INDEX(Projects[Project ID *],381)&amp;""</f>
        <v/>
      </c>
      <c r="B382" s="66">
        <f>INDEX(Projects[Project Name *],381)&amp;""</f>
        <v/>
      </c>
      <c r="C382" s="66">
        <f>INDEX(Projects[MS Shuttles],381)</f>
        <v/>
      </c>
      <c r="D382" s="66">
        <f>INDEX(Projects[MS Tote Locations],381)</f>
        <v/>
      </c>
      <c r="E382" s="66">
        <f>INDEX(Projects[AS Robots],381)</f>
        <v/>
      </c>
      <c r="F382" s="66">
        <f>INDEX(Projects[AS Tote Locations],381)</f>
        <v/>
      </c>
      <c r="G382" s="66">
        <f>INDEX(Projects[PS Shuttles],381)</f>
        <v/>
      </c>
      <c r="H382" s="66">
        <f>INDEX(Projects[PS Pallet Locations],381)</f>
        <v/>
      </c>
      <c r="I382" s="66">
        <f>INDEX(Projects[SRM Cranes],381)</f>
        <v/>
      </c>
      <c r="J382" s="66">
        <f>INDEX(Projects[SRM Pallet Locations],381)</f>
        <v/>
      </c>
      <c r="K382" s="66">
        <f>INDEX(Projects[Case Conv (m)],381)</f>
        <v/>
      </c>
      <c r="L382" s="66">
        <f>INDEX(Projects[Pallet Conv (m)],381)</f>
        <v/>
      </c>
      <c r="M382" s="66">
        <f>INDEX(Projects[Mech Eng (wks)],381)</f>
        <v/>
      </c>
      <c r="N382" s="66">
        <f>INDEX(Projects[Controls Eng (wks)],381)</f>
        <v/>
      </c>
      <c r="O382" s="66">
        <f>INDEX(Projects[Systems Eng (wks)],381)</f>
        <v/>
      </c>
      <c r="P382" s="66">
        <f>INDEX(Projects[Software Eng (wks)],381)</f>
        <v/>
      </c>
      <c r="Q382" s="66">
        <f>INDEX(Projects[M&amp;E Installation (wks)],381)</f>
        <v/>
      </c>
      <c r="R382" s="66">
        <f>INDEX(Projects[Commissioning (wks)],381)</f>
        <v/>
      </c>
      <c r="S382" s="66">
        <f>INDEX(Projects[Total Timeline (wks)],381)</f>
        <v/>
      </c>
      <c r="T382" s="66">
        <f>INDEX(Projects[Currency],381)&amp;""</f>
        <v/>
      </c>
      <c r="U382" s="67">
        <f>INDEX(Projects[Value (M)],381)</f>
        <v/>
      </c>
      <c r="V382" s="66">
        <f>IF('Smart Search'!B13=1,IFERROR(1/'Smart Search'!H13,0),0)</f>
        <v/>
      </c>
      <c r="W382" s="66">
        <f>IF('Smart Search'!B13=1,IFERROR(1/'Smart Search'!H13,0),0)</f>
        <v/>
      </c>
      <c r="X382" s="66">
        <f>IF('Smart Search'!C13=1,IFERROR(1/'Smart Search'!H13,0),0)</f>
        <v/>
      </c>
      <c r="Y382" s="66">
        <f>IF('Smart Search'!C13=1,IFERROR(1/'Smart Search'!H13,0),0)</f>
        <v/>
      </c>
      <c r="Z382" s="66">
        <f>IF('Smart Search'!D13=1,IFERROR(1/'Smart Search'!H13,0),0)</f>
        <v/>
      </c>
      <c r="AA382" s="66">
        <f>IF('Smart Search'!D13=1,IFERROR(1/'Smart Search'!H13,0),0)</f>
        <v/>
      </c>
      <c r="AB382" s="66">
        <f>IF('Smart Search'!E13=1,IFERROR(1/'Smart Search'!H13,0),0)</f>
        <v/>
      </c>
      <c r="AC382" s="66">
        <f>IF('Smart Search'!E13=1,IFERROR(1/'Smart Search'!H13,0),0)</f>
        <v/>
      </c>
      <c r="AD382" s="66">
        <f>IF('Smart Search'!F13=1,IFERROR(1/'Smart Search'!H13,0),0)</f>
        <v/>
      </c>
      <c r="AE382" s="66">
        <f>IF('Smart Search'!F13=1,IFERROR(1/'Smart Search'!H13,0),0)</f>
        <v/>
      </c>
      <c r="AF382" s="66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66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66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66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66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66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66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66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66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66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66">
        <f>AF382*V382</f>
        <v/>
      </c>
      <c r="AQ382" s="66">
        <f>AG382*W382</f>
        <v/>
      </c>
      <c r="AR382" s="66">
        <f>AH382*X382</f>
        <v/>
      </c>
      <c r="AS382" s="66">
        <f>AI382*Y382</f>
        <v/>
      </c>
      <c r="AT382" s="66">
        <f>AJ382*Z382</f>
        <v/>
      </c>
      <c r="AU382" s="66">
        <f>AK382*AA382</f>
        <v/>
      </c>
      <c r="AV382" s="66">
        <f>AL382*AB382</f>
        <v/>
      </c>
      <c r="AW382" s="66">
        <f>AM382*AC382</f>
        <v/>
      </c>
      <c r="AX382" s="66">
        <f>AN382*AD382</f>
        <v/>
      </c>
      <c r="AY382" s="66">
        <f>AO382*AE382</f>
        <v/>
      </c>
      <c r="AZ382" s="66">
        <f>INDEX(Projects[Automation Equipment],381)&amp;""</f>
        <v/>
      </c>
      <c r="BA382" s="66">
        <f>IF(OR(A382="",'Smart Search'!H13=0),"",MAX(0,BE382*BF382*MAX(0,1-BG382)))</f>
        <v/>
      </c>
      <c r="BB382" s="66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66">
        <f>IF('Smart Search'!G13=1,IFERROR(1/'Smart Search'!H13,0),0)</f>
        <v/>
      </c>
      <c r="BD382" s="66">
        <f>BB382*BC382</f>
        <v/>
      </c>
      <c r="BE382" s="66">
        <f>AP382+AQ382+AR382+AS382+AT382+AU382+AV382+AW382+AX382+AY382+BD382</f>
        <v/>
      </c>
      <c r="BF382" s="5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5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5">
        <f>IF(AND(A382&lt;&gt;"",OR('Smart Search'!$L$5="",'Smart Search'!$L$5="All",TRIM(BZ382)=TRIM('Smart Search'!$L$5)),OR(TRIM('Smart Search'!$L$6)="",TRIM('Smart Search'!$L$6)="All",ISNUMBER(SEARCH(SUBSTITUTE(SUBSTITUTE(SUBSTITUTE(TRIM('Smart Search'!$L$6),"~","~~"),"*","~*"),"?","~?"),CA382))),OR('Smart Search'!$L$7="",AND(CB382&lt;&gt;0,CB382='Smart Search'!$L$7)),OR('Smart Search'!$L$8="",'Smart Search'!$L$8="All",TRIM(CC382)=TRIM('Smart Search'!$L$8))),IF(BA382="","",BA382+ROW()*0.0000000001),"")</f>
        <v/>
      </c>
      <c r="BI382" s="5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5">
        <f>IF(A382="","",N(INDEX(Projects[Mech Inst],381)))</f>
        <v/>
      </c>
      <c r="BK382" s="5">
        <f>IF(A382="","",N(INDEX(Projects[Elec Inst],381)))</f>
        <v/>
      </c>
      <c r="BL382" s="5">
        <f>IF(A382="","",N(INDEX(Projects[Project Management],381)))</f>
        <v/>
      </c>
      <c r="BM382" s="5">
        <f>IF(A382="","",N(INDEX(Projects[Systems Eng],381)))</f>
        <v/>
      </c>
      <c r="BN382" s="5">
        <f>IF(A382="","",N(INDEX(Projects[Mechanical Eng],381)))</f>
        <v/>
      </c>
      <c r="BO382" s="5">
        <f>IF(A382="","",N(INDEX(Projects[Structural Engineering],381)))</f>
        <v/>
      </c>
      <c r="BP382" s="5">
        <f>IF(A382="","",N(INDEX(Projects[Site Sup],381)))</f>
        <v/>
      </c>
      <c r="BQ382" s="5">
        <f>IF(A382="","",N(INDEX(Projects[Controls Commissioning],381)))</f>
        <v/>
      </c>
      <c r="BR382" s="5">
        <f>IF(A382="","",N(INDEX(Projects[Systems Commissioning],381)))</f>
        <v/>
      </c>
      <c r="BS382" s="5">
        <f>IF(A382="","",N(INDEX(Projects[Service Commissioning],381)))</f>
        <v/>
      </c>
      <c r="BT382" s="5">
        <f>IF(A382="","",N(INDEX(Projects[Controls Eng],381)))</f>
        <v/>
      </c>
      <c r="BU382" s="5">
        <f>IF(A382="","",N(INDEX(Projects[Controls Purchase],381)))</f>
        <v/>
      </c>
      <c r="BV382" s="5">
        <f>IF(A382="","",N(INDEX(Projects[Software Eng],381)))</f>
        <v/>
      </c>
      <c r="BW382" s="5">
        <f>IF(A382="","",N(INDEX(Projects[Misc],381)))</f>
        <v/>
      </c>
      <c r="BX382" s="5">
        <f>IF(A382="","",SUM(BJ382:BW382))</f>
        <v/>
      </c>
      <c r="BY382" s="5">
        <f>IF(A382="","",IFERROR(IF(ISNUMBER(U382),U382,VALUE(SUBSTITUTE(SUBSTITUTE(SUBSTITUTE(UPPER(TRIM(U382)),"M",""),",","")," ",""))),0))</f>
        <v/>
      </c>
      <c r="BZ382" s="5">
        <f>INDEX(Projects[Solution Type],381)&amp;""</f>
        <v/>
      </c>
      <c r="CA382" s="5">
        <f>INDEX(Projects[Client / Region],381)&amp;""</f>
        <v/>
      </c>
      <c r="CB382" s="5">
        <f>INDEX(Projects[Year],381)</f>
        <v/>
      </c>
      <c r="CC382" s="5">
        <f>INDEX(Projects[Won?],381)&amp;""</f>
        <v/>
      </c>
      <c r="CD382" s="5">
        <f>INDEX(Projects[Value (USD M)],381)</f>
        <v/>
      </c>
    </row>
    <row r="383" ht="15" customHeight="1" s="74">
      <c r="A383" s="66">
        <f>INDEX(Projects[Project ID *],382)&amp;""</f>
        <v/>
      </c>
      <c r="B383" s="66">
        <f>INDEX(Projects[Project Name *],382)&amp;""</f>
        <v/>
      </c>
      <c r="C383" s="66">
        <f>INDEX(Projects[MS Shuttles],382)</f>
        <v/>
      </c>
      <c r="D383" s="66">
        <f>INDEX(Projects[MS Tote Locations],382)</f>
        <v/>
      </c>
      <c r="E383" s="66">
        <f>INDEX(Projects[AS Robots],382)</f>
        <v/>
      </c>
      <c r="F383" s="66">
        <f>INDEX(Projects[AS Tote Locations],382)</f>
        <v/>
      </c>
      <c r="G383" s="66">
        <f>INDEX(Projects[PS Shuttles],382)</f>
        <v/>
      </c>
      <c r="H383" s="66">
        <f>INDEX(Projects[PS Pallet Locations],382)</f>
        <v/>
      </c>
      <c r="I383" s="66">
        <f>INDEX(Projects[SRM Cranes],382)</f>
        <v/>
      </c>
      <c r="J383" s="66">
        <f>INDEX(Projects[SRM Pallet Locations],382)</f>
        <v/>
      </c>
      <c r="K383" s="66">
        <f>INDEX(Projects[Case Conv (m)],382)</f>
        <v/>
      </c>
      <c r="L383" s="66">
        <f>INDEX(Projects[Pallet Conv (m)],382)</f>
        <v/>
      </c>
      <c r="M383" s="66">
        <f>INDEX(Projects[Mech Eng (wks)],382)</f>
        <v/>
      </c>
      <c r="N383" s="66">
        <f>INDEX(Projects[Controls Eng (wks)],382)</f>
        <v/>
      </c>
      <c r="O383" s="66">
        <f>INDEX(Projects[Systems Eng (wks)],382)</f>
        <v/>
      </c>
      <c r="P383" s="66">
        <f>INDEX(Projects[Software Eng (wks)],382)</f>
        <v/>
      </c>
      <c r="Q383" s="66">
        <f>INDEX(Projects[M&amp;E Installation (wks)],382)</f>
        <v/>
      </c>
      <c r="R383" s="66">
        <f>INDEX(Projects[Commissioning (wks)],382)</f>
        <v/>
      </c>
      <c r="S383" s="66">
        <f>INDEX(Projects[Total Timeline (wks)],382)</f>
        <v/>
      </c>
      <c r="T383" s="66">
        <f>INDEX(Projects[Currency],382)&amp;""</f>
        <v/>
      </c>
      <c r="U383" s="67">
        <f>INDEX(Projects[Value (M)],382)</f>
        <v/>
      </c>
      <c r="V383" s="66">
        <f>IF('Smart Search'!B13=1,IFERROR(1/'Smart Search'!H13,0),0)</f>
        <v/>
      </c>
      <c r="W383" s="66">
        <f>IF('Smart Search'!B13=1,IFERROR(1/'Smart Search'!H13,0),0)</f>
        <v/>
      </c>
      <c r="X383" s="66">
        <f>IF('Smart Search'!C13=1,IFERROR(1/'Smart Search'!H13,0),0)</f>
        <v/>
      </c>
      <c r="Y383" s="66">
        <f>IF('Smart Search'!C13=1,IFERROR(1/'Smart Search'!H13,0),0)</f>
        <v/>
      </c>
      <c r="Z383" s="66">
        <f>IF('Smart Search'!D13=1,IFERROR(1/'Smart Search'!H13,0),0)</f>
        <v/>
      </c>
      <c r="AA383" s="66">
        <f>IF('Smart Search'!D13=1,IFERROR(1/'Smart Search'!H13,0),0)</f>
        <v/>
      </c>
      <c r="AB383" s="66">
        <f>IF('Smart Search'!E13=1,IFERROR(1/'Smart Search'!H13,0),0)</f>
        <v/>
      </c>
      <c r="AC383" s="66">
        <f>IF('Smart Search'!E13=1,IFERROR(1/'Smart Search'!H13,0),0)</f>
        <v/>
      </c>
      <c r="AD383" s="66">
        <f>IF('Smart Search'!F13=1,IFERROR(1/'Smart Search'!H13,0),0)</f>
        <v/>
      </c>
      <c r="AE383" s="66">
        <f>IF('Smart Search'!F13=1,IFERROR(1/'Smart Search'!H13,0),0)</f>
        <v/>
      </c>
      <c r="AF383" s="66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66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66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66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66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66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66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66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66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66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66">
        <f>AF383*V383</f>
        <v/>
      </c>
      <c r="AQ383" s="66">
        <f>AG383*W383</f>
        <v/>
      </c>
      <c r="AR383" s="66">
        <f>AH383*X383</f>
        <v/>
      </c>
      <c r="AS383" s="66">
        <f>AI383*Y383</f>
        <v/>
      </c>
      <c r="AT383" s="66">
        <f>AJ383*Z383</f>
        <v/>
      </c>
      <c r="AU383" s="66">
        <f>AK383*AA383</f>
        <v/>
      </c>
      <c r="AV383" s="66">
        <f>AL383*AB383</f>
        <v/>
      </c>
      <c r="AW383" s="66">
        <f>AM383*AC383</f>
        <v/>
      </c>
      <c r="AX383" s="66">
        <f>AN383*AD383</f>
        <v/>
      </c>
      <c r="AY383" s="66">
        <f>AO383*AE383</f>
        <v/>
      </c>
      <c r="AZ383" s="66">
        <f>INDEX(Projects[Automation Equipment],382)&amp;""</f>
        <v/>
      </c>
      <c r="BA383" s="66">
        <f>IF(OR(A383="",'Smart Search'!H13=0),"",MAX(0,BE383*BF383*MAX(0,1-BG383)))</f>
        <v/>
      </c>
      <c r="BB383" s="66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66">
        <f>IF('Smart Search'!G13=1,IFERROR(1/'Smart Search'!H13,0),0)</f>
        <v/>
      </c>
      <c r="BD383" s="66">
        <f>BB383*BC383</f>
        <v/>
      </c>
      <c r="BE383" s="66">
        <f>AP383+AQ383+AR383+AS383+AT383+AU383+AV383+AW383+AX383+AY383+BD383</f>
        <v/>
      </c>
      <c r="BF383" s="5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5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5">
        <f>IF(AND(A383&lt;&gt;"",OR('Smart Search'!$L$5="",'Smart Search'!$L$5="All",TRIM(BZ383)=TRIM('Smart Search'!$L$5)),OR(TRIM('Smart Search'!$L$6)="",TRIM('Smart Search'!$L$6)="All",ISNUMBER(SEARCH(SUBSTITUTE(SUBSTITUTE(SUBSTITUTE(TRIM('Smart Search'!$L$6),"~","~~"),"*","~*"),"?","~?"),CA383))),OR('Smart Search'!$L$7="",AND(CB383&lt;&gt;0,CB383='Smart Search'!$L$7)),OR('Smart Search'!$L$8="",'Smart Search'!$L$8="All",TRIM(CC383)=TRIM('Smart Search'!$L$8))),IF(BA383="","",BA383+ROW()*0.0000000001),"")</f>
        <v/>
      </c>
      <c r="BI383" s="5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5">
        <f>IF(A383="","",N(INDEX(Projects[Mech Inst],382)))</f>
        <v/>
      </c>
      <c r="BK383" s="5">
        <f>IF(A383="","",N(INDEX(Projects[Elec Inst],382)))</f>
        <v/>
      </c>
      <c r="BL383" s="5">
        <f>IF(A383="","",N(INDEX(Projects[Project Management],382)))</f>
        <v/>
      </c>
      <c r="BM383" s="5">
        <f>IF(A383="","",N(INDEX(Projects[Systems Eng],382)))</f>
        <v/>
      </c>
      <c r="BN383" s="5">
        <f>IF(A383="","",N(INDEX(Projects[Mechanical Eng],382)))</f>
        <v/>
      </c>
      <c r="BO383" s="5">
        <f>IF(A383="","",N(INDEX(Projects[Structural Engineering],382)))</f>
        <v/>
      </c>
      <c r="BP383" s="5">
        <f>IF(A383="","",N(INDEX(Projects[Site Sup],382)))</f>
        <v/>
      </c>
      <c r="BQ383" s="5">
        <f>IF(A383="","",N(INDEX(Projects[Controls Commissioning],382)))</f>
        <v/>
      </c>
      <c r="BR383" s="5">
        <f>IF(A383="","",N(INDEX(Projects[Systems Commissioning],382)))</f>
        <v/>
      </c>
      <c r="BS383" s="5">
        <f>IF(A383="","",N(INDEX(Projects[Service Commissioning],382)))</f>
        <v/>
      </c>
      <c r="BT383" s="5">
        <f>IF(A383="","",N(INDEX(Projects[Controls Eng],382)))</f>
        <v/>
      </c>
      <c r="BU383" s="5">
        <f>IF(A383="","",N(INDEX(Projects[Controls Purchase],382)))</f>
        <v/>
      </c>
      <c r="BV383" s="5">
        <f>IF(A383="","",N(INDEX(Projects[Software Eng],382)))</f>
        <v/>
      </c>
      <c r="BW383" s="5">
        <f>IF(A383="","",N(INDEX(Projects[Misc],382)))</f>
        <v/>
      </c>
      <c r="BX383" s="5">
        <f>IF(A383="","",SUM(BJ383:BW383))</f>
        <v/>
      </c>
      <c r="BY383" s="5">
        <f>IF(A383="","",IFERROR(IF(ISNUMBER(U383),U383,VALUE(SUBSTITUTE(SUBSTITUTE(SUBSTITUTE(UPPER(TRIM(U383)),"M",""),",","")," ",""))),0))</f>
        <v/>
      </c>
      <c r="BZ383" s="5">
        <f>INDEX(Projects[Solution Type],382)&amp;""</f>
        <v/>
      </c>
      <c r="CA383" s="5">
        <f>INDEX(Projects[Client / Region],382)&amp;""</f>
        <v/>
      </c>
      <c r="CB383" s="5">
        <f>INDEX(Projects[Year],382)</f>
        <v/>
      </c>
      <c r="CC383" s="5">
        <f>INDEX(Projects[Won?],382)&amp;""</f>
        <v/>
      </c>
      <c r="CD383" s="5">
        <f>INDEX(Projects[Value (USD M)],382)</f>
        <v/>
      </c>
    </row>
    <row r="384" ht="15" customHeight="1" s="74">
      <c r="A384" s="66">
        <f>INDEX(Projects[Project ID *],383)&amp;""</f>
        <v/>
      </c>
      <c r="B384" s="66">
        <f>INDEX(Projects[Project Name *],383)&amp;""</f>
        <v/>
      </c>
      <c r="C384" s="66">
        <f>INDEX(Projects[MS Shuttles],383)</f>
        <v/>
      </c>
      <c r="D384" s="66">
        <f>INDEX(Projects[MS Tote Locations],383)</f>
        <v/>
      </c>
      <c r="E384" s="66">
        <f>INDEX(Projects[AS Robots],383)</f>
        <v/>
      </c>
      <c r="F384" s="66">
        <f>INDEX(Projects[AS Tote Locations],383)</f>
        <v/>
      </c>
      <c r="G384" s="66">
        <f>INDEX(Projects[PS Shuttles],383)</f>
        <v/>
      </c>
      <c r="H384" s="66">
        <f>INDEX(Projects[PS Pallet Locations],383)</f>
        <v/>
      </c>
      <c r="I384" s="66">
        <f>INDEX(Projects[SRM Cranes],383)</f>
        <v/>
      </c>
      <c r="J384" s="66">
        <f>INDEX(Projects[SRM Pallet Locations],383)</f>
        <v/>
      </c>
      <c r="K384" s="66">
        <f>INDEX(Projects[Case Conv (m)],383)</f>
        <v/>
      </c>
      <c r="L384" s="66">
        <f>INDEX(Projects[Pallet Conv (m)],383)</f>
        <v/>
      </c>
      <c r="M384" s="66">
        <f>INDEX(Projects[Mech Eng (wks)],383)</f>
        <v/>
      </c>
      <c r="N384" s="66">
        <f>INDEX(Projects[Controls Eng (wks)],383)</f>
        <v/>
      </c>
      <c r="O384" s="66">
        <f>INDEX(Projects[Systems Eng (wks)],383)</f>
        <v/>
      </c>
      <c r="P384" s="66">
        <f>INDEX(Projects[Software Eng (wks)],383)</f>
        <v/>
      </c>
      <c r="Q384" s="66">
        <f>INDEX(Projects[M&amp;E Installation (wks)],383)</f>
        <v/>
      </c>
      <c r="R384" s="66">
        <f>INDEX(Projects[Commissioning (wks)],383)</f>
        <v/>
      </c>
      <c r="S384" s="66">
        <f>INDEX(Projects[Total Timeline (wks)],383)</f>
        <v/>
      </c>
      <c r="T384" s="66">
        <f>INDEX(Projects[Currency],383)&amp;""</f>
        <v/>
      </c>
      <c r="U384" s="67">
        <f>INDEX(Projects[Value (M)],383)</f>
        <v/>
      </c>
      <c r="V384" s="66">
        <f>IF('Smart Search'!B13=1,IFERROR(1/'Smart Search'!H13,0),0)</f>
        <v/>
      </c>
      <c r="W384" s="66">
        <f>IF('Smart Search'!B13=1,IFERROR(1/'Smart Search'!H13,0),0)</f>
        <v/>
      </c>
      <c r="X384" s="66">
        <f>IF('Smart Search'!C13=1,IFERROR(1/'Smart Search'!H13,0),0)</f>
        <v/>
      </c>
      <c r="Y384" s="66">
        <f>IF('Smart Search'!C13=1,IFERROR(1/'Smart Search'!H13,0),0)</f>
        <v/>
      </c>
      <c r="Z384" s="66">
        <f>IF('Smart Search'!D13=1,IFERROR(1/'Smart Search'!H13,0),0)</f>
        <v/>
      </c>
      <c r="AA384" s="66">
        <f>IF('Smart Search'!D13=1,IFERROR(1/'Smart Search'!H13,0),0)</f>
        <v/>
      </c>
      <c r="AB384" s="66">
        <f>IF('Smart Search'!E13=1,IFERROR(1/'Smart Search'!H13,0),0)</f>
        <v/>
      </c>
      <c r="AC384" s="66">
        <f>IF('Smart Search'!E13=1,IFERROR(1/'Smart Search'!H13,0),0)</f>
        <v/>
      </c>
      <c r="AD384" s="66">
        <f>IF('Smart Search'!F13=1,IFERROR(1/'Smart Search'!H13,0),0)</f>
        <v/>
      </c>
      <c r="AE384" s="66">
        <f>IF('Smart Search'!F13=1,IFERROR(1/'Smart Search'!H13,0),0)</f>
        <v/>
      </c>
      <c r="AF384" s="66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66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66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66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66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66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66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66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66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66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66">
        <f>AF384*V384</f>
        <v/>
      </c>
      <c r="AQ384" s="66">
        <f>AG384*W384</f>
        <v/>
      </c>
      <c r="AR384" s="66">
        <f>AH384*X384</f>
        <v/>
      </c>
      <c r="AS384" s="66">
        <f>AI384*Y384</f>
        <v/>
      </c>
      <c r="AT384" s="66">
        <f>AJ384*Z384</f>
        <v/>
      </c>
      <c r="AU384" s="66">
        <f>AK384*AA384</f>
        <v/>
      </c>
      <c r="AV384" s="66">
        <f>AL384*AB384</f>
        <v/>
      </c>
      <c r="AW384" s="66">
        <f>AM384*AC384</f>
        <v/>
      </c>
      <c r="AX384" s="66">
        <f>AN384*AD384</f>
        <v/>
      </c>
      <c r="AY384" s="66">
        <f>AO384*AE384</f>
        <v/>
      </c>
      <c r="AZ384" s="66">
        <f>INDEX(Projects[Automation Equipment],383)&amp;""</f>
        <v/>
      </c>
      <c r="BA384" s="66">
        <f>IF(OR(A384="",'Smart Search'!H13=0),"",MAX(0,BE384*BF384*MAX(0,1-BG384)))</f>
        <v/>
      </c>
      <c r="BB384" s="66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66">
        <f>IF('Smart Search'!G13=1,IFERROR(1/'Smart Search'!H13,0),0)</f>
        <v/>
      </c>
      <c r="BD384" s="66">
        <f>BB384*BC384</f>
        <v/>
      </c>
      <c r="BE384" s="66">
        <f>AP384+AQ384+AR384+AS384+AT384+AU384+AV384+AW384+AX384+AY384+BD384</f>
        <v/>
      </c>
      <c r="BF384" s="5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5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5">
        <f>IF(AND(A384&lt;&gt;"",OR('Smart Search'!$L$5="",'Smart Search'!$L$5="All",TRIM(BZ384)=TRIM('Smart Search'!$L$5)),OR(TRIM('Smart Search'!$L$6)="",TRIM('Smart Search'!$L$6)="All",ISNUMBER(SEARCH(SUBSTITUTE(SUBSTITUTE(SUBSTITUTE(TRIM('Smart Search'!$L$6),"~","~~"),"*","~*"),"?","~?"),CA384))),OR('Smart Search'!$L$7="",AND(CB384&lt;&gt;0,CB384='Smart Search'!$L$7)),OR('Smart Search'!$L$8="",'Smart Search'!$L$8="All",TRIM(CC384)=TRIM('Smart Search'!$L$8))),IF(BA384="","",BA384+ROW()*0.0000000001),"")</f>
        <v/>
      </c>
      <c r="BI384" s="5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5">
        <f>IF(A384="","",N(INDEX(Projects[Mech Inst],383)))</f>
        <v/>
      </c>
      <c r="BK384" s="5">
        <f>IF(A384="","",N(INDEX(Projects[Elec Inst],383)))</f>
        <v/>
      </c>
      <c r="BL384" s="5">
        <f>IF(A384="","",N(INDEX(Projects[Project Management],383)))</f>
        <v/>
      </c>
      <c r="BM384" s="5">
        <f>IF(A384="","",N(INDEX(Projects[Systems Eng],383)))</f>
        <v/>
      </c>
      <c r="BN384" s="5">
        <f>IF(A384="","",N(INDEX(Projects[Mechanical Eng],383)))</f>
        <v/>
      </c>
      <c r="BO384" s="5">
        <f>IF(A384="","",N(INDEX(Projects[Structural Engineering],383)))</f>
        <v/>
      </c>
      <c r="BP384" s="5">
        <f>IF(A384="","",N(INDEX(Projects[Site Sup],383)))</f>
        <v/>
      </c>
      <c r="BQ384" s="5">
        <f>IF(A384="","",N(INDEX(Projects[Controls Commissioning],383)))</f>
        <v/>
      </c>
      <c r="BR384" s="5">
        <f>IF(A384="","",N(INDEX(Projects[Systems Commissioning],383)))</f>
        <v/>
      </c>
      <c r="BS384" s="5">
        <f>IF(A384="","",N(INDEX(Projects[Service Commissioning],383)))</f>
        <v/>
      </c>
      <c r="BT384" s="5">
        <f>IF(A384="","",N(INDEX(Projects[Controls Eng],383)))</f>
        <v/>
      </c>
      <c r="BU384" s="5">
        <f>IF(A384="","",N(INDEX(Projects[Controls Purchase],383)))</f>
        <v/>
      </c>
      <c r="BV384" s="5">
        <f>IF(A384="","",N(INDEX(Projects[Software Eng],383)))</f>
        <v/>
      </c>
      <c r="BW384" s="5">
        <f>IF(A384="","",N(INDEX(Projects[Misc],383)))</f>
        <v/>
      </c>
      <c r="BX384" s="5">
        <f>IF(A384="","",SUM(BJ384:BW384))</f>
        <v/>
      </c>
      <c r="BY384" s="5">
        <f>IF(A384="","",IFERROR(IF(ISNUMBER(U384),U384,VALUE(SUBSTITUTE(SUBSTITUTE(SUBSTITUTE(UPPER(TRIM(U384)),"M",""),",","")," ",""))),0))</f>
        <v/>
      </c>
      <c r="BZ384" s="5">
        <f>INDEX(Projects[Solution Type],383)&amp;""</f>
        <v/>
      </c>
      <c r="CA384" s="5">
        <f>INDEX(Projects[Client / Region],383)&amp;""</f>
        <v/>
      </c>
      <c r="CB384" s="5">
        <f>INDEX(Projects[Year],383)</f>
        <v/>
      </c>
      <c r="CC384" s="5">
        <f>INDEX(Projects[Won?],383)&amp;""</f>
        <v/>
      </c>
      <c r="CD384" s="5">
        <f>INDEX(Projects[Value (USD M)],383)</f>
        <v/>
      </c>
    </row>
    <row r="385" ht="15" customHeight="1" s="74">
      <c r="A385" s="66">
        <f>INDEX(Projects[Project ID *],384)&amp;""</f>
        <v/>
      </c>
      <c r="B385" s="66">
        <f>INDEX(Projects[Project Name *],384)&amp;""</f>
        <v/>
      </c>
      <c r="C385" s="66">
        <f>INDEX(Projects[MS Shuttles],384)</f>
        <v/>
      </c>
      <c r="D385" s="66">
        <f>INDEX(Projects[MS Tote Locations],384)</f>
        <v/>
      </c>
      <c r="E385" s="66">
        <f>INDEX(Projects[AS Robots],384)</f>
        <v/>
      </c>
      <c r="F385" s="66">
        <f>INDEX(Projects[AS Tote Locations],384)</f>
        <v/>
      </c>
      <c r="G385" s="66">
        <f>INDEX(Projects[PS Shuttles],384)</f>
        <v/>
      </c>
      <c r="H385" s="66">
        <f>INDEX(Projects[PS Pallet Locations],384)</f>
        <v/>
      </c>
      <c r="I385" s="66">
        <f>INDEX(Projects[SRM Cranes],384)</f>
        <v/>
      </c>
      <c r="J385" s="66">
        <f>INDEX(Projects[SRM Pallet Locations],384)</f>
        <v/>
      </c>
      <c r="K385" s="66">
        <f>INDEX(Projects[Case Conv (m)],384)</f>
        <v/>
      </c>
      <c r="L385" s="66">
        <f>INDEX(Projects[Pallet Conv (m)],384)</f>
        <v/>
      </c>
      <c r="M385" s="66">
        <f>INDEX(Projects[Mech Eng (wks)],384)</f>
        <v/>
      </c>
      <c r="N385" s="66">
        <f>INDEX(Projects[Controls Eng (wks)],384)</f>
        <v/>
      </c>
      <c r="O385" s="66">
        <f>INDEX(Projects[Systems Eng (wks)],384)</f>
        <v/>
      </c>
      <c r="P385" s="66">
        <f>INDEX(Projects[Software Eng (wks)],384)</f>
        <v/>
      </c>
      <c r="Q385" s="66">
        <f>INDEX(Projects[M&amp;E Installation (wks)],384)</f>
        <v/>
      </c>
      <c r="R385" s="66">
        <f>INDEX(Projects[Commissioning (wks)],384)</f>
        <v/>
      </c>
      <c r="S385" s="66">
        <f>INDEX(Projects[Total Timeline (wks)],384)</f>
        <v/>
      </c>
      <c r="T385" s="66">
        <f>INDEX(Projects[Currency],384)&amp;""</f>
        <v/>
      </c>
      <c r="U385" s="67">
        <f>INDEX(Projects[Value (M)],384)</f>
        <v/>
      </c>
      <c r="V385" s="66">
        <f>IF('Smart Search'!B13=1,IFERROR(1/'Smart Search'!H13,0),0)</f>
        <v/>
      </c>
      <c r="W385" s="66">
        <f>IF('Smart Search'!B13=1,IFERROR(1/'Smart Search'!H13,0),0)</f>
        <v/>
      </c>
      <c r="X385" s="66">
        <f>IF('Smart Search'!C13=1,IFERROR(1/'Smart Search'!H13,0),0)</f>
        <v/>
      </c>
      <c r="Y385" s="66">
        <f>IF('Smart Search'!C13=1,IFERROR(1/'Smart Search'!H13,0),0)</f>
        <v/>
      </c>
      <c r="Z385" s="66">
        <f>IF('Smart Search'!D13=1,IFERROR(1/'Smart Search'!H13,0),0)</f>
        <v/>
      </c>
      <c r="AA385" s="66">
        <f>IF('Smart Search'!D13=1,IFERROR(1/'Smart Search'!H13,0),0)</f>
        <v/>
      </c>
      <c r="AB385" s="66">
        <f>IF('Smart Search'!E13=1,IFERROR(1/'Smart Search'!H13,0),0)</f>
        <v/>
      </c>
      <c r="AC385" s="66">
        <f>IF('Smart Search'!E13=1,IFERROR(1/'Smart Search'!H13,0),0)</f>
        <v/>
      </c>
      <c r="AD385" s="66">
        <f>IF('Smart Search'!F13=1,IFERROR(1/'Smart Search'!H13,0),0)</f>
        <v/>
      </c>
      <c r="AE385" s="66">
        <f>IF('Smart Search'!F13=1,IFERROR(1/'Smart Search'!H13,0),0)</f>
        <v/>
      </c>
      <c r="AF385" s="66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66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66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66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66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66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66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66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66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66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66">
        <f>AF385*V385</f>
        <v/>
      </c>
      <c r="AQ385" s="66">
        <f>AG385*W385</f>
        <v/>
      </c>
      <c r="AR385" s="66">
        <f>AH385*X385</f>
        <v/>
      </c>
      <c r="AS385" s="66">
        <f>AI385*Y385</f>
        <v/>
      </c>
      <c r="AT385" s="66">
        <f>AJ385*Z385</f>
        <v/>
      </c>
      <c r="AU385" s="66">
        <f>AK385*AA385</f>
        <v/>
      </c>
      <c r="AV385" s="66">
        <f>AL385*AB385</f>
        <v/>
      </c>
      <c r="AW385" s="66">
        <f>AM385*AC385</f>
        <v/>
      </c>
      <c r="AX385" s="66">
        <f>AN385*AD385</f>
        <v/>
      </c>
      <c r="AY385" s="66">
        <f>AO385*AE385</f>
        <v/>
      </c>
      <c r="AZ385" s="66">
        <f>INDEX(Projects[Automation Equipment],384)&amp;""</f>
        <v/>
      </c>
      <c r="BA385" s="66">
        <f>IF(OR(A385="",'Smart Search'!H13=0),"",MAX(0,BE385*BF385*MAX(0,1-BG385)))</f>
        <v/>
      </c>
      <c r="BB385" s="66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66">
        <f>IF('Smart Search'!G13=1,IFERROR(1/'Smart Search'!H13,0),0)</f>
        <v/>
      </c>
      <c r="BD385" s="66">
        <f>BB385*BC385</f>
        <v/>
      </c>
      <c r="BE385" s="66">
        <f>AP385+AQ385+AR385+AS385+AT385+AU385+AV385+AW385+AX385+AY385+BD385</f>
        <v/>
      </c>
      <c r="BF385" s="5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5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5">
        <f>IF(AND(A385&lt;&gt;"",OR('Smart Search'!$L$5="",'Smart Search'!$L$5="All",TRIM(BZ385)=TRIM('Smart Search'!$L$5)),OR(TRIM('Smart Search'!$L$6)="",TRIM('Smart Search'!$L$6)="All",ISNUMBER(SEARCH(SUBSTITUTE(SUBSTITUTE(SUBSTITUTE(TRIM('Smart Search'!$L$6),"~","~~"),"*","~*"),"?","~?"),CA385))),OR('Smart Search'!$L$7="",AND(CB385&lt;&gt;0,CB385='Smart Search'!$L$7)),OR('Smart Search'!$L$8="",'Smart Search'!$L$8="All",TRIM(CC385)=TRIM('Smart Search'!$L$8))),IF(BA385="","",BA385+ROW()*0.0000000001),"")</f>
        <v/>
      </c>
      <c r="BI385" s="5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5">
        <f>IF(A385="","",N(INDEX(Projects[Mech Inst],384)))</f>
        <v/>
      </c>
      <c r="BK385" s="5">
        <f>IF(A385="","",N(INDEX(Projects[Elec Inst],384)))</f>
        <v/>
      </c>
      <c r="BL385" s="5">
        <f>IF(A385="","",N(INDEX(Projects[Project Management],384)))</f>
        <v/>
      </c>
      <c r="BM385" s="5">
        <f>IF(A385="","",N(INDEX(Projects[Systems Eng],384)))</f>
        <v/>
      </c>
      <c r="BN385" s="5">
        <f>IF(A385="","",N(INDEX(Projects[Mechanical Eng],384)))</f>
        <v/>
      </c>
      <c r="BO385" s="5">
        <f>IF(A385="","",N(INDEX(Projects[Structural Engineering],384)))</f>
        <v/>
      </c>
      <c r="BP385" s="5">
        <f>IF(A385="","",N(INDEX(Projects[Site Sup],384)))</f>
        <v/>
      </c>
      <c r="BQ385" s="5">
        <f>IF(A385="","",N(INDEX(Projects[Controls Commissioning],384)))</f>
        <v/>
      </c>
      <c r="BR385" s="5">
        <f>IF(A385="","",N(INDEX(Projects[Systems Commissioning],384)))</f>
        <v/>
      </c>
      <c r="BS385" s="5">
        <f>IF(A385="","",N(INDEX(Projects[Service Commissioning],384)))</f>
        <v/>
      </c>
      <c r="BT385" s="5">
        <f>IF(A385="","",N(INDEX(Projects[Controls Eng],384)))</f>
        <v/>
      </c>
      <c r="BU385" s="5">
        <f>IF(A385="","",N(INDEX(Projects[Controls Purchase],384)))</f>
        <v/>
      </c>
      <c r="BV385" s="5">
        <f>IF(A385="","",N(INDEX(Projects[Software Eng],384)))</f>
        <v/>
      </c>
      <c r="BW385" s="5">
        <f>IF(A385="","",N(INDEX(Projects[Misc],384)))</f>
        <v/>
      </c>
      <c r="BX385" s="5">
        <f>IF(A385="","",SUM(BJ385:BW385))</f>
        <v/>
      </c>
      <c r="BY385" s="5">
        <f>IF(A385="","",IFERROR(IF(ISNUMBER(U385),U385,VALUE(SUBSTITUTE(SUBSTITUTE(SUBSTITUTE(UPPER(TRIM(U385)),"M",""),",","")," ",""))),0))</f>
        <v/>
      </c>
      <c r="BZ385" s="5">
        <f>INDEX(Projects[Solution Type],384)&amp;""</f>
        <v/>
      </c>
      <c r="CA385" s="5">
        <f>INDEX(Projects[Client / Region],384)&amp;""</f>
        <v/>
      </c>
      <c r="CB385" s="5">
        <f>INDEX(Projects[Year],384)</f>
        <v/>
      </c>
      <c r="CC385" s="5">
        <f>INDEX(Projects[Won?],384)&amp;""</f>
        <v/>
      </c>
      <c r="CD385" s="5">
        <f>INDEX(Projects[Value (USD M)],384)</f>
        <v/>
      </c>
    </row>
    <row r="386" ht="15" customHeight="1" s="74">
      <c r="A386" s="66">
        <f>INDEX(Projects[Project ID *],385)&amp;""</f>
        <v/>
      </c>
      <c r="B386" s="66">
        <f>INDEX(Projects[Project Name *],385)&amp;""</f>
        <v/>
      </c>
      <c r="C386" s="66">
        <f>INDEX(Projects[MS Shuttles],385)</f>
        <v/>
      </c>
      <c r="D386" s="66">
        <f>INDEX(Projects[MS Tote Locations],385)</f>
        <v/>
      </c>
      <c r="E386" s="66">
        <f>INDEX(Projects[AS Robots],385)</f>
        <v/>
      </c>
      <c r="F386" s="66">
        <f>INDEX(Projects[AS Tote Locations],385)</f>
        <v/>
      </c>
      <c r="G386" s="66">
        <f>INDEX(Projects[PS Shuttles],385)</f>
        <v/>
      </c>
      <c r="H386" s="66">
        <f>INDEX(Projects[PS Pallet Locations],385)</f>
        <v/>
      </c>
      <c r="I386" s="66">
        <f>INDEX(Projects[SRM Cranes],385)</f>
        <v/>
      </c>
      <c r="J386" s="66">
        <f>INDEX(Projects[SRM Pallet Locations],385)</f>
        <v/>
      </c>
      <c r="K386" s="66">
        <f>INDEX(Projects[Case Conv (m)],385)</f>
        <v/>
      </c>
      <c r="L386" s="66">
        <f>INDEX(Projects[Pallet Conv (m)],385)</f>
        <v/>
      </c>
      <c r="M386" s="66">
        <f>INDEX(Projects[Mech Eng (wks)],385)</f>
        <v/>
      </c>
      <c r="N386" s="66">
        <f>INDEX(Projects[Controls Eng (wks)],385)</f>
        <v/>
      </c>
      <c r="O386" s="66">
        <f>INDEX(Projects[Systems Eng (wks)],385)</f>
        <v/>
      </c>
      <c r="P386" s="66">
        <f>INDEX(Projects[Software Eng (wks)],385)</f>
        <v/>
      </c>
      <c r="Q386" s="66">
        <f>INDEX(Projects[M&amp;E Installation (wks)],385)</f>
        <v/>
      </c>
      <c r="R386" s="66">
        <f>INDEX(Projects[Commissioning (wks)],385)</f>
        <v/>
      </c>
      <c r="S386" s="66">
        <f>INDEX(Projects[Total Timeline (wks)],385)</f>
        <v/>
      </c>
      <c r="T386" s="66">
        <f>INDEX(Projects[Currency],385)&amp;""</f>
        <v/>
      </c>
      <c r="U386" s="67">
        <f>INDEX(Projects[Value (M)],385)</f>
        <v/>
      </c>
      <c r="V386" s="66">
        <f>IF('Smart Search'!B13=1,IFERROR(1/'Smart Search'!H13,0),0)</f>
        <v/>
      </c>
      <c r="W386" s="66">
        <f>IF('Smart Search'!B13=1,IFERROR(1/'Smart Search'!H13,0),0)</f>
        <v/>
      </c>
      <c r="X386" s="66">
        <f>IF('Smart Search'!C13=1,IFERROR(1/'Smart Search'!H13,0),0)</f>
        <v/>
      </c>
      <c r="Y386" s="66">
        <f>IF('Smart Search'!C13=1,IFERROR(1/'Smart Search'!H13,0),0)</f>
        <v/>
      </c>
      <c r="Z386" s="66">
        <f>IF('Smart Search'!D13=1,IFERROR(1/'Smart Search'!H13,0),0)</f>
        <v/>
      </c>
      <c r="AA386" s="66">
        <f>IF('Smart Search'!D13=1,IFERROR(1/'Smart Search'!H13,0),0)</f>
        <v/>
      </c>
      <c r="AB386" s="66">
        <f>IF('Smart Search'!E13=1,IFERROR(1/'Smart Search'!H13,0),0)</f>
        <v/>
      </c>
      <c r="AC386" s="66">
        <f>IF('Smart Search'!E13=1,IFERROR(1/'Smart Search'!H13,0),0)</f>
        <v/>
      </c>
      <c r="AD386" s="66">
        <f>IF('Smart Search'!F13=1,IFERROR(1/'Smart Search'!H13,0),0)</f>
        <v/>
      </c>
      <c r="AE386" s="66">
        <f>IF('Smart Search'!F13=1,IFERROR(1/'Smart Search'!H13,0),0)</f>
        <v/>
      </c>
      <c r="AF386" s="66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66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66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66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66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66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66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66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66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66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66">
        <f>AF386*V386</f>
        <v/>
      </c>
      <c r="AQ386" s="66">
        <f>AG386*W386</f>
        <v/>
      </c>
      <c r="AR386" s="66">
        <f>AH386*X386</f>
        <v/>
      </c>
      <c r="AS386" s="66">
        <f>AI386*Y386</f>
        <v/>
      </c>
      <c r="AT386" s="66">
        <f>AJ386*Z386</f>
        <v/>
      </c>
      <c r="AU386" s="66">
        <f>AK386*AA386</f>
        <v/>
      </c>
      <c r="AV386" s="66">
        <f>AL386*AB386</f>
        <v/>
      </c>
      <c r="AW386" s="66">
        <f>AM386*AC386</f>
        <v/>
      </c>
      <c r="AX386" s="66">
        <f>AN386*AD386</f>
        <v/>
      </c>
      <c r="AY386" s="66">
        <f>AO386*AE386</f>
        <v/>
      </c>
      <c r="AZ386" s="66">
        <f>INDEX(Projects[Automation Equipment],385)&amp;""</f>
        <v/>
      </c>
      <c r="BA386" s="66">
        <f>IF(OR(A386="",'Smart Search'!H13=0),"",MAX(0,BE386*BF386*MAX(0,1-BG386)))</f>
        <v/>
      </c>
      <c r="BB386" s="66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66">
        <f>IF('Smart Search'!G13=1,IFERROR(1/'Smart Search'!H13,0),0)</f>
        <v/>
      </c>
      <c r="BD386" s="66">
        <f>BB386*BC386</f>
        <v/>
      </c>
      <c r="BE386" s="66">
        <f>AP386+AQ386+AR386+AS386+AT386+AU386+AV386+AW386+AX386+AY386+BD386</f>
        <v/>
      </c>
      <c r="BF386" s="5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5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5">
        <f>IF(AND(A386&lt;&gt;"",OR('Smart Search'!$L$5="",'Smart Search'!$L$5="All",TRIM(BZ386)=TRIM('Smart Search'!$L$5)),OR(TRIM('Smart Search'!$L$6)="",TRIM('Smart Search'!$L$6)="All",ISNUMBER(SEARCH(SUBSTITUTE(SUBSTITUTE(SUBSTITUTE(TRIM('Smart Search'!$L$6),"~","~~"),"*","~*"),"?","~?"),CA386))),OR('Smart Search'!$L$7="",AND(CB386&lt;&gt;0,CB386='Smart Search'!$L$7)),OR('Smart Search'!$L$8="",'Smart Search'!$L$8="All",TRIM(CC386)=TRIM('Smart Search'!$L$8))),IF(BA386="","",BA386+ROW()*0.0000000001),"")</f>
        <v/>
      </c>
      <c r="BI386" s="5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5">
        <f>IF(A386="","",N(INDEX(Projects[Mech Inst],385)))</f>
        <v/>
      </c>
      <c r="BK386" s="5">
        <f>IF(A386="","",N(INDEX(Projects[Elec Inst],385)))</f>
        <v/>
      </c>
      <c r="BL386" s="5">
        <f>IF(A386="","",N(INDEX(Projects[Project Management],385)))</f>
        <v/>
      </c>
      <c r="BM386" s="5">
        <f>IF(A386="","",N(INDEX(Projects[Systems Eng],385)))</f>
        <v/>
      </c>
      <c r="BN386" s="5">
        <f>IF(A386="","",N(INDEX(Projects[Mechanical Eng],385)))</f>
        <v/>
      </c>
      <c r="BO386" s="5">
        <f>IF(A386="","",N(INDEX(Projects[Structural Engineering],385)))</f>
        <v/>
      </c>
      <c r="BP386" s="5">
        <f>IF(A386="","",N(INDEX(Projects[Site Sup],385)))</f>
        <v/>
      </c>
      <c r="BQ386" s="5">
        <f>IF(A386="","",N(INDEX(Projects[Controls Commissioning],385)))</f>
        <v/>
      </c>
      <c r="BR386" s="5">
        <f>IF(A386="","",N(INDEX(Projects[Systems Commissioning],385)))</f>
        <v/>
      </c>
      <c r="BS386" s="5">
        <f>IF(A386="","",N(INDEX(Projects[Service Commissioning],385)))</f>
        <v/>
      </c>
      <c r="BT386" s="5">
        <f>IF(A386="","",N(INDEX(Projects[Controls Eng],385)))</f>
        <v/>
      </c>
      <c r="BU386" s="5">
        <f>IF(A386="","",N(INDEX(Projects[Controls Purchase],385)))</f>
        <v/>
      </c>
      <c r="BV386" s="5">
        <f>IF(A386="","",N(INDEX(Projects[Software Eng],385)))</f>
        <v/>
      </c>
      <c r="BW386" s="5">
        <f>IF(A386="","",N(INDEX(Projects[Misc],385)))</f>
        <v/>
      </c>
      <c r="BX386" s="5">
        <f>IF(A386="","",SUM(BJ386:BW386))</f>
        <v/>
      </c>
      <c r="BY386" s="5">
        <f>IF(A386="","",IFERROR(IF(ISNUMBER(U386),U386,VALUE(SUBSTITUTE(SUBSTITUTE(SUBSTITUTE(UPPER(TRIM(U386)),"M",""),",","")," ",""))),0))</f>
        <v/>
      </c>
      <c r="BZ386" s="5">
        <f>INDEX(Projects[Solution Type],385)&amp;""</f>
        <v/>
      </c>
      <c r="CA386" s="5">
        <f>INDEX(Projects[Client / Region],385)&amp;""</f>
        <v/>
      </c>
      <c r="CB386" s="5">
        <f>INDEX(Projects[Year],385)</f>
        <v/>
      </c>
      <c r="CC386" s="5">
        <f>INDEX(Projects[Won?],385)&amp;""</f>
        <v/>
      </c>
      <c r="CD386" s="5">
        <f>INDEX(Projects[Value (USD M)],385)</f>
        <v/>
      </c>
    </row>
    <row r="387" ht="15" customHeight="1" s="74">
      <c r="A387" s="66">
        <f>INDEX(Projects[Project ID *],386)&amp;""</f>
        <v/>
      </c>
      <c r="B387" s="66">
        <f>INDEX(Projects[Project Name *],386)&amp;""</f>
        <v/>
      </c>
      <c r="C387" s="66">
        <f>INDEX(Projects[MS Shuttles],386)</f>
        <v/>
      </c>
      <c r="D387" s="66">
        <f>INDEX(Projects[MS Tote Locations],386)</f>
        <v/>
      </c>
      <c r="E387" s="66">
        <f>INDEX(Projects[AS Robots],386)</f>
        <v/>
      </c>
      <c r="F387" s="66">
        <f>INDEX(Projects[AS Tote Locations],386)</f>
        <v/>
      </c>
      <c r="G387" s="66">
        <f>INDEX(Projects[PS Shuttles],386)</f>
        <v/>
      </c>
      <c r="H387" s="66">
        <f>INDEX(Projects[PS Pallet Locations],386)</f>
        <v/>
      </c>
      <c r="I387" s="66">
        <f>INDEX(Projects[SRM Cranes],386)</f>
        <v/>
      </c>
      <c r="J387" s="66">
        <f>INDEX(Projects[SRM Pallet Locations],386)</f>
        <v/>
      </c>
      <c r="K387" s="66">
        <f>INDEX(Projects[Case Conv (m)],386)</f>
        <v/>
      </c>
      <c r="L387" s="66">
        <f>INDEX(Projects[Pallet Conv (m)],386)</f>
        <v/>
      </c>
      <c r="M387" s="66">
        <f>INDEX(Projects[Mech Eng (wks)],386)</f>
        <v/>
      </c>
      <c r="N387" s="66">
        <f>INDEX(Projects[Controls Eng (wks)],386)</f>
        <v/>
      </c>
      <c r="O387" s="66">
        <f>INDEX(Projects[Systems Eng (wks)],386)</f>
        <v/>
      </c>
      <c r="P387" s="66">
        <f>INDEX(Projects[Software Eng (wks)],386)</f>
        <v/>
      </c>
      <c r="Q387" s="66">
        <f>INDEX(Projects[M&amp;E Installation (wks)],386)</f>
        <v/>
      </c>
      <c r="R387" s="66">
        <f>INDEX(Projects[Commissioning (wks)],386)</f>
        <v/>
      </c>
      <c r="S387" s="66">
        <f>INDEX(Projects[Total Timeline (wks)],386)</f>
        <v/>
      </c>
      <c r="T387" s="66">
        <f>INDEX(Projects[Currency],386)&amp;""</f>
        <v/>
      </c>
      <c r="U387" s="67">
        <f>INDEX(Projects[Value (M)],386)</f>
        <v/>
      </c>
      <c r="V387" s="66">
        <f>IF('Smart Search'!B13=1,IFERROR(1/'Smart Search'!H13,0),0)</f>
        <v/>
      </c>
      <c r="W387" s="66">
        <f>IF('Smart Search'!B13=1,IFERROR(1/'Smart Search'!H13,0),0)</f>
        <v/>
      </c>
      <c r="X387" s="66">
        <f>IF('Smart Search'!C13=1,IFERROR(1/'Smart Search'!H13,0),0)</f>
        <v/>
      </c>
      <c r="Y387" s="66">
        <f>IF('Smart Search'!C13=1,IFERROR(1/'Smart Search'!H13,0),0)</f>
        <v/>
      </c>
      <c r="Z387" s="66">
        <f>IF('Smart Search'!D13=1,IFERROR(1/'Smart Search'!H13,0),0)</f>
        <v/>
      </c>
      <c r="AA387" s="66">
        <f>IF('Smart Search'!D13=1,IFERROR(1/'Smart Search'!H13,0),0)</f>
        <v/>
      </c>
      <c r="AB387" s="66">
        <f>IF('Smart Search'!E13=1,IFERROR(1/'Smart Search'!H13,0),0)</f>
        <v/>
      </c>
      <c r="AC387" s="66">
        <f>IF('Smart Search'!E13=1,IFERROR(1/'Smart Search'!H13,0),0)</f>
        <v/>
      </c>
      <c r="AD387" s="66">
        <f>IF('Smart Search'!F13=1,IFERROR(1/'Smart Search'!H13,0),0)</f>
        <v/>
      </c>
      <c r="AE387" s="66">
        <f>IF('Smart Search'!F13=1,IFERROR(1/'Smart Search'!H13,0),0)</f>
        <v/>
      </c>
      <c r="AF387" s="66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66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66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66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66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66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66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66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66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66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66">
        <f>AF387*V387</f>
        <v/>
      </c>
      <c r="AQ387" s="66">
        <f>AG387*W387</f>
        <v/>
      </c>
      <c r="AR387" s="66">
        <f>AH387*X387</f>
        <v/>
      </c>
      <c r="AS387" s="66">
        <f>AI387*Y387</f>
        <v/>
      </c>
      <c r="AT387" s="66">
        <f>AJ387*Z387</f>
        <v/>
      </c>
      <c r="AU387" s="66">
        <f>AK387*AA387</f>
        <v/>
      </c>
      <c r="AV387" s="66">
        <f>AL387*AB387</f>
        <v/>
      </c>
      <c r="AW387" s="66">
        <f>AM387*AC387</f>
        <v/>
      </c>
      <c r="AX387" s="66">
        <f>AN387*AD387</f>
        <v/>
      </c>
      <c r="AY387" s="66">
        <f>AO387*AE387</f>
        <v/>
      </c>
      <c r="AZ387" s="66">
        <f>INDEX(Projects[Automation Equipment],386)&amp;""</f>
        <v/>
      </c>
      <c r="BA387" s="66">
        <f>IF(OR(A387="",'Smart Search'!H13=0),"",MAX(0,BE387*BF387*MAX(0,1-BG387)))</f>
        <v/>
      </c>
      <c r="BB387" s="66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66">
        <f>IF('Smart Search'!G13=1,IFERROR(1/'Smart Search'!H13,0),0)</f>
        <v/>
      </c>
      <c r="BD387" s="66">
        <f>BB387*BC387</f>
        <v/>
      </c>
      <c r="BE387" s="66">
        <f>AP387+AQ387+AR387+AS387+AT387+AU387+AV387+AW387+AX387+AY387+BD387</f>
        <v/>
      </c>
      <c r="BF387" s="5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5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5">
        <f>IF(AND(A387&lt;&gt;"",OR('Smart Search'!$L$5="",'Smart Search'!$L$5="All",TRIM(BZ387)=TRIM('Smart Search'!$L$5)),OR(TRIM('Smart Search'!$L$6)="",TRIM('Smart Search'!$L$6)="All",ISNUMBER(SEARCH(SUBSTITUTE(SUBSTITUTE(SUBSTITUTE(TRIM('Smart Search'!$L$6),"~","~~"),"*","~*"),"?","~?"),CA387))),OR('Smart Search'!$L$7="",AND(CB387&lt;&gt;0,CB387='Smart Search'!$L$7)),OR('Smart Search'!$L$8="",'Smart Search'!$L$8="All",TRIM(CC387)=TRIM('Smart Search'!$L$8))),IF(BA387="","",BA387+ROW()*0.0000000001),"")</f>
        <v/>
      </c>
      <c r="BI387" s="5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5">
        <f>IF(A387="","",N(INDEX(Projects[Mech Inst],386)))</f>
        <v/>
      </c>
      <c r="BK387" s="5">
        <f>IF(A387="","",N(INDEX(Projects[Elec Inst],386)))</f>
        <v/>
      </c>
      <c r="BL387" s="5">
        <f>IF(A387="","",N(INDEX(Projects[Project Management],386)))</f>
        <v/>
      </c>
      <c r="BM387" s="5">
        <f>IF(A387="","",N(INDEX(Projects[Systems Eng],386)))</f>
        <v/>
      </c>
      <c r="BN387" s="5">
        <f>IF(A387="","",N(INDEX(Projects[Mechanical Eng],386)))</f>
        <v/>
      </c>
      <c r="BO387" s="5">
        <f>IF(A387="","",N(INDEX(Projects[Structural Engineering],386)))</f>
        <v/>
      </c>
      <c r="BP387" s="5">
        <f>IF(A387="","",N(INDEX(Projects[Site Sup],386)))</f>
        <v/>
      </c>
      <c r="BQ387" s="5">
        <f>IF(A387="","",N(INDEX(Projects[Controls Commissioning],386)))</f>
        <v/>
      </c>
      <c r="BR387" s="5">
        <f>IF(A387="","",N(INDEX(Projects[Systems Commissioning],386)))</f>
        <v/>
      </c>
      <c r="BS387" s="5">
        <f>IF(A387="","",N(INDEX(Projects[Service Commissioning],386)))</f>
        <v/>
      </c>
      <c r="BT387" s="5">
        <f>IF(A387="","",N(INDEX(Projects[Controls Eng],386)))</f>
        <v/>
      </c>
      <c r="BU387" s="5">
        <f>IF(A387="","",N(INDEX(Projects[Controls Purchase],386)))</f>
        <v/>
      </c>
      <c r="BV387" s="5">
        <f>IF(A387="","",N(INDEX(Projects[Software Eng],386)))</f>
        <v/>
      </c>
      <c r="BW387" s="5">
        <f>IF(A387="","",N(INDEX(Projects[Misc],386)))</f>
        <v/>
      </c>
      <c r="BX387" s="5">
        <f>IF(A387="","",SUM(BJ387:BW387))</f>
        <v/>
      </c>
      <c r="BY387" s="5">
        <f>IF(A387="","",IFERROR(IF(ISNUMBER(U387),U387,VALUE(SUBSTITUTE(SUBSTITUTE(SUBSTITUTE(UPPER(TRIM(U387)),"M",""),",","")," ",""))),0))</f>
        <v/>
      </c>
      <c r="BZ387" s="5">
        <f>INDEX(Projects[Solution Type],386)&amp;""</f>
        <v/>
      </c>
      <c r="CA387" s="5">
        <f>INDEX(Projects[Client / Region],386)&amp;""</f>
        <v/>
      </c>
      <c r="CB387" s="5">
        <f>INDEX(Projects[Year],386)</f>
        <v/>
      </c>
      <c r="CC387" s="5">
        <f>INDEX(Projects[Won?],386)&amp;""</f>
        <v/>
      </c>
      <c r="CD387" s="5">
        <f>INDEX(Projects[Value (USD M)],386)</f>
        <v/>
      </c>
    </row>
    <row r="388" ht="15" customHeight="1" s="74">
      <c r="A388" s="66">
        <f>INDEX(Projects[Project ID *],387)&amp;""</f>
        <v/>
      </c>
      <c r="B388" s="66">
        <f>INDEX(Projects[Project Name *],387)&amp;""</f>
        <v/>
      </c>
      <c r="C388" s="66">
        <f>INDEX(Projects[MS Shuttles],387)</f>
        <v/>
      </c>
      <c r="D388" s="66">
        <f>INDEX(Projects[MS Tote Locations],387)</f>
        <v/>
      </c>
      <c r="E388" s="66">
        <f>INDEX(Projects[AS Robots],387)</f>
        <v/>
      </c>
      <c r="F388" s="66">
        <f>INDEX(Projects[AS Tote Locations],387)</f>
        <v/>
      </c>
      <c r="G388" s="66">
        <f>INDEX(Projects[PS Shuttles],387)</f>
        <v/>
      </c>
      <c r="H388" s="66">
        <f>INDEX(Projects[PS Pallet Locations],387)</f>
        <v/>
      </c>
      <c r="I388" s="66">
        <f>INDEX(Projects[SRM Cranes],387)</f>
        <v/>
      </c>
      <c r="J388" s="66">
        <f>INDEX(Projects[SRM Pallet Locations],387)</f>
        <v/>
      </c>
      <c r="K388" s="66">
        <f>INDEX(Projects[Case Conv (m)],387)</f>
        <v/>
      </c>
      <c r="L388" s="66">
        <f>INDEX(Projects[Pallet Conv (m)],387)</f>
        <v/>
      </c>
      <c r="M388" s="66">
        <f>INDEX(Projects[Mech Eng (wks)],387)</f>
        <v/>
      </c>
      <c r="N388" s="66">
        <f>INDEX(Projects[Controls Eng (wks)],387)</f>
        <v/>
      </c>
      <c r="O388" s="66">
        <f>INDEX(Projects[Systems Eng (wks)],387)</f>
        <v/>
      </c>
      <c r="P388" s="66">
        <f>INDEX(Projects[Software Eng (wks)],387)</f>
        <v/>
      </c>
      <c r="Q388" s="66">
        <f>INDEX(Projects[M&amp;E Installation (wks)],387)</f>
        <v/>
      </c>
      <c r="R388" s="66">
        <f>INDEX(Projects[Commissioning (wks)],387)</f>
        <v/>
      </c>
      <c r="S388" s="66">
        <f>INDEX(Projects[Total Timeline (wks)],387)</f>
        <v/>
      </c>
      <c r="T388" s="66">
        <f>INDEX(Projects[Currency],387)&amp;""</f>
        <v/>
      </c>
      <c r="U388" s="67">
        <f>INDEX(Projects[Value (M)],387)</f>
        <v/>
      </c>
      <c r="V388" s="66">
        <f>IF('Smart Search'!B13=1,IFERROR(1/'Smart Search'!H13,0),0)</f>
        <v/>
      </c>
      <c r="W388" s="66">
        <f>IF('Smart Search'!B13=1,IFERROR(1/'Smart Search'!H13,0),0)</f>
        <v/>
      </c>
      <c r="X388" s="66">
        <f>IF('Smart Search'!C13=1,IFERROR(1/'Smart Search'!H13,0),0)</f>
        <v/>
      </c>
      <c r="Y388" s="66">
        <f>IF('Smart Search'!C13=1,IFERROR(1/'Smart Search'!H13,0),0)</f>
        <v/>
      </c>
      <c r="Z388" s="66">
        <f>IF('Smart Search'!D13=1,IFERROR(1/'Smart Search'!H13,0),0)</f>
        <v/>
      </c>
      <c r="AA388" s="66">
        <f>IF('Smart Search'!D13=1,IFERROR(1/'Smart Search'!H13,0),0)</f>
        <v/>
      </c>
      <c r="AB388" s="66">
        <f>IF('Smart Search'!E13=1,IFERROR(1/'Smart Search'!H13,0),0)</f>
        <v/>
      </c>
      <c r="AC388" s="66">
        <f>IF('Smart Search'!E13=1,IFERROR(1/'Smart Search'!H13,0),0)</f>
        <v/>
      </c>
      <c r="AD388" s="66">
        <f>IF('Smart Search'!F13=1,IFERROR(1/'Smart Search'!H13,0),0)</f>
        <v/>
      </c>
      <c r="AE388" s="66">
        <f>IF('Smart Search'!F13=1,IFERROR(1/'Smart Search'!H13,0),0)</f>
        <v/>
      </c>
      <c r="AF388" s="66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66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66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66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66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66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66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66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66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66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66">
        <f>AF388*V388</f>
        <v/>
      </c>
      <c r="AQ388" s="66">
        <f>AG388*W388</f>
        <v/>
      </c>
      <c r="AR388" s="66">
        <f>AH388*X388</f>
        <v/>
      </c>
      <c r="AS388" s="66">
        <f>AI388*Y388</f>
        <v/>
      </c>
      <c r="AT388" s="66">
        <f>AJ388*Z388</f>
        <v/>
      </c>
      <c r="AU388" s="66">
        <f>AK388*AA388</f>
        <v/>
      </c>
      <c r="AV388" s="66">
        <f>AL388*AB388</f>
        <v/>
      </c>
      <c r="AW388" s="66">
        <f>AM388*AC388</f>
        <v/>
      </c>
      <c r="AX388" s="66">
        <f>AN388*AD388</f>
        <v/>
      </c>
      <c r="AY388" s="66">
        <f>AO388*AE388</f>
        <v/>
      </c>
      <c r="AZ388" s="66">
        <f>INDEX(Projects[Automation Equipment],387)&amp;""</f>
        <v/>
      </c>
      <c r="BA388" s="66">
        <f>IF(OR(A388="",'Smart Search'!H13=0),"",MAX(0,BE388*BF388*MAX(0,1-BG388)))</f>
        <v/>
      </c>
      <c r="BB388" s="66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66">
        <f>IF('Smart Search'!G13=1,IFERROR(1/'Smart Search'!H13,0),0)</f>
        <v/>
      </c>
      <c r="BD388" s="66">
        <f>BB388*BC388</f>
        <v/>
      </c>
      <c r="BE388" s="66">
        <f>AP388+AQ388+AR388+AS388+AT388+AU388+AV388+AW388+AX388+AY388+BD388</f>
        <v/>
      </c>
      <c r="BF388" s="5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5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5">
        <f>IF(AND(A388&lt;&gt;"",OR('Smart Search'!$L$5="",'Smart Search'!$L$5="All",TRIM(BZ388)=TRIM('Smart Search'!$L$5)),OR(TRIM('Smart Search'!$L$6)="",TRIM('Smart Search'!$L$6)="All",ISNUMBER(SEARCH(SUBSTITUTE(SUBSTITUTE(SUBSTITUTE(TRIM('Smart Search'!$L$6),"~","~~"),"*","~*"),"?","~?"),CA388))),OR('Smart Search'!$L$7="",AND(CB388&lt;&gt;0,CB388='Smart Search'!$L$7)),OR('Smart Search'!$L$8="",'Smart Search'!$L$8="All",TRIM(CC388)=TRIM('Smart Search'!$L$8))),IF(BA388="","",BA388+ROW()*0.0000000001),"")</f>
        <v/>
      </c>
      <c r="BI388" s="5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5">
        <f>IF(A388="","",N(INDEX(Projects[Mech Inst],387)))</f>
        <v/>
      </c>
      <c r="BK388" s="5">
        <f>IF(A388="","",N(INDEX(Projects[Elec Inst],387)))</f>
        <v/>
      </c>
      <c r="BL388" s="5">
        <f>IF(A388="","",N(INDEX(Projects[Project Management],387)))</f>
        <v/>
      </c>
      <c r="BM388" s="5">
        <f>IF(A388="","",N(INDEX(Projects[Systems Eng],387)))</f>
        <v/>
      </c>
      <c r="BN388" s="5">
        <f>IF(A388="","",N(INDEX(Projects[Mechanical Eng],387)))</f>
        <v/>
      </c>
      <c r="BO388" s="5">
        <f>IF(A388="","",N(INDEX(Projects[Structural Engineering],387)))</f>
        <v/>
      </c>
      <c r="BP388" s="5">
        <f>IF(A388="","",N(INDEX(Projects[Site Sup],387)))</f>
        <v/>
      </c>
      <c r="BQ388" s="5">
        <f>IF(A388="","",N(INDEX(Projects[Controls Commissioning],387)))</f>
        <v/>
      </c>
      <c r="BR388" s="5">
        <f>IF(A388="","",N(INDEX(Projects[Systems Commissioning],387)))</f>
        <v/>
      </c>
      <c r="BS388" s="5">
        <f>IF(A388="","",N(INDEX(Projects[Service Commissioning],387)))</f>
        <v/>
      </c>
      <c r="BT388" s="5">
        <f>IF(A388="","",N(INDEX(Projects[Controls Eng],387)))</f>
        <v/>
      </c>
      <c r="BU388" s="5">
        <f>IF(A388="","",N(INDEX(Projects[Controls Purchase],387)))</f>
        <v/>
      </c>
      <c r="BV388" s="5">
        <f>IF(A388="","",N(INDEX(Projects[Software Eng],387)))</f>
        <v/>
      </c>
      <c r="BW388" s="5">
        <f>IF(A388="","",N(INDEX(Projects[Misc],387)))</f>
        <v/>
      </c>
      <c r="BX388" s="5">
        <f>IF(A388="","",SUM(BJ388:BW388))</f>
        <v/>
      </c>
      <c r="BY388" s="5">
        <f>IF(A388="","",IFERROR(IF(ISNUMBER(U388),U388,VALUE(SUBSTITUTE(SUBSTITUTE(SUBSTITUTE(UPPER(TRIM(U388)),"M",""),",","")," ",""))),0))</f>
        <v/>
      </c>
      <c r="BZ388" s="5">
        <f>INDEX(Projects[Solution Type],387)&amp;""</f>
        <v/>
      </c>
      <c r="CA388" s="5">
        <f>INDEX(Projects[Client / Region],387)&amp;""</f>
        <v/>
      </c>
      <c r="CB388" s="5">
        <f>INDEX(Projects[Year],387)</f>
        <v/>
      </c>
      <c r="CC388" s="5">
        <f>INDEX(Projects[Won?],387)&amp;""</f>
        <v/>
      </c>
      <c r="CD388" s="5">
        <f>INDEX(Projects[Value (USD M)],387)</f>
        <v/>
      </c>
    </row>
    <row r="389" ht="15" customHeight="1" s="74">
      <c r="A389" s="66">
        <f>INDEX(Projects[Project ID *],388)&amp;""</f>
        <v/>
      </c>
      <c r="B389" s="66">
        <f>INDEX(Projects[Project Name *],388)&amp;""</f>
        <v/>
      </c>
      <c r="C389" s="66">
        <f>INDEX(Projects[MS Shuttles],388)</f>
        <v/>
      </c>
      <c r="D389" s="66">
        <f>INDEX(Projects[MS Tote Locations],388)</f>
        <v/>
      </c>
      <c r="E389" s="66">
        <f>INDEX(Projects[AS Robots],388)</f>
        <v/>
      </c>
      <c r="F389" s="66">
        <f>INDEX(Projects[AS Tote Locations],388)</f>
        <v/>
      </c>
      <c r="G389" s="66">
        <f>INDEX(Projects[PS Shuttles],388)</f>
        <v/>
      </c>
      <c r="H389" s="66">
        <f>INDEX(Projects[PS Pallet Locations],388)</f>
        <v/>
      </c>
      <c r="I389" s="66">
        <f>INDEX(Projects[SRM Cranes],388)</f>
        <v/>
      </c>
      <c r="J389" s="66">
        <f>INDEX(Projects[SRM Pallet Locations],388)</f>
        <v/>
      </c>
      <c r="K389" s="66">
        <f>INDEX(Projects[Case Conv (m)],388)</f>
        <v/>
      </c>
      <c r="L389" s="66">
        <f>INDEX(Projects[Pallet Conv (m)],388)</f>
        <v/>
      </c>
      <c r="M389" s="66">
        <f>INDEX(Projects[Mech Eng (wks)],388)</f>
        <v/>
      </c>
      <c r="N389" s="66">
        <f>INDEX(Projects[Controls Eng (wks)],388)</f>
        <v/>
      </c>
      <c r="O389" s="66">
        <f>INDEX(Projects[Systems Eng (wks)],388)</f>
        <v/>
      </c>
      <c r="P389" s="66">
        <f>INDEX(Projects[Software Eng (wks)],388)</f>
        <v/>
      </c>
      <c r="Q389" s="66">
        <f>INDEX(Projects[M&amp;E Installation (wks)],388)</f>
        <v/>
      </c>
      <c r="R389" s="66">
        <f>INDEX(Projects[Commissioning (wks)],388)</f>
        <v/>
      </c>
      <c r="S389" s="66">
        <f>INDEX(Projects[Total Timeline (wks)],388)</f>
        <v/>
      </c>
      <c r="T389" s="66">
        <f>INDEX(Projects[Currency],388)&amp;""</f>
        <v/>
      </c>
      <c r="U389" s="67">
        <f>INDEX(Projects[Value (M)],388)</f>
        <v/>
      </c>
      <c r="V389" s="66">
        <f>IF('Smart Search'!B13=1,IFERROR(1/'Smart Search'!H13,0),0)</f>
        <v/>
      </c>
      <c r="W389" s="66">
        <f>IF('Smart Search'!B13=1,IFERROR(1/'Smart Search'!H13,0),0)</f>
        <v/>
      </c>
      <c r="X389" s="66">
        <f>IF('Smart Search'!C13=1,IFERROR(1/'Smart Search'!H13,0),0)</f>
        <v/>
      </c>
      <c r="Y389" s="66">
        <f>IF('Smart Search'!C13=1,IFERROR(1/'Smart Search'!H13,0),0)</f>
        <v/>
      </c>
      <c r="Z389" s="66">
        <f>IF('Smart Search'!D13=1,IFERROR(1/'Smart Search'!H13,0),0)</f>
        <v/>
      </c>
      <c r="AA389" s="66">
        <f>IF('Smart Search'!D13=1,IFERROR(1/'Smart Search'!H13,0),0)</f>
        <v/>
      </c>
      <c r="AB389" s="66">
        <f>IF('Smart Search'!E13=1,IFERROR(1/'Smart Search'!H13,0),0)</f>
        <v/>
      </c>
      <c r="AC389" s="66">
        <f>IF('Smart Search'!E13=1,IFERROR(1/'Smart Search'!H13,0),0)</f>
        <v/>
      </c>
      <c r="AD389" s="66">
        <f>IF('Smart Search'!F13=1,IFERROR(1/'Smart Search'!H13,0),0)</f>
        <v/>
      </c>
      <c r="AE389" s="66">
        <f>IF('Smart Search'!F13=1,IFERROR(1/'Smart Search'!H13,0),0)</f>
        <v/>
      </c>
      <c r="AF389" s="66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66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66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66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66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66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66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66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66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66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66">
        <f>AF389*V389</f>
        <v/>
      </c>
      <c r="AQ389" s="66">
        <f>AG389*W389</f>
        <v/>
      </c>
      <c r="AR389" s="66">
        <f>AH389*X389</f>
        <v/>
      </c>
      <c r="AS389" s="66">
        <f>AI389*Y389</f>
        <v/>
      </c>
      <c r="AT389" s="66">
        <f>AJ389*Z389</f>
        <v/>
      </c>
      <c r="AU389" s="66">
        <f>AK389*AA389</f>
        <v/>
      </c>
      <c r="AV389" s="66">
        <f>AL389*AB389</f>
        <v/>
      </c>
      <c r="AW389" s="66">
        <f>AM389*AC389</f>
        <v/>
      </c>
      <c r="AX389" s="66">
        <f>AN389*AD389</f>
        <v/>
      </c>
      <c r="AY389" s="66">
        <f>AO389*AE389</f>
        <v/>
      </c>
      <c r="AZ389" s="66">
        <f>INDEX(Projects[Automation Equipment],388)&amp;""</f>
        <v/>
      </c>
      <c r="BA389" s="66">
        <f>IF(OR(A389="",'Smart Search'!H13=0),"",MAX(0,BE389*BF389*MAX(0,1-BG389)))</f>
        <v/>
      </c>
      <c r="BB389" s="66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66">
        <f>IF('Smart Search'!G13=1,IFERROR(1/'Smart Search'!H13,0),0)</f>
        <v/>
      </c>
      <c r="BD389" s="66">
        <f>BB389*BC389</f>
        <v/>
      </c>
      <c r="BE389" s="66">
        <f>AP389+AQ389+AR389+AS389+AT389+AU389+AV389+AW389+AX389+AY389+BD389</f>
        <v/>
      </c>
      <c r="BF389" s="5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5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5">
        <f>IF(AND(A389&lt;&gt;"",OR('Smart Search'!$L$5="",'Smart Search'!$L$5="All",TRIM(BZ389)=TRIM('Smart Search'!$L$5)),OR(TRIM('Smart Search'!$L$6)="",TRIM('Smart Search'!$L$6)="All",ISNUMBER(SEARCH(SUBSTITUTE(SUBSTITUTE(SUBSTITUTE(TRIM('Smart Search'!$L$6),"~","~~"),"*","~*"),"?","~?"),CA389))),OR('Smart Search'!$L$7="",AND(CB389&lt;&gt;0,CB389='Smart Search'!$L$7)),OR('Smart Search'!$L$8="",'Smart Search'!$L$8="All",TRIM(CC389)=TRIM('Smart Search'!$L$8))),IF(BA389="","",BA389+ROW()*0.0000000001),"")</f>
        <v/>
      </c>
      <c r="BI389" s="5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5">
        <f>IF(A389="","",N(INDEX(Projects[Mech Inst],388)))</f>
        <v/>
      </c>
      <c r="BK389" s="5">
        <f>IF(A389="","",N(INDEX(Projects[Elec Inst],388)))</f>
        <v/>
      </c>
      <c r="BL389" s="5">
        <f>IF(A389="","",N(INDEX(Projects[Project Management],388)))</f>
        <v/>
      </c>
      <c r="BM389" s="5">
        <f>IF(A389="","",N(INDEX(Projects[Systems Eng],388)))</f>
        <v/>
      </c>
      <c r="BN389" s="5">
        <f>IF(A389="","",N(INDEX(Projects[Mechanical Eng],388)))</f>
        <v/>
      </c>
      <c r="BO389" s="5">
        <f>IF(A389="","",N(INDEX(Projects[Structural Engineering],388)))</f>
        <v/>
      </c>
      <c r="BP389" s="5">
        <f>IF(A389="","",N(INDEX(Projects[Site Sup],388)))</f>
        <v/>
      </c>
      <c r="BQ389" s="5">
        <f>IF(A389="","",N(INDEX(Projects[Controls Commissioning],388)))</f>
        <v/>
      </c>
      <c r="BR389" s="5">
        <f>IF(A389="","",N(INDEX(Projects[Systems Commissioning],388)))</f>
        <v/>
      </c>
      <c r="BS389" s="5">
        <f>IF(A389="","",N(INDEX(Projects[Service Commissioning],388)))</f>
        <v/>
      </c>
      <c r="BT389" s="5">
        <f>IF(A389="","",N(INDEX(Projects[Controls Eng],388)))</f>
        <v/>
      </c>
      <c r="BU389" s="5">
        <f>IF(A389="","",N(INDEX(Projects[Controls Purchase],388)))</f>
        <v/>
      </c>
      <c r="BV389" s="5">
        <f>IF(A389="","",N(INDEX(Projects[Software Eng],388)))</f>
        <v/>
      </c>
      <c r="BW389" s="5">
        <f>IF(A389="","",N(INDEX(Projects[Misc],388)))</f>
        <v/>
      </c>
      <c r="BX389" s="5">
        <f>IF(A389="","",SUM(BJ389:BW389))</f>
        <v/>
      </c>
      <c r="BY389" s="5">
        <f>IF(A389="","",IFERROR(IF(ISNUMBER(U389),U389,VALUE(SUBSTITUTE(SUBSTITUTE(SUBSTITUTE(UPPER(TRIM(U389)),"M",""),",","")," ",""))),0))</f>
        <v/>
      </c>
      <c r="BZ389" s="5">
        <f>INDEX(Projects[Solution Type],388)&amp;""</f>
        <v/>
      </c>
      <c r="CA389" s="5">
        <f>INDEX(Projects[Client / Region],388)&amp;""</f>
        <v/>
      </c>
      <c r="CB389" s="5">
        <f>INDEX(Projects[Year],388)</f>
        <v/>
      </c>
      <c r="CC389" s="5">
        <f>INDEX(Projects[Won?],388)&amp;""</f>
        <v/>
      </c>
      <c r="CD389" s="5">
        <f>INDEX(Projects[Value (USD M)],388)</f>
        <v/>
      </c>
    </row>
    <row r="390" ht="15" customHeight="1" s="74">
      <c r="A390" s="66">
        <f>INDEX(Projects[Project ID *],389)&amp;""</f>
        <v/>
      </c>
      <c r="B390" s="66">
        <f>INDEX(Projects[Project Name *],389)&amp;""</f>
        <v/>
      </c>
      <c r="C390" s="66">
        <f>INDEX(Projects[MS Shuttles],389)</f>
        <v/>
      </c>
      <c r="D390" s="66">
        <f>INDEX(Projects[MS Tote Locations],389)</f>
        <v/>
      </c>
      <c r="E390" s="66">
        <f>INDEX(Projects[AS Robots],389)</f>
        <v/>
      </c>
      <c r="F390" s="66">
        <f>INDEX(Projects[AS Tote Locations],389)</f>
        <v/>
      </c>
      <c r="G390" s="66">
        <f>INDEX(Projects[PS Shuttles],389)</f>
        <v/>
      </c>
      <c r="H390" s="66">
        <f>INDEX(Projects[PS Pallet Locations],389)</f>
        <v/>
      </c>
      <c r="I390" s="66">
        <f>INDEX(Projects[SRM Cranes],389)</f>
        <v/>
      </c>
      <c r="J390" s="66">
        <f>INDEX(Projects[SRM Pallet Locations],389)</f>
        <v/>
      </c>
      <c r="K390" s="66">
        <f>INDEX(Projects[Case Conv (m)],389)</f>
        <v/>
      </c>
      <c r="L390" s="66">
        <f>INDEX(Projects[Pallet Conv (m)],389)</f>
        <v/>
      </c>
      <c r="M390" s="66">
        <f>INDEX(Projects[Mech Eng (wks)],389)</f>
        <v/>
      </c>
      <c r="N390" s="66">
        <f>INDEX(Projects[Controls Eng (wks)],389)</f>
        <v/>
      </c>
      <c r="O390" s="66">
        <f>INDEX(Projects[Systems Eng (wks)],389)</f>
        <v/>
      </c>
      <c r="P390" s="66">
        <f>INDEX(Projects[Software Eng (wks)],389)</f>
        <v/>
      </c>
      <c r="Q390" s="66">
        <f>INDEX(Projects[M&amp;E Installation (wks)],389)</f>
        <v/>
      </c>
      <c r="R390" s="66">
        <f>INDEX(Projects[Commissioning (wks)],389)</f>
        <v/>
      </c>
      <c r="S390" s="66">
        <f>INDEX(Projects[Total Timeline (wks)],389)</f>
        <v/>
      </c>
      <c r="T390" s="66">
        <f>INDEX(Projects[Currency],389)&amp;""</f>
        <v/>
      </c>
      <c r="U390" s="67">
        <f>INDEX(Projects[Value (M)],389)</f>
        <v/>
      </c>
      <c r="V390" s="66">
        <f>IF('Smart Search'!B13=1,IFERROR(1/'Smart Search'!H13,0),0)</f>
        <v/>
      </c>
      <c r="W390" s="66">
        <f>IF('Smart Search'!B13=1,IFERROR(1/'Smart Search'!H13,0),0)</f>
        <v/>
      </c>
      <c r="X390" s="66">
        <f>IF('Smart Search'!C13=1,IFERROR(1/'Smart Search'!H13,0),0)</f>
        <v/>
      </c>
      <c r="Y390" s="66">
        <f>IF('Smart Search'!C13=1,IFERROR(1/'Smart Search'!H13,0),0)</f>
        <v/>
      </c>
      <c r="Z390" s="66">
        <f>IF('Smart Search'!D13=1,IFERROR(1/'Smart Search'!H13,0),0)</f>
        <v/>
      </c>
      <c r="AA390" s="66">
        <f>IF('Smart Search'!D13=1,IFERROR(1/'Smart Search'!H13,0),0)</f>
        <v/>
      </c>
      <c r="AB390" s="66">
        <f>IF('Smart Search'!E13=1,IFERROR(1/'Smart Search'!H13,0),0)</f>
        <v/>
      </c>
      <c r="AC390" s="66">
        <f>IF('Smart Search'!E13=1,IFERROR(1/'Smart Search'!H13,0),0)</f>
        <v/>
      </c>
      <c r="AD390" s="66">
        <f>IF('Smart Search'!F13=1,IFERROR(1/'Smart Search'!H13,0),0)</f>
        <v/>
      </c>
      <c r="AE390" s="66">
        <f>IF('Smart Search'!F13=1,IFERROR(1/'Smart Search'!H13,0),0)</f>
        <v/>
      </c>
      <c r="AF390" s="66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66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66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66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66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66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66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66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66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66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66">
        <f>AF390*V390</f>
        <v/>
      </c>
      <c r="AQ390" s="66">
        <f>AG390*W390</f>
        <v/>
      </c>
      <c r="AR390" s="66">
        <f>AH390*X390</f>
        <v/>
      </c>
      <c r="AS390" s="66">
        <f>AI390*Y390</f>
        <v/>
      </c>
      <c r="AT390" s="66">
        <f>AJ390*Z390</f>
        <v/>
      </c>
      <c r="AU390" s="66">
        <f>AK390*AA390</f>
        <v/>
      </c>
      <c r="AV390" s="66">
        <f>AL390*AB390</f>
        <v/>
      </c>
      <c r="AW390" s="66">
        <f>AM390*AC390</f>
        <v/>
      </c>
      <c r="AX390" s="66">
        <f>AN390*AD390</f>
        <v/>
      </c>
      <c r="AY390" s="66">
        <f>AO390*AE390</f>
        <v/>
      </c>
      <c r="AZ390" s="66">
        <f>INDEX(Projects[Automation Equipment],389)&amp;""</f>
        <v/>
      </c>
      <c r="BA390" s="66">
        <f>IF(OR(A390="",'Smart Search'!H13=0),"",MAX(0,BE390*BF390*MAX(0,1-BG390)))</f>
        <v/>
      </c>
      <c r="BB390" s="66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66">
        <f>IF('Smart Search'!G13=1,IFERROR(1/'Smart Search'!H13,0),0)</f>
        <v/>
      </c>
      <c r="BD390" s="66">
        <f>BB390*BC390</f>
        <v/>
      </c>
      <c r="BE390" s="66">
        <f>AP390+AQ390+AR390+AS390+AT390+AU390+AV390+AW390+AX390+AY390+BD390</f>
        <v/>
      </c>
      <c r="BF390" s="5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5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5">
        <f>IF(AND(A390&lt;&gt;"",OR('Smart Search'!$L$5="",'Smart Search'!$L$5="All",TRIM(BZ390)=TRIM('Smart Search'!$L$5)),OR(TRIM('Smart Search'!$L$6)="",TRIM('Smart Search'!$L$6)="All",ISNUMBER(SEARCH(SUBSTITUTE(SUBSTITUTE(SUBSTITUTE(TRIM('Smart Search'!$L$6),"~","~~"),"*","~*"),"?","~?"),CA390))),OR('Smart Search'!$L$7="",AND(CB390&lt;&gt;0,CB390='Smart Search'!$L$7)),OR('Smart Search'!$L$8="",'Smart Search'!$L$8="All",TRIM(CC390)=TRIM('Smart Search'!$L$8))),IF(BA390="","",BA390+ROW()*0.0000000001),"")</f>
        <v/>
      </c>
      <c r="BI390" s="5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5">
        <f>IF(A390="","",N(INDEX(Projects[Mech Inst],389)))</f>
        <v/>
      </c>
      <c r="BK390" s="5">
        <f>IF(A390="","",N(INDEX(Projects[Elec Inst],389)))</f>
        <v/>
      </c>
      <c r="BL390" s="5">
        <f>IF(A390="","",N(INDEX(Projects[Project Management],389)))</f>
        <v/>
      </c>
      <c r="BM390" s="5">
        <f>IF(A390="","",N(INDEX(Projects[Systems Eng],389)))</f>
        <v/>
      </c>
      <c r="BN390" s="5">
        <f>IF(A390="","",N(INDEX(Projects[Mechanical Eng],389)))</f>
        <v/>
      </c>
      <c r="BO390" s="5">
        <f>IF(A390="","",N(INDEX(Projects[Structural Engineering],389)))</f>
        <v/>
      </c>
      <c r="BP390" s="5">
        <f>IF(A390="","",N(INDEX(Projects[Site Sup],389)))</f>
        <v/>
      </c>
      <c r="BQ390" s="5">
        <f>IF(A390="","",N(INDEX(Projects[Controls Commissioning],389)))</f>
        <v/>
      </c>
      <c r="BR390" s="5">
        <f>IF(A390="","",N(INDEX(Projects[Systems Commissioning],389)))</f>
        <v/>
      </c>
      <c r="BS390" s="5">
        <f>IF(A390="","",N(INDEX(Projects[Service Commissioning],389)))</f>
        <v/>
      </c>
      <c r="BT390" s="5">
        <f>IF(A390="","",N(INDEX(Projects[Controls Eng],389)))</f>
        <v/>
      </c>
      <c r="BU390" s="5">
        <f>IF(A390="","",N(INDEX(Projects[Controls Purchase],389)))</f>
        <v/>
      </c>
      <c r="BV390" s="5">
        <f>IF(A390="","",N(INDEX(Projects[Software Eng],389)))</f>
        <v/>
      </c>
      <c r="BW390" s="5">
        <f>IF(A390="","",N(INDEX(Projects[Misc],389)))</f>
        <v/>
      </c>
      <c r="BX390" s="5">
        <f>IF(A390="","",SUM(BJ390:BW390))</f>
        <v/>
      </c>
      <c r="BY390" s="5">
        <f>IF(A390="","",IFERROR(IF(ISNUMBER(U390),U390,VALUE(SUBSTITUTE(SUBSTITUTE(SUBSTITUTE(UPPER(TRIM(U390)),"M",""),",","")," ",""))),0))</f>
        <v/>
      </c>
      <c r="BZ390" s="5">
        <f>INDEX(Projects[Solution Type],389)&amp;""</f>
        <v/>
      </c>
      <c r="CA390" s="5">
        <f>INDEX(Projects[Client / Region],389)&amp;""</f>
        <v/>
      </c>
      <c r="CB390" s="5">
        <f>INDEX(Projects[Year],389)</f>
        <v/>
      </c>
      <c r="CC390" s="5">
        <f>INDEX(Projects[Won?],389)&amp;""</f>
        <v/>
      </c>
      <c r="CD390" s="5">
        <f>INDEX(Projects[Value (USD M)],389)</f>
        <v/>
      </c>
    </row>
    <row r="391" ht="15" customHeight="1" s="74">
      <c r="A391" s="66">
        <f>INDEX(Projects[Project ID *],390)&amp;""</f>
        <v/>
      </c>
      <c r="B391" s="66">
        <f>INDEX(Projects[Project Name *],390)&amp;""</f>
        <v/>
      </c>
      <c r="C391" s="66">
        <f>INDEX(Projects[MS Shuttles],390)</f>
        <v/>
      </c>
      <c r="D391" s="66">
        <f>INDEX(Projects[MS Tote Locations],390)</f>
        <v/>
      </c>
      <c r="E391" s="66">
        <f>INDEX(Projects[AS Robots],390)</f>
        <v/>
      </c>
      <c r="F391" s="66">
        <f>INDEX(Projects[AS Tote Locations],390)</f>
        <v/>
      </c>
      <c r="G391" s="66">
        <f>INDEX(Projects[PS Shuttles],390)</f>
        <v/>
      </c>
      <c r="H391" s="66">
        <f>INDEX(Projects[PS Pallet Locations],390)</f>
        <v/>
      </c>
      <c r="I391" s="66">
        <f>INDEX(Projects[SRM Cranes],390)</f>
        <v/>
      </c>
      <c r="J391" s="66">
        <f>INDEX(Projects[SRM Pallet Locations],390)</f>
        <v/>
      </c>
      <c r="K391" s="66">
        <f>INDEX(Projects[Case Conv (m)],390)</f>
        <v/>
      </c>
      <c r="L391" s="66">
        <f>INDEX(Projects[Pallet Conv (m)],390)</f>
        <v/>
      </c>
      <c r="M391" s="66">
        <f>INDEX(Projects[Mech Eng (wks)],390)</f>
        <v/>
      </c>
      <c r="N391" s="66">
        <f>INDEX(Projects[Controls Eng (wks)],390)</f>
        <v/>
      </c>
      <c r="O391" s="66">
        <f>INDEX(Projects[Systems Eng (wks)],390)</f>
        <v/>
      </c>
      <c r="P391" s="66">
        <f>INDEX(Projects[Software Eng (wks)],390)</f>
        <v/>
      </c>
      <c r="Q391" s="66">
        <f>INDEX(Projects[M&amp;E Installation (wks)],390)</f>
        <v/>
      </c>
      <c r="R391" s="66">
        <f>INDEX(Projects[Commissioning (wks)],390)</f>
        <v/>
      </c>
      <c r="S391" s="66">
        <f>INDEX(Projects[Total Timeline (wks)],390)</f>
        <v/>
      </c>
      <c r="T391" s="66">
        <f>INDEX(Projects[Currency],390)&amp;""</f>
        <v/>
      </c>
      <c r="U391" s="67">
        <f>INDEX(Projects[Value (M)],390)</f>
        <v/>
      </c>
      <c r="V391" s="66">
        <f>IF('Smart Search'!B13=1,IFERROR(1/'Smart Search'!H13,0),0)</f>
        <v/>
      </c>
      <c r="W391" s="66">
        <f>IF('Smart Search'!B13=1,IFERROR(1/'Smart Search'!H13,0),0)</f>
        <v/>
      </c>
      <c r="X391" s="66">
        <f>IF('Smart Search'!C13=1,IFERROR(1/'Smart Search'!H13,0),0)</f>
        <v/>
      </c>
      <c r="Y391" s="66">
        <f>IF('Smart Search'!C13=1,IFERROR(1/'Smart Search'!H13,0),0)</f>
        <v/>
      </c>
      <c r="Z391" s="66">
        <f>IF('Smart Search'!D13=1,IFERROR(1/'Smart Search'!H13,0),0)</f>
        <v/>
      </c>
      <c r="AA391" s="66">
        <f>IF('Smart Search'!D13=1,IFERROR(1/'Smart Search'!H13,0),0)</f>
        <v/>
      </c>
      <c r="AB391" s="66">
        <f>IF('Smart Search'!E13=1,IFERROR(1/'Smart Search'!H13,0),0)</f>
        <v/>
      </c>
      <c r="AC391" s="66">
        <f>IF('Smart Search'!E13=1,IFERROR(1/'Smart Search'!H13,0),0)</f>
        <v/>
      </c>
      <c r="AD391" s="66">
        <f>IF('Smart Search'!F13=1,IFERROR(1/'Smart Search'!H13,0),0)</f>
        <v/>
      </c>
      <c r="AE391" s="66">
        <f>IF('Smart Search'!F13=1,IFERROR(1/'Smart Search'!H13,0),0)</f>
        <v/>
      </c>
      <c r="AF391" s="66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66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66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66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66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66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66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66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66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66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66">
        <f>AF391*V391</f>
        <v/>
      </c>
      <c r="AQ391" s="66">
        <f>AG391*W391</f>
        <v/>
      </c>
      <c r="AR391" s="66">
        <f>AH391*X391</f>
        <v/>
      </c>
      <c r="AS391" s="66">
        <f>AI391*Y391</f>
        <v/>
      </c>
      <c r="AT391" s="66">
        <f>AJ391*Z391</f>
        <v/>
      </c>
      <c r="AU391" s="66">
        <f>AK391*AA391</f>
        <v/>
      </c>
      <c r="AV391" s="66">
        <f>AL391*AB391</f>
        <v/>
      </c>
      <c r="AW391" s="66">
        <f>AM391*AC391</f>
        <v/>
      </c>
      <c r="AX391" s="66">
        <f>AN391*AD391</f>
        <v/>
      </c>
      <c r="AY391" s="66">
        <f>AO391*AE391</f>
        <v/>
      </c>
      <c r="AZ391" s="66">
        <f>INDEX(Projects[Automation Equipment],390)&amp;""</f>
        <v/>
      </c>
      <c r="BA391" s="66">
        <f>IF(OR(A391="",'Smart Search'!H13=0),"",MAX(0,BE391*BF391*MAX(0,1-BG391)))</f>
        <v/>
      </c>
      <c r="BB391" s="66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66">
        <f>IF('Smart Search'!G13=1,IFERROR(1/'Smart Search'!H13,0),0)</f>
        <v/>
      </c>
      <c r="BD391" s="66">
        <f>BB391*BC391</f>
        <v/>
      </c>
      <c r="BE391" s="66">
        <f>AP391+AQ391+AR391+AS391+AT391+AU391+AV391+AW391+AX391+AY391+BD391</f>
        <v/>
      </c>
      <c r="BF391" s="5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5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5">
        <f>IF(AND(A391&lt;&gt;"",OR('Smart Search'!$L$5="",'Smart Search'!$L$5="All",TRIM(BZ391)=TRIM('Smart Search'!$L$5)),OR(TRIM('Smart Search'!$L$6)="",TRIM('Smart Search'!$L$6)="All",ISNUMBER(SEARCH(SUBSTITUTE(SUBSTITUTE(SUBSTITUTE(TRIM('Smart Search'!$L$6),"~","~~"),"*","~*"),"?","~?"),CA391))),OR('Smart Search'!$L$7="",AND(CB391&lt;&gt;0,CB391='Smart Search'!$L$7)),OR('Smart Search'!$L$8="",'Smart Search'!$L$8="All",TRIM(CC391)=TRIM('Smart Search'!$L$8))),IF(BA391="","",BA391+ROW()*0.0000000001),"")</f>
        <v/>
      </c>
      <c r="BI391" s="5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5">
        <f>IF(A391="","",N(INDEX(Projects[Mech Inst],390)))</f>
        <v/>
      </c>
      <c r="BK391" s="5">
        <f>IF(A391="","",N(INDEX(Projects[Elec Inst],390)))</f>
        <v/>
      </c>
      <c r="BL391" s="5">
        <f>IF(A391="","",N(INDEX(Projects[Project Management],390)))</f>
        <v/>
      </c>
      <c r="BM391" s="5">
        <f>IF(A391="","",N(INDEX(Projects[Systems Eng],390)))</f>
        <v/>
      </c>
      <c r="BN391" s="5">
        <f>IF(A391="","",N(INDEX(Projects[Mechanical Eng],390)))</f>
        <v/>
      </c>
      <c r="BO391" s="5">
        <f>IF(A391="","",N(INDEX(Projects[Structural Engineering],390)))</f>
        <v/>
      </c>
      <c r="BP391" s="5">
        <f>IF(A391="","",N(INDEX(Projects[Site Sup],390)))</f>
        <v/>
      </c>
      <c r="BQ391" s="5">
        <f>IF(A391="","",N(INDEX(Projects[Controls Commissioning],390)))</f>
        <v/>
      </c>
      <c r="BR391" s="5">
        <f>IF(A391="","",N(INDEX(Projects[Systems Commissioning],390)))</f>
        <v/>
      </c>
      <c r="BS391" s="5">
        <f>IF(A391="","",N(INDEX(Projects[Service Commissioning],390)))</f>
        <v/>
      </c>
      <c r="BT391" s="5">
        <f>IF(A391="","",N(INDEX(Projects[Controls Eng],390)))</f>
        <v/>
      </c>
      <c r="BU391" s="5">
        <f>IF(A391="","",N(INDEX(Projects[Controls Purchase],390)))</f>
        <v/>
      </c>
      <c r="BV391" s="5">
        <f>IF(A391="","",N(INDEX(Projects[Software Eng],390)))</f>
        <v/>
      </c>
      <c r="BW391" s="5">
        <f>IF(A391="","",N(INDEX(Projects[Misc],390)))</f>
        <v/>
      </c>
      <c r="BX391" s="5">
        <f>IF(A391="","",SUM(BJ391:BW391))</f>
        <v/>
      </c>
      <c r="BY391" s="5">
        <f>IF(A391="","",IFERROR(IF(ISNUMBER(U391),U391,VALUE(SUBSTITUTE(SUBSTITUTE(SUBSTITUTE(UPPER(TRIM(U391)),"M",""),",","")," ",""))),0))</f>
        <v/>
      </c>
      <c r="BZ391" s="5">
        <f>INDEX(Projects[Solution Type],390)&amp;""</f>
        <v/>
      </c>
      <c r="CA391" s="5">
        <f>INDEX(Projects[Client / Region],390)&amp;""</f>
        <v/>
      </c>
      <c r="CB391" s="5">
        <f>INDEX(Projects[Year],390)</f>
        <v/>
      </c>
      <c r="CC391" s="5">
        <f>INDEX(Projects[Won?],390)&amp;""</f>
        <v/>
      </c>
      <c r="CD391" s="5">
        <f>INDEX(Projects[Value (USD M)],390)</f>
        <v/>
      </c>
    </row>
    <row r="392" ht="15" customHeight="1" s="74">
      <c r="A392" s="66">
        <f>INDEX(Projects[Project ID *],391)&amp;""</f>
        <v/>
      </c>
      <c r="B392" s="66">
        <f>INDEX(Projects[Project Name *],391)&amp;""</f>
        <v/>
      </c>
      <c r="C392" s="66">
        <f>INDEX(Projects[MS Shuttles],391)</f>
        <v/>
      </c>
      <c r="D392" s="66">
        <f>INDEX(Projects[MS Tote Locations],391)</f>
        <v/>
      </c>
      <c r="E392" s="66">
        <f>INDEX(Projects[AS Robots],391)</f>
        <v/>
      </c>
      <c r="F392" s="66">
        <f>INDEX(Projects[AS Tote Locations],391)</f>
        <v/>
      </c>
      <c r="G392" s="66">
        <f>INDEX(Projects[PS Shuttles],391)</f>
        <v/>
      </c>
      <c r="H392" s="66">
        <f>INDEX(Projects[PS Pallet Locations],391)</f>
        <v/>
      </c>
      <c r="I392" s="66">
        <f>INDEX(Projects[SRM Cranes],391)</f>
        <v/>
      </c>
      <c r="J392" s="66">
        <f>INDEX(Projects[SRM Pallet Locations],391)</f>
        <v/>
      </c>
      <c r="K392" s="66">
        <f>INDEX(Projects[Case Conv (m)],391)</f>
        <v/>
      </c>
      <c r="L392" s="66">
        <f>INDEX(Projects[Pallet Conv (m)],391)</f>
        <v/>
      </c>
      <c r="M392" s="66">
        <f>INDEX(Projects[Mech Eng (wks)],391)</f>
        <v/>
      </c>
      <c r="N392" s="66">
        <f>INDEX(Projects[Controls Eng (wks)],391)</f>
        <v/>
      </c>
      <c r="O392" s="66">
        <f>INDEX(Projects[Systems Eng (wks)],391)</f>
        <v/>
      </c>
      <c r="P392" s="66">
        <f>INDEX(Projects[Software Eng (wks)],391)</f>
        <v/>
      </c>
      <c r="Q392" s="66">
        <f>INDEX(Projects[M&amp;E Installation (wks)],391)</f>
        <v/>
      </c>
      <c r="R392" s="66">
        <f>INDEX(Projects[Commissioning (wks)],391)</f>
        <v/>
      </c>
      <c r="S392" s="66">
        <f>INDEX(Projects[Total Timeline (wks)],391)</f>
        <v/>
      </c>
      <c r="T392" s="66">
        <f>INDEX(Projects[Currency],391)&amp;""</f>
        <v/>
      </c>
      <c r="U392" s="67">
        <f>INDEX(Projects[Value (M)],391)</f>
        <v/>
      </c>
      <c r="V392" s="66">
        <f>IF('Smart Search'!B13=1,IFERROR(1/'Smart Search'!H13,0),0)</f>
        <v/>
      </c>
      <c r="W392" s="66">
        <f>IF('Smart Search'!B13=1,IFERROR(1/'Smart Search'!H13,0),0)</f>
        <v/>
      </c>
      <c r="X392" s="66">
        <f>IF('Smart Search'!C13=1,IFERROR(1/'Smart Search'!H13,0),0)</f>
        <v/>
      </c>
      <c r="Y392" s="66">
        <f>IF('Smart Search'!C13=1,IFERROR(1/'Smart Search'!H13,0),0)</f>
        <v/>
      </c>
      <c r="Z392" s="66">
        <f>IF('Smart Search'!D13=1,IFERROR(1/'Smart Search'!H13,0),0)</f>
        <v/>
      </c>
      <c r="AA392" s="66">
        <f>IF('Smart Search'!D13=1,IFERROR(1/'Smart Search'!H13,0),0)</f>
        <v/>
      </c>
      <c r="AB392" s="66">
        <f>IF('Smart Search'!E13=1,IFERROR(1/'Smart Search'!H13,0),0)</f>
        <v/>
      </c>
      <c r="AC392" s="66">
        <f>IF('Smart Search'!E13=1,IFERROR(1/'Smart Search'!H13,0),0)</f>
        <v/>
      </c>
      <c r="AD392" s="66">
        <f>IF('Smart Search'!F13=1,IFERROR(1/'Smart Search'!H13,0),0)</f>
        <v/>
      </c>
      <c r="AE392" s="66">
        <f>IF('Smart Search'!F13=1,IFERROR(1/'Smart Search'!H13,0),0)</f>
        <v/>
      </c>
      <c r="AF392" s="66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66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66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66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66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66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66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66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66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66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66">
        <f>AF392*V392</f>
        <v/>
      </c>
      <c r="AQ392" s="66">
        <f>AG392*W392</f>
        <v/>
      </c>
      <c r="AR392" s="66">
        <f>AH392*X392</f>
        <v/>
      </c>
      <c r="AS392" s="66">
        <f>AI392*Y392</f>
        <v/>
      </c>
      <c r="AT392" s="66">
        <f>AJ392*Z392</f>
        <v/>
      </c>
      <c r="AU392" s="66">
        <f>AK392*AA392</f>
        <v/>
      </c>
      <c r="AV392" s="66">
        <f>AL392*AB392</f>
        <v/>
      </c>
      <c r="AW392" s="66">
        <f>AM392*AC392</f>
        <v/>
      </c>
      <c r="AX392" s="66">
        <f>AN392*AD392</f>
        <v/>
      </c>
      <c r="AY392" s="66">
        <f>AO392*AE392</f>
        <v/>
      </c>
      <c r="AZ392" s="66">
        <f>INDEX(Projects[Automation Equipment],391)&amp;""</f>
        <v/>
      </c>
      <c r="BA392" s="66">
        <f>IF(OR(A392="",'Smart Search'!H13=0),"",MAX(0,BE392*BF392*MAX(0,1-BG392)))</f>
        <v/>
      </c>
      <c r="BB392" s="66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66">
        <f>IF('Smart Search'!G13=1,IFERROR(1/'Smart Search'!H13,0),0)</f>
        <v/>
      </c>
      <c r="BD392" s="66">
        <f>BB392*BC392</f>
        <v/>
      </c>
      <c r="BE392" s="66">
        <f>AP392+AQ392+AR392+AS392+AT392+AU392+AV392+AW392+AX392+AY392+BD392</f>
        <v/>
      </c>
      <c r="BF392" s="5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5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5">
        <f>IF(AND(A392&lt;&gt;"",OR('Smart Search'!$L$5="",'Smart Search'!$L$5="All",TRIM(BZ392)=TRIM('Smart Search'!$L$5)),OR(TRIM('Smart Search'!$L$6)="",TRIM('Smart Search'!$L$6)="All",ISNUMBER(SEARCH(SUBSTITUTE(SUBSTITUTE(SUBSTITUTE(TRIM('Smart Search'!$L$6),"~","~~"),"*","~*"),"?","~?"),CA392))),OR('Smart Search'!$L$7="",AND(CB392&lt;&gt;0,CB392='Smart Search'!$L$7)),OR('Smart Search'!$L$8="",'Smart Search'!$L$8="All",TRIM(CC392)=TRIM('Smart Search'!$L$8))),IF(BA392="","",BA392+ROW()*0.0000000001),"")</f>
        <v/>
      </c>
      <c r="BI392" s="5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5">
        <f>IF(A392="","",N(INDEX(Projects[Mech Inst],391)))</f>
        <v/>
      </c>
      <c r="BK392" s="5">
        <f>IF(A392="","",N(INDEX(Projects[Elec Inst],391)))</f>
        <v/>
      </c>
      <c r="BL392" s="5">
        <f>IF(A392="","",N(INDEX(Projects[Project Management],391)))</f>
        <v/>
      </c>
      <c r="BM392" s="5">
        <f>IF(A392="","",N(INDEX(Projects[Systems Eng],391)))</f>
        <v/>
      </c>
      <c r="BN392" s="5">
        <f>IF(A392="","",N(INDEX(Projects[Mechanical Eng],391)))</f>
        <v/>
      </c>
      <c r="BO392" s="5">
        <f>IF(A392="","",N(INDEX(Projects[Structural Engineering],391)))</f>
        <v/>
      </c>
      <c r="BP392" s="5">
        <f>IF(A392="","",N(INDEX(Projects[Site Sup],391)))</f>
        <v/>
      </c>
      <c r="BQ392" s="5">
        <f>IF(A392="","",N(INDEX(Projects[Controls Commissioning],391)))</f>
        <v/>
      </c>
      <c r="BR392" s="5">
        <f>IF(A392="","",N(INDEX(Projects[Systems Commissioning],391)))</f>
        <v/>
      </c>
      <c r="BS392" s="5">
        <f>IF(A392="","",N(INDEX(Projects[Service Commissioning],391)))</f>
        <v/>
      </c>
      <c r="BT392" s="5">
        <f>IF(A392="","",N(INDEX(Projects[Controls Eng],391)))</f>
        <v/>
      </c>
      <c r="BU392" s="5">
        <f>IF(A392="","",N(INDEX(Projects[Controls Purchase],391)))</f>
        <v/>
      </c>
      <c r="BV392" s="5">
        <f>IF(A392="","",N(INDEX(Projects[Software Eng],391)))</f>
        <v/>
      </c>
      <c r="BW392" s="5">
        <f>IF(A392="","",N(INDEX(Projects[Misc],391)))</f>
        <v/>
      </c>
      <c r="BX392" s="5">
        <f>IF(A392="","",SUM(BJ392:BW392))</f>
        <v/>
      </c>
      <c r="BY392" s="5">
        <f>IF(A392="","",IFERROR(IF(ISNUMBER(U392),U392,VALUE(SUBSTITUTE(SUBSTITUTE(SUBSTITUTE(UPPER(TRIM(U392)),"M",""),",","")," ",""))),0))</f>
        <v/>
      </c>
      <c r="BZ392" s="5">
        <f>INDEX(Projects[Solution Type],391)&amp;""</f>
        <v/>
      </c>
      <c r="CA392" s="5">
        <f>INDEX(Projects[Client / Region],391)&amp;""</f>
        <v/>
      </c>
      <c r="CB392" s="5">
        <f>INDEX(Projects[Year],391)</f>
        <v/>
      </c>
      <c r="CC392" s="5">
        <f>INDEX(Projects[Won?],391)&amp;""</f>
        <v/>
      </c>
      <c r="CD392" s="5">
        <f>INDEX(Projects[Value (USD M)],391)</f>
        <v/>
      </c>
    </row>
    <row r="393" ht="15" customHeight="1" s="74">
      <c r="A393" s="66">
        <f>INDEX(Projects[Project ID *],392)&amp;""</f>
        <v/>
      </c>
      <c r="B393" s="66">
        <f>INDEX(Projects[Project Name *],392)&amp;""</f>
        <v/>
      </c>
      <c r="C393" s="66">
        <f>INDEX(Projects[MS Shuttles],392)</f>
        <v/>
      </c>
      <c r="D393" s="66">
        <f>INDEX(Projects[MS Tote Locations],392)</f>
        <v/>
      </c>
      <c r="E393" s="66">
        <f>INDEX(Projects[AS Robots],392)</f>
        <v/>
      </c>
      <c r="F393" s="66">
        <f>INDEX(Projects[AS Tote Locations],392)</f>
        <v/>
      </c>
      <c r="G393" s="66">
        <f>INDEX(Projects[PS Shuttles],392)</f>
        <v/>
      </c>
      <c r="H393" s="66">
        <f>INDEX(Projects[PS Pallet Locations],392)</f>
        <v/>
      </c>
      <c r="I393" s="66">
        <f>INDEX(Projects[SRM Cranes],392)</f>
        <v/>
      </c>
      <c r="J393" s="66">
        <f>INDEX(Projects[SRM Pallet Locations],392)</f>
        <v/>
      </c>
      <c r="K393" s="66">
        <f>INDEX(Projects[Case Conv (m)],392)</f>
        <v/>
      </c>
      <c r="L393" s="66">
        <f>INDEX(Projects[Pallet Conv (m)],392)</f>
        <v/>
      </c>
      <c r="M393" s="66">
        <f>INDEX(Projects[Mech Eng (wks)],392)</f>
        <v/>
      </c>
      <c r="N393" s="66">
        <f>INDEX(Projects[Controls Eng (wks)],392)</f>
        <v/>
      </c>
      <c r="O393" s="66">
        <f>INDEX(Projects[Systems Eng (wks)],392)</f>
        <v/>
      </c>
      <c r="P393" s="66">
        <f>INDEX(Projects[Software Eng (wks)],392)</f>
        <v/>
      </c>
      <c r="Q393" s="66">
        <f>INDEX(Projects[M&amp;E Installation (wks)],392)</f>
        <v/>
      </c>
      <c r="R393" s="66">
        <f>INDEX(Projects[Commissioning (wks)],392)</f>
        <v/>
      </c>
      <c r="S393" s="66">
        <f>INDEX(Projects[Total Timeline (wks)],392)</f>
        <v/>
      </c>
      <c r="T393" s="66">
        <f>INDEX(Projects[Currency],392)&amp;""</f>
        <v/>
      </c>
      <c r="U393" s="67">
        <f>INDEX(Projects[Value (M)],392)</f>
        <v/>
      </c>
      <c r="V393" s="66">
        <f>IF('Smart Search'!B13=1,IFERROR(1/'Smart Search'!H13,0),0)</f>
        <v/>
      </c>
      <c r="W393" s="66">
        <f>IF('Smart Search'!B13=1,IFERROR(1/'Smart Search'!H13,0),0)</f>
        <v/>
      </c>
      <c r="X393" s="66">
        <f>IF('Smart Search'!C13=1,IFERROR(1/'Smart Search'!H13,0),0)</f>
        <v/>
      </c>
      <c r="Y393" s="66">
        <f>IF('Smart Search'!C13=1,IFERROR(1/'Smart Search'!H13,0),0)</f>
        <v/>
      </c>
      <c r="Z393" s="66">
        <f>IF('Smart Search'!D13=1,IFERROR(1/'Smart Search'!H13,0),0)</f>
        <v/>
      </c>
      <c r="AA393" s="66">
        <f>IF('Smart Search'!D13=1,IFERROR(1/'Smart Search'!H13,0),0)</f>
        <v/>
      </c>
      <c r="AB393" s="66">
        <f>IF('Smart Search'!E13=1,IFERROR(1/'Smart Search'!H13,0),0)</f>
        <v/>
      </c>
      <c r="AC393" s="66">
        <f>IF('Smart Search'!E13=1,IFERROR(1/'Smart Search'!H13,0),0)</f>
        <v/>
      </c>
      <c r="AD393" s="66">
        <f>IF('Smart Search'!F13=1,IFERROR(1/'Smart Search'!H13,0),0)</f>
        <v/>
      </c>
      <c r="AE393" s="66">
        <f>IF('Smart Search'!F13=1,IFERROR(1/'Smart Search'!H13,0),0)</f>
        <v/>
      </c>
      <c r="AF393" s="66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66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66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66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66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66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66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66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66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66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66">
        <f>AF393*V393</f>
        <v/>
      </c>
      <c r="AQ393" s="66">
        <f>AG393*W393</f>
        <v/>
      </c>
      <c r="AR393" s="66">
        <f>AH393*X393</f>
        <v/>
      </c>
      <c r="AS393" s="66">
        <f>AI393*Y393</f>
        <v/>
      </c>
      <c r="AT393" s="66">
        <f>AJ393*Z393</f>
        <v/>
      </c>
      <c r="AU393" s="66">
        <f>AK393*AA393</f>
        <v/>
      </c>
      <c r="AV393" s="66">
        <f>AL393*AB393</f>
        <v/>
      </c>
      <c r="AW393" s="66">
        <f>AM393*AC393</f>
        <v/>
      </c>
      <c r="AX393" s="66">
        <f>AN393*AD393</f>
        <v/>
      </c>
      <c r="AY393" s="66">
        <f>AO393*AE393</f>
        <v/>
      </c>
      <c r="AZ393" s="66">
        <f>INDEX(Projects[Automation Equipment],392)&amp;""</f>
        <v/>
      </c>
      <c r="BA393" s="66">
        <f>IF(OR(A393="",'Smart Search'!H13=0),"",MAX(0,BE393*BF393*MAX(0,1-BG393)))</f>
        <v/>
      </c>
      <c r="BB393" s="66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66">
        <f>IF('Smart Search'!G13=1,IFERROR(1/'Smart Search'!H13,0),0)</f>
        <v/>
      </c>
      <c r="BD393" s="66">
        <f>BB393*BC393</f>
        <v/>
      </c>
      <c r="BE393" s="66">
        <f>AP393+AQ393+AR393+AS393+AT393+AU393+AV393+AW393+AX393+AY393+BD393</f>
        <v/>
      </c>
      <c r="BF393" s="5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5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5">
        <f>IF(AND(A393&lt;&gt;"",OR('Smart Search'!$L$5="",'Smart Search'!$L$5="All",TRIM(BZ393)=TRIM('Smart Search'!$L$5)),OR(TRIM('Smart Search'!$L$6)="",TRIM('Smart Search'!$L$6)="All",ISNUMBER(SEARCH(SUBSTITUTE(SUBSTITUTE(SUBSTITUTE(TRIM('Smart Search'!$L$6),"~","~~"),"*","~*"),"?","~?"),CA393))),OR('Smart Search'!$L$7="",AND(CB393&lt;&gt;0,CB393='Smart Search'!$L$7)),OR('Smart Search'!$L$8="",'Smart Search'!$L$8="All",TRIM(CC393)=TRIM('Smart Search'!$L$8))),IF(BA393="","",BA393+ROW()*0.0000000001),"")</f>
        <v/>
      </c>
      <c r="BI393" s="5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5">
        <f>IF(A393="","",N(INDEX(Projects[Mech Inst],392)))</f>
        <v/>
      </c>
      <c r="BK393" s="5">
        <f>IF(A393="","",N(INDEX(Projects[Elec Inst],392)))</f>
        <v/>
      </c>
      <c r="BL393" s="5">
        <f>IF(A393="","",N(INDEX(Projects[Project Management],392)))</f>
        <v/>
      </c>
      <c r="BM393" s="5">
        <f>IF(A393="","",N(INDEX(Projects[Systems Eng],392)))</f>
        <v/>
      </c>
      <c r="BN393" s="5">
        <f>IF(A393="","",N(INDEX(Projects[Mechanical Eng],392)))</f>
        <v/>
      </c>
      <c r="BO393" s="5">
        <f>IF(A393="","",N(INDEX(Projects[Structural Engineering],392)))</f>
        <v/>
      </c>
      <c r="BP393" s="5">
        <f>IF(A393="","",N(INDEX(Projects[Site Sup],392)))</f>
        <v/>
      </c>
      <c r="BQ393" s="5">
        <f>IF(A393="","",N(INDEX(Projects[Controls Commissioning],392)))</f>
        <v/>
      </c>
      <c r="BR393" s="5">
        <f>IF(A393="","",N(INDEX(Projects[Systems Commissioning],392)))</f>
        <v/>
      </c>
      <c r="BS393" s="5">
        <f>IF(A393="","",N(INDEX(Projects[Service Commissioning],392)))</f>
        <v/>
      </c>
      <c r="BT393" s="5">
        <f>IF(A393="","",N(INDEX(Projects[Controls Eng],392)))</f>
        <v/>
      </c>
      <c r="BU393" s="5">
        <f>IF(A393="","",N(INDEX(Projects[Controls Purchase],392)))</f>
        <v/>
      </c>
      <c r="BV393" s="5">
        <f>IF(A393="","",N(INDEX(Projects[Software Eng],392)))</f>
        <v/>
      </c>
      <c r="BW393" s="5">
        <f>IF(A393="","",N(INDEX(Projects[Misc],392)))</f>
        <v/>
      </c>
      <c r="BX393" s="5">
        <f>IF(A393="","",SUM(BJ393:BW393))</f>
        <v/>
      </c>
      <c r="BY393" s="5">
        <f>IF(A393="","",IFERROR(IF(ISNUMBER(U393),U393,VALUE(SUBSTITUTE(SUBSTITUTE(SUBSTITUTE(UPPER(TRIM(U393)),"M",""),",","")," ",""))),0))</f>
        <v/>
      </c>
      <c r="BZ393" s="5">
        <f>INDEX(Projects[Solution Type],392)&amp;""</f>
        <v/>
      </c>
      <c r="CA393" s="5">
        <f>INDEX(Projects[Client / Region],392)&amp;""</f>
        <v/>
      </c>
      <c r="CB393" s="5">
        <f>INDEX(Projects[Year],392)</f>
        <v/>
      </c>
      <c r="CC393" s="5">
        <f>INDEX(Projects[Won?],392)&amp;""</f>
        <v/>
      </c>
      <c r="CD393" s="5">
        <f>INDEX(Projects[Value (USD M)],392)</f>
        <v/>
      </c>
    </row>
    <row r="394" ht="15" customHeight="1" s="74">
      <c r="A394" s="66">
        <f>INDEX(Projects[Project ID *],393)&amp;""</f>
        <v/>
      </c>
      <c r="B394" s="66">
        <f>INDEX(Projects[Project Name *],393)&amp;""</f>
        <v/>
      </c>
      <c r="C394" s="66">
        <f>INDEX(Projects[MS Shuttles],393)</f>
        <v/>
      </c>
      <c r="D394" s="66">
        <f>INDEX(Projects[MS Tote Locations],393)</f>
        <v/>
      </c>
      <c r="E394" s="66">
        <f>INDEX(Projects[AS Robots],393)</f>
        <v/>
      </c>
      <c r="F394" s="66">
        <f>INDEX(Projects[AS Tote Locations],393)</f>
        <v/>
      </c>
      <c r="G394" s="66">
        <f>INDEX(Projects[PS Shuttles],393)</f>
        <v/>
      </c>
      <c r="H394" s="66">
        <f>INDEX(Projects[PS Pallet Locations],393)</f>
        <v/>
      </c>
      <c r="I394" s="66">
        <f>INDEX(Projects[SRM Cranes],393)</f>
        <v/>
      </c>
      <c r="J394" s="66">
        <f>INDEX(Projects[SRM Pallet Locations],393)</f>
        <v/>
      </c>
      <c r="K394" s="66">
        <f>INDEX(Projects[Case Conv (m)],393)</f>
        <v/>
      </c>
      <c r="L394" s="66">
        <f>INDEX(Projects[Pallet Conv (m)],393)</f>
        <v/>
      </c>
      <c r="M394" s="66">
        <f>INDEX(Projects[Mech Eng (wks)],393)</f>
        <v/>
      </c>
      <c r="N394" s="66">
        <f>INDEX(Projects[Controls Eng (wks)],393)</f>
        <v/>
      </c>
      <c r="O394" s="66">
        <f>INDEX(Projects[Systems Eng (wks)],393)</f>
        <v/>
      </c>
      <c r="P394" s="66">
        <f>INDEX(Projects[Software Eng (wks)],393)</f>
        <v/>
      </c>
      <c r="Q394" s="66">
        <f>INDEX(Projects[M&amp;E Installation (wks)],393)</f>
        <v/>
      </c>
      <c r="R394" s="66">
        <f>INDEX(Projects[Commissioning (wks)],393)</f>
        <v/>
      </c>
      <c r="S394" s="66">
        <f>INDEX(Projects[Total Timeline (wks)],393)</f>
        <v/>
      </c>
      <c r="T394" s="66">
        <f>INDEX(Projects[Currency],393)&amp;""</f>
        <v/>
      </c>
      <c r="U394" s="67">
        <f>INDEX(Projects[Value (M)],393)</f>
        <v/>
      </c>
      <c r="V394" s="66">
        <f>IF('Smart Search'!B13=1,IFERROR(1/'Smart Search'!H13,0),0)</f>
        <v/>
      </c>
      <c r="W394" s="66">
        <f>IF('Smart Search'!B13=1,IFERROR(1/'Smart Search'!H13,0),0)</f>
        <v/>
      </c>
      <c r="X394" s="66">
        <f>IF('Smart Search'!C13=1,IFERROR(1/'Smart Search'!H13,0),0)</f>
        <v/>
      </c>
      <c r="Y394" s="66">
        <f>IF('Smart Search'!C13=1,IFERROR(1/'Smart Search'!H13,0),0)</f>
        <v/>
      </c>
      <c r="Z394" s="66">
        <f>IF('Smart Search'!D13=1,IFERROR(1/'Smart Search'!H13,0),0)</f>
        <v/>
      </c>
      <c r="AA394" s="66">
        <f>IF('Smart Search'!D13=1,IFERROR(1/'Smart Search'!H13,0),0)</f>
        <v/>
      </c>
      <c r="AB394" s="66">
        <f>IF('Smart Search'!E13=1,IFERROR(1/'Smart Search'!H13,0),0)</f>
        <v/>
      </c>
      <c r="AC394" s="66">
        <f>IF('Smart Search'!E13=1,IFERROR(1/'Smart Search'!H13,0),0)</f>
        <v/>
      </c>
      <c r="AD394" s="66">
        <f>IF('Smart Search'!F13=1,IFERROR(1/'Smart Search'!H13,0),0)</f>
        <v/>
      </c>
      <c r="AE394" s="66">
        <f>IF('Smart Search'!F13=1,IFERROR(1/'Smart Search'!H13,0),0)</f>
        <v/>
      </c>
      <c r="AF394" s="66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66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66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66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66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66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66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66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66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66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66">
        <f>AF394*V394</f>
        <v/>
      </c>
      <c r="AQ394" s="66">
        <f>AG394*W394</f>
        <v/>
      </c>
      <c r="AR394" s="66">
        <f>AH394*X394</f>
        <v/>
      </c>
      <c r="AS394" s="66">
        <f>AI394*Y394</f>
        <v/>
      </c>
      <c r="AT394" s="66">
        <f>AJ394*Z394</f>
        <v/>
      </c>
      <c r="AU394" s="66">
        <f>AK394*AA394</f>
        <v/>
      </c>
      <c r="AV394" s="66">
        <f>AL394*AB394</f>
        <v/>
      </c>
      <c r="AW394" s="66">
        <f>AM394*AC394</f>
        <v/>
      </c>
      <c r="AX394" s="66">
        <f>AN394*AD394</f>
        <v/>
      </c>
      <c r="AY394" s="66">
        <f>AO394*AE394</f>
        <v/>
      </c>
      <c r="AZ394" s="66">
        <f>INDEX(Projects[Automation Equipment],393)&amp;""</f>
        <v/>
      </c>
      <c r="BA394" s="66">
        <f>IF(OR(A394="",'Smart Search'!H13=0),"",MAX(0,BE394*BF394*MAX(0,1-BG394)))</f>
        <v/>
      </c>
      <c r="BB394" s="66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66">
        <f>IF('Smart Search'!G13=1,IFERROR(1/'Smart Search'!H13,0),0)</f>
        <v/>
      </c>
      <c r="BD394" s="66">
        <f>BB394*BC394</f>
        <v/>
      </c>
      <c r="BE394" s="66">
        <f>AP394+AQ394+AR394+AS394+AT394+AU394+AV394+AW394+AX394+AY394+BD394</f>
        <v/>
      </c>
      <c r="BF394" s="5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5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5">
        <f>IF(AND(A394&lt;&gt;"",OR('Smart Search'!$L$5="",'Smart Search'!$L$5="All",TRIM(BZ394)=TRIM('Smart Search'!$L$5)),OR(TRIM('Smart Search'!$L$6)="",TRIM('Smart Search'!$L$6)="All",ISNUMBER(SEARCH(SUBSTITUTE(SUBSTITUTE(SUBSTITUTE(TRIM('Smart Search'!$L$6),"~","~~"),"*","~*"),"?","~?"),CA394))),OR('Smart Search'!$L$7="",AND(CB394&lt;&gt;0,CB394='Smart Search'!$L$7)),OR('Smart Search'!$L$8="",'Smart Search'!$L$8="All",TRIM(CC394)=TRIM('Smart Search'!$L$8))),IF(BA394="","",BA394+ROW()*0.0000000001),"")</f>
        <v/>
      </c>
      <c r="BI394" s="5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5">
        <f>IF(A394="","",N(INDEX(Projects[Mech Inst],393)))</f>
        <v/>
      </c>
      <c r="BK394" s="5">
        <f>IF(A394="","",N(INDEX(Projects[Elec Inst],393)))</f>
        <v/>
      </c>
      <c r="BL394" s="5">
        <f>IF(A394="","",N(INDEX(Projects[Project Management],393)))</f>
        <v/>
      </c>
      <c r="BM394" s="5">
        <f>IF(A394="","",N(INDEX(Projects[Systems Eng],393)))</f>
        <v/>
      </c>
      <c r="BN394" s="5">
        <f>IF(A394="","",N(INDEX(Projects[Mechanical Eng],393)))</f>
        <v/>
      </c>
      <c r="BO394" s="5">
        <f>IF(A394="","",N(INDEX(Projects[Structural Engineering],393)))</f>
        <v/>
      </c>
      <c r="BP394" s="5">
        <f>IF(A394="","",N(INDEX(Projects[Site Sup],393)))</f>
        <v/>
      </c>
      <c r="BQ394" s="5">
        <f>IF(A394="","",N(INDEX(Projects[Controls Commissioning],393)))</f>
        <v/>
      </c>
      <c r="BR394" s="5">
        <f>IF(A394="","",N(INDEX(Projects[Systems Commissioning],393)))</f>
        <v/>
      </c>
      <c r="BS394" s="5">
        <f>IF(A394="","",N(INDEX(Projects[Service Commissioning],393)))</f>
        <v/>
      </c>
      <c r="BT394" s="5">
        <f>IF(A394="","",N(INDEX(Projects[Controls Eng],393)))</f>
        <v/>
      </c>
      <c r="BU394" s="5">
        <f>IF(A394="","",N(INDEX(Projects[Controls Purchase],393)))</f>
        <v/>
      </c>
      <c r="BV394" s="5">
        <f>IF(A394="","",N(INDEX(Projects[Software Eng],393)))</f>
        <v/>
      </c>
      <c r="BW394" s="5">
        <f>IF(A394="","",N(INDEX(Projects[Misc],393)))</f>
        <v/>
      </c>
      <c r="BX394" s="5">
        <f>IF(A394="","",SUM(BJ394:BW394))</f>
        <v/>
      </c>
      <c r="BY394" s="5">
        <f>IF(A394="","",IFERROR(IF(ISNUMBER(U394),U394,VALUE(SUBSTITUTE(SUBSTITUTE(SUBSTITUTE(UPPER(TRIM(U394)),"M",""),",","")," ",""))),0))</f>
        <v/>
      </c>
      <c r="BZ394" s="5">
        <f>INDEX(Projects[Solution Type],393)&amp;""</f>
        <v/>
      </c>
      <c r="CA394" s="5">
        <f>INDEX(Projects[Client / Region],393)&amp;""</f>
        <v/>
      </c>
      <c r="CB394" s="5">
        <f>INDEX(Projects[Year],393)</f>
        <v/>
      </c>
      <c r="CC394" s="5">
        <f>INDEX(Projects[Won?],393)&amp;""</f>
        <v/>
      </c>
      <c r="CD394" s="5">
        <f>INDEX(Projects[Value (USD M)],393)</f>
        <v/>
      </c>
    </row>
    <row r="395" ht="15" customHeight="1" s="74">
      <c r="A395" s="66">
        <f>INDEX(Projects[Project ID *],394)&amp;""</f>
        <v/>
      </c>
      <c r="B395" s="66">
        <f>INDEX(Projects[Project Name *],394)&amp;""</f>
        <v/>
      </c>
      <c r="C395" s="66">
        <f>INDEX(Projects[MS Shuttles],394)</f>
        <v/>
      </c>
      <c r="D395" s="66">
        <f>INDEX(Projects[MS Tote Locations],394)</f>
        <v/>
      </c>
      <c r="E395" s="66">
        <f>INDEX(Projects[AS Robots],394)</f>
        <v/>
      </c>
      <c r="F395" s="66">
        <f>INDEX(Projects[AS Tote Locations],394)</f>
        <v/>
      </c>
      <c r="G395" s="66">
        <f>INDEX(Projects[PS Shuttles],394)</f>
        <v/>
      </c>
      <c r="H395" s="66">
        <f>INDEX(Projects[PS Pallet Locations],394)</f>
        <v/>
      </c>
      <c r="I395" s="66">
        <f>INDEX(Projects[SRM Cranes],394)</f>
        <v/>
      </c>
      <c r="J395" s="66">
        <f>INDEX(Projects[SRM Pallet Locations],394)</f>
        <v/>
      </c>
      <c r="K395" s="66">
        <f>INDEX(Projects[Case Conv (m)],394)</f>
        <v/>
      </c>
      <c r="L395" s="66">
        <f>INDEX(Projects[Pallet Conv (m)],394)</f>
        <v/>
      </c>
      <c r="M395" s="66">
        <f>INDEX(Projects[Mech Eng (wks)],394)</f>
        <v/>
      </c>
      <c r="N395" s="66">
        <f>INDEX(Projects[Controls Eng (wks)],394)</f>
        <v/>
      </c>
      <c r="O395" s="66">
        <f>INDEX(Projects[Systems Eng (wks)],394)</f>
        <v/>
      </c>
      <c r="P395" s="66">
        <f>INDEX(Projects[Software Eng (wks)],394)</f>
        <v/>
      </c>
      <c r="Q395" s="66">
        <f>INDEX(Projects[M&amp;E Installation (wks)],394)</f>
        <v/>
      </c>
      <c r="R395" s="66">
        <f>INDEX(Projects[Commissioning (wks)],394)</f>
        <v/>
      </c>
      <c r="S395" s="66">
        <f>INDEX(Projects[Total Timeline (wks)],394)</f>
        <v/>
      </c>
      <c r="T395" s="66">
        <f>INDEX(Projects[Currency],394)&amp;""</f>
        <v/>
      </c>
      <c r="U395" s="67">
        <f>INDEX(Projects[Value (M)],394)</f>
        <v/>
      </c>
      <c r="V395" s="66">
        <f>IF('Smart Search'!B13=1,IFERROR(1/'Smart Search'!H13,0),0)</f>
        <v/>
      </c>
      <c r="W395" s="66">
        <f>IF('Smart Search'!B13=1,IFERROR(1/'Smart Search'!H13,0),0)</f>
        <v/>
      </c>
      <c r="X395" s="66">
        <f>IF('Smart Search'!C13=1,IFERROR(1/'Smart Search'!H13,0),0)</f>
        <v/>
      </c>
      <c r="Y395" s="66">
        <f>IF('Smart Search'!C13=1,IFERROR(1/'Smart Search'!H13,0),0)</f>
        <v/>
      </c>
      <c r="Z395" s="66">
        <f>IF('Smart Search'!D13=1,IFERROR(1/'Smart Search'!H13,0),0)</f>
        <v/>
      </c>
      <c r="AA395" s="66">
        <f>IF('Smart Search'!D13=1,IFERROR(1/'Smart Search'!H13,0),0)</f>
        <v/>
      </c>
      <c r="AB395" s="66">
        <f>IF('Smart Search'!E13=1,IFERROR(1/'Smart Search'!H13,0),0)</f>
        <v/>
      </c>
      <c r="AC395" s="66">
        <f>IF('Smart Search'!E13=1,IFERROR(1/'Smart Search'!H13,0),0)</f>
        <v/>
      </c>
      <c r="AD395" s="66">
        <f>IF('Smart Search'!F13=1,IFERROR(1/'Smart Search'!H13,0),0)</f>
        <v/>
      </c>
      <c r="AE395" s="66">
        <f>IF('Smart Search'!F13=1,IFERROR(1/'Smart Search'!H13,0),0)</f>
        <v/>
      </c>
      <c r="AF395" s="66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66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66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66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66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66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66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66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66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66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66">
        <f>AF395*V395</f>
        <v/>
      </c>
      <c r="AQ395" s="66">
        <f>AG395*W395</f>
        <v/>
      </c>
      <c r="AR395" s="66">
        <f>AH395*X395</f>
        <v/>
      </c>
      <c r="AS395" s="66">
        <f>AI395*Y395</f>
        <v/>
      </c>
      <c r="AT395" s="66">
        <f>AJ395*Z395</f>
        <v/>
      </c>
      <c r="AU395" s="66">
        <f>AK395*AA395</f>
        <v/>
      </c>
      <c r="AV395" s="66">
        <f>AL395*AB395</f>
        <v/>
      </c>
      <c r="AW395" s="66">
        <f>AM395*AC395</f>
        <v/>
      </c>
      <c r="AX395" s="66">
        <f>AN395*AD395</f>
        <v/>
      </c>
      <c r="AY395" s="66">
        <f>AO395*AE395</f>
        <v/>
      </c>
      <c r="AZ395" s="66">
        <f>INDEX(Projects[Automation Equipment],394)&amp;""</f>
        <v/>
      </c>
      <c r="BA395" s="66">
        <f>IF(OR(A395="",'Smart Search'!H13=0),"",MAX(0,BE395*BF395*MAX(0,1-BG395)))</f>
        <v/>
      </c>
      <c r="BB395" s="66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66">
        <f>IF('Smart Search'!G13=1,IFERROR(1/'Smart Search'!H13,0),0)</f>
        <v/>
      </c>
      <c r="BD395" s="66">
        <f>BB395*BC395</f>
        <v/>
      </c>
      <c r="BE395" s="66">
        <f>AP395+AQ395+AR395+AS395+AT395+AU395+AV395+AW395+AX395+AY395+BD395</f>
        <v/>
      </c>
      <c r="BF395" s="5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5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5">
        <f>IF(AND(A395&lt;&gt;"",OR('Smart Search'!$L$5="",'Smart Search'!$L$5="All",TRIM(BZ395)=TRIM('Smart Search'!$L$5)),OR(TRIM('Smart Search'!$L$6)="",TRIM('Smart Search'!$L$6)="All",ISNUMBER(SEARCH(SUBSTITUTE(SUBSTITUTE(SUBSTITUTE(TRIM('Smart Search'!$L$6),"~","~~"),"*","~*"),"?","~?"),CA395))),OR('Smart Search'!$L$7="",AND(CB395&lt;&gt;0,CB395='Smart Search'!$L$7)),OR('Smart Search'!$L$8="",'Smart Search'!$L$8="All",TRIM(CC395)=TRIM('Smart Search'!$L$8))),IF(BA395="","",BA395+ROW()*0.0000000001),"")</f>
        <v/>
      </c>
      <c r="BI395" s="5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5">
        <f>IF(A395="","",N(INDEX(Projects[Mech Inst],394)))</f>
        <v/>
      </c>
      <c r="BK395" s="5">
        <f>IF(A395="","",N(INDEX(Projects[Elec Inst],394)))</f>
        <v/>
      </c>
      <c r="BL395" s="5">
        <f>IF(A395="","",N(INDEX(Projects[Project Management],394)))</f>
        <v/>
      </c>
      <c r="BM395" s="5">
        <f>IF(A395="","",N(INDEX(Projects[Systems Eng],394)))</f>
        <v/>
      </c>
      <c r="BN395" s="5">
        <f>IF(A395="","",N(INDEX(Projects[Mechanical Eng],394)))</f>
        <v/>
      </c>
      <c r="BO395" s="5">
        <f>IF(A395="","",N(INDEX(Projects[Structural Engineering],394)))</f>
        <v/>
      </c>
      <c r="BP395" s="5">
        <f>IF(A395="","",N(INDEX(Projects[Site Sup],394)))</f>
        <v/>
      </c>
      <c r="BQ395" s="5">
        <f>IF(A395="","",N(INDEX(Projects[Controls Commissioning],394)))</f>
        <v/>
      </c>
      <c r="BR395" s="5">
        <f>IF(A395="","",N(INDEX(Projects[Systems Commissioning],394)))</f>
        <v/>
      </c>
      <c r="BS395" s="5">
        <f>IF(A395="","",N(INDEX(Projects[Service Commissioning],394)))</f>
        <v/>
      </c>
      <c r="BT395" s="5">
        <f>IF(A395="","",N(INDEX(Projects[Controls Eng],394)))</f>
        <v/>
      </c>
      <c r="BU395" s="5">
        <f>IF(A395="","",N(INDEX(Projects[Controls Purchase],394)))</f>
        <v/>
      </c>
      <c r="BV395" s="5">
        <f>IF(A395="","",N(INDEX(Projects[Software Eng],394)))</f>
        <v/>
      </c>
      <c r="BW395" s="5">
        <f>IF(A395="","",N(INDEX(Projects[Misc],394)))</f>
        <v/>
      </c>
      <c r="BX395" s="5">
        <f>IF(A395="","",SUM(BJ395:BW395))</f>
        <v/>
      </c>
      <c r="BY395" s="5">
        <f>IF(A395="","",IFERROR(IF(ISNUMBER(U395),U395,VALUE(SUBSTITUTE(SUBSTITUTE(SUBSTITUTE(UPPER(TRIM(U395)),"M",""),",","")," ",""))),0))</f>
        <v/>
      </c>
      <c r="BZ395" s="5">
        <f>INDEX(Projects[Solution Type],394)&amp;""</f>
        <v/>
      </c>
      <c r="CA395" s="5">
        <f>INDEX(Projects[Client / Region],394)&amp;""</f>
        <v/>
      </c>
      <c r="CB395" s="5">
        <f>INDEX(Projects[Year],394)</f>
        <v/>
      </c>
      <c r="CC395" s="5">
        <f>INDEX(Projects[Won?],394)&amp;""</f>
        <v/>
      </c>
      <c r="CD395" s="5">
        <f>INDEX(Projects[Value (USD M)],394)</f>
        <v/>
      </c>
    </row>
    <row r="396" ht="15" customHeight="1" s="74">
      <c r="A396" s="66">
        <f>INDEX(Projects[Project ID *],395)&amp;""</f>
        <v/>
      </c>
      <c r="B396" s="66">
        <f>INDEX(Projects[Project Name *],395)&amp;""</f>
        <v/>
      </c>
      <c r="C396" s="66">
        <f>INDEX(Projects[MS Shuttles],395)</f>
        <v/>
      </c>
      <c r="D396" s="66">
        <f>INDEX(Projects[MS Tote Locations],395)</f>
        <v/>
      </c>
      <c r="E396" s="66">
        <f>INDEX(Projects[AS Robots],395)</f>
        <v/>
      </c>
      <c r="F396" s="66">
        <f>INDEX(Projects[AS Tote Locations],395)</f>
        <v/>
      </c>
      <c r="G396" s="66">
        <f>INDEX(Projects[PS Shuttles],395)</f>
        <v/>
      </c>
      <c r="H396" s="66">
        <f>INDEX(Projects[PS Pallet Locations],395)</f>
        <v/>
      </c>
      <c r="I396" s="66">
        <f>INDEX(Projects[SRM Cranes],395)</f>
        <v/>
      </c>
      <c r="J396" s="66">
        <f>INDEX(Projects[SRM Pallet Locations],395)</f>
        <v/>
      </c>
      <c r="K396" s="66">
        <f>INDEX(Projects[Case Conv (m)],395)</f>
        <v/>
      </c>
      <c r="L396" s="66">
        <f>INDEX(Projects[Pallet Conv (m)],395)</f>
        <v/>
      </c>
      <c r="M396" s="66">
        <f>INDEX(Projects[Mech Eng (wks)],395)</f>
        <v/>
      </c>
      <c r="N396" s="66">
        <f>INDEX(Projects[Controls Eng (wks)],395)</f>
        <v/>
      </c>
      <c r="O396" s="66">
        <f>INDEX(Projects[Systems Eng (wks)],395)</f>
        <v/>
      </c>
      <c r="P396" s="66">
        <f>INDEX(Projects[Software Eng (wks)],395)</f>
        <v/>
      </c>
      <c r="Q396" s="66">
        <f>INDEX(Projects[M&amp;E Installation (wks)],395)</f>
        <v/>
      </c>
      <c r="R396" s="66">
        <f>INDEX(Projects[Commissioning (wks)],395)</f>
        <v/>
      </c>
      <c r="S396" s="66">
        <f>INDEX(Projects[Total Timeline (wks)],395)</f>
        <v/>
      </c>
      <c r="T396" s="66">
        <f>INDEX(Projects[Currency],395)&amp;""</f>
        <v/>
      </c>
      <c r="U396" s="67">
        <f>INDEX(Projects[Value (M)],395)</f>
        <v/>
      </c>
      <c r="V396" s="66">
        <f>IF('Smart Search'!B13=1,IFERROR(1/'Smart Search'!H13,0),0)</f>
        <v/>
      </c>
      <c r="W396" s="66">
        <f>IF('Smart Search'!B13=1,IFERROR(1/'Smart Search'!H13,0),0)</f>
        <v/>
      </c>
      <c r="X396" s="66">
        <f>IF('Smart Search'!C13=1,IFERROR(1/'Smart Search'!H13,0),0)</f>
        <v/>
      </c>
      <c r="Y396" s="66">
        <f>IF('Smart Search'!C13=1,IFERROR(1/'Smart Search'!H13,0),0)</f>
        <v/>
      </c>
      <c r="Z396" s="66">
        <f>IF('Smart Search'!D13=1,IFERROR(1/'Smart Search'!H13,0),0)</f>
        <v/>
      </c>
      <c r="AA396" s="66">
        <f>IF('Smart Search'!D13=1,IFERROR(1/'Smart Search'!H13,0),0)</f>
        <v/>
      </c>
      <c r="AB396" s="66">
        <f>IF('Smart Search'!E13=1,IFERROR(1/'Smart Search'!H13,0),0)</f>
        <v/>
      </c>
      <c r="AC396" s="66">
        <f>IF('Smart Search'!E13=1,IFERROR(1/'Smart Search'!H13,0),0)</f>
        <v/>
      </c>
      <c r="AD396" s="66">
        <f>IF('Smart Search'!F13=1,IFERROR(1/'Smart Search'!H13,0),0)</f>
        <v/>
      </c>
      <c r="AE396" s="66">
        <f>IF('Smart Search'!F13=1,IFERROR(1/'Smart Search'!H13,0),0)</f>
        <v/>
      </c>
      <c r="AF396" s="66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66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66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66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66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66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66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66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66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66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66">
        <f>AF396*V396</f>
        <v/>
      </c>
      <c r="AQ396" s="66">
        <f>AG396*W396</f>
        <v/>
      </c>
      <c r="AR396" s="66">
        <f>AH396*X396</f>
        <v/>
      </c>
      <c r="AS396" s="66">
        <f>AI396*Y396</f>
        <v/>
      </c>
      <c r="AT396" s="66">
        <f>AJ396*Z396</f>
        <v/>
      </c>
      <c r="AU396" s="66">
        <f>AK396*AA396</f>
        <v/>
      </c>
      <c r="AV396" s="66">
        <f>AL396*AB396</f>
        <v/>
      </c>
      <c r="AW396" s="66">
        <f>AM396*AC396</f>
        <v/>
      </c>
      <c r="AX396" s="66">
        <f>AN396*AD396</f>
        <v/>
      </c>
      <c r="AY396" s="66">
        <f>AO396*AE396</f>
        <v/>
      </c>
      <c r="AZ396" s="66">
        <f>INDEX(Projects[Automation Equipment],395)&amp;""</f>
        <v/>
      </c>
      <c r="BA396" s="66">
        <f>IF(OR(A396="",'Smart Search'!H13=0),"",MAX(0,BE396*BF396*MAX(0,1-BG396)))</f>
        <v/>
      </c>
      <c r="BB396" s="66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66">
        <f>IF('Smart Search'!G13=1,IFERROR(1/'Smart Search'!H13,0),0)</f>
        <v/>
      </c>
      <c r="BD396" s="66">
        <f>BB396*BC396</f>
        <v/>
      </c>
      <c r="BE396" s="66">
        <f>AP396+AQ396+AR396+AS396+AT396+AU396+AV396+AW396+AX396+AY396+BD396</f>
        <v/>
      </c>
      <c r="BF396" s="5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5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5">
        <f>IF(AND(A396&lt;&gt;"",OR('Smart Search'!$L$5="",'Smart Search'!$L$5="All",TRIM(BZ396)=TRIM('Smart Search'!$L$5)),OR(TRIM('Smart Search'!$L$6)="",TRIM('Smart Search'!$L$6)="All",ISNUMBER(SEARCH(SUBSTITUTE(SUBSTITUTE(SUBSTITUTE(TRIM('Smart Search'!$L$6),"~","~~"),"*","~*"),"?","~?"),CA396))),OR('Smart Search'!$L$7="",AND(CB396&lt;&gt;0,CB396='Smart Search'!$L$7)),OR('Smart Search'!$L$8="",'Smart Search'!$L$8="All",TRIM(CC396)=TRIM('Smart Search'!$L$8))),IF(BA396="","",BA396+ROW()*0.0000000001),"")</f>
        <v/>
      </c>
      <c r="BI396" s="5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5">
        <f>IF(A396="","",N(INDEX(Projects[Mech Inst],395)))</f>
        <v/>
      </c>
      <c r="BK396" s="5">
        <f>IF(A396="","",N(INDEX(Projects[Elec Inst],395)))</f>
        <v/>
      </c>
      <c r="BL396" s="5">
        <f>IF(A396="","",N(INDEX(Projects[Project Management],395)))</f>
        <v/>
      </c>
      <c r="BM396" s="5">
        <f>IF(A396="","",N(INDEX(Projects[Systems Eng],395)))</f>
        <v/>
      </c>
      <c r="BN396" s="5">
        <f>IF(A396="","",N(INDEX(Projects[Mechanical Eng],395)))</f>
        <v/>
      </c>
      <c r="BO396" s="5">
        <f>IF(A396="","",N(INDEX(Projects[Structural Engineering],395)))</f>
        <v/>
      </c>
      <c r="BP396" s="5">
        <f>IF(A396="","",N(INDEX(Projects[Site Sup],395)))</f>
        <v/>
      </c>
      <c r="BQ396" s="5">
        <f>IF(A396="","",N(INDEX(Projects[Controls Commissioning],395)))</f>
        <v/>
      </c>
      <c r="BR396" s="5">
        <f>IF(A396="","",N(INDEX(Projects[Systems Commissioning],395)))</f>
        <v/>
      </c>
      <c r="BS396" s="5">
        <f>IF(A396="","",N(INDEX(Projects[Service Commissioning],395)))</f>
        <v/>
      </c>
      <c r="BT396" s="5">
        <f>IF(A396="","",N(INDEX(Projects[Controls Eng],395)))</f>
        <v/>
      </c>
      <c r="BU396" s="5">
        <f>IF(A396="","",N(INDEX(Projects[Controls Purchase],395)))</f>
        <v/>
      </c>
      <c r="BV396" s="5">
        <f>IF(A396="","",N(INDEX(Projects[Software Eng],395)))</f>
        <v/>
      </c>
      <c r="BW396" s="5">
        <f>IF(A396="","",N(INDEX(Projects[Misc],395)))</f>
        <v/>
      </c>
      <c r="BX396" s="5">
        <f>IF(A396="","",SUM(BJ396:BW396))</f>
        <v/>
      </c>
      <c r="BY396" s="5">
        <f>IF(A396="","",IFERROR(IF(ISNUMBER(U396),U396,VALUE(SUBSTITUTE(SUBSTITUTE(SUBSTITUTE(UPPER(TRIM(U396)),"M",""),",","")," ",""))),0))</f>
        <v/>
      </c>
      <c r="BZ396" s="5">
        <f>INDEX(Projects[Solution Type],395)&amp;""</f>
        <v/>
      </c>
      <c r="CA396" s="5">
        <f>INDEX(Projects[Client / Region],395)&amp;""</f>
        <v/>
      </c>
      <c r="CB396" s="5">
        <f>INDEX(Projects[Year],395)</f>
        <v/>
      </c>
      <c r="CC396" s="5">
        <f>INDEX(Projects[Won?],395)&amp;""</f>
        <v/>
      </c>
      <c r="CD396" s="5">
        <f>INDEX(Projects[Value (USD M)],395)</f>
        <v/>
      </c>
    </row>
    <row r="397" ht="15" customHeight="1" s="74">
      <c r="A397" s="66">
        <f>INDEX(Projects[Project ID *],396)&amp;""</f>
        <v/>
      </c>
      <c r="B397" s="66">
        <f>INDEX(Projects[Project Name *],396)&amp;""</f>
        <v/>
      </c>
      <c r="C397" s="66">
        <f>INDEX(Projects[MS Shuttles],396)</f>
        <v/>
      </c>
      <c r="D397" s="66">
        <f>INDEX(Projects[MS Tote Locations],396)</f>
        <v/>
      </c>
      <c r="E397" s="66">
        <f>INDEX(Projects[AS Robots],396)</f>
        <v/>
      </c>
      <c r="F397" s="66">
        <f>INDEX(Projects[AS Tote Locations],396)</f>
        <v/>
      </c>
      <c r="G397" s="66">
        <f>INDEX(Projects[PS Shuttles],396)</f>
        <v/>
      </c>
      <c r="H397" s="66">
        <f>INDEX(Projects[PS Pallet Locations],396)</f>
        <v/>
      </c>
      <c r="I397" s="66">
        <f>INDEX(Projects[SRM Cranes],396)</f>
        <v/>
      </c>
      <c r="J397" s="66">
        <f>INDEX(Projects[SRM Pallet Locations],396)</f>
        <v/>
      </c>
      <c r="K397" s="66">
        <f>INDEX(Projects[Case Conv (m)],396)</f>
        <v/>
      </c>
      <c r="L397" s="66">
        <f>INDEX(Projects[Pallet Conv (m)],396)</f>
        <v/>
      </c>
      <c r="M397" s="66">
        <f>INDEX(Projects[Mech Eng (wks)],396)</f>
        <v/>
      </c>
      <c r="N397" s="66">
        <f>INDEX(Projects[Controls Eng (wks)],396)</f>
        <v/>
      </c>
      <c r="O397" s="66">
        <f>INDEX(Projects[Systems Eng (wks)],396)</f>
        <v/>
      </c>
      <c r="P397" s="66">
        <f>INDEX(Projects[Software Eng (wks)],396)</f>
        <v/>
      </c>
      <c r="Q397" s="66">
        <f>INDEX(Projects[M&amp;E Installation (wks)],396)</f>
        <v/>
      </c>
      <c r="R397" s="66">
        <f>INDEX(Projects[Commissioning (wks)],396)</f>
        <v/>
      </c>
      <c r="S397" s="66">
        <f>INDEX(Projects[Total Timeline (wks)],396)</f>
        <v/>
      </c>
      <c r="T397" s="66">
        <f>INDEX(Projects[Currency],396)&amp;""</f>
        <v/>
      </c>
      <c r="U397" s="67">
        <f>INDEX(Projects[Value (M)],396)</f>
        <v/>
      </c>
      <c r="V397" s="66">
        <f>IF('Smart Search'!B13=1,IFERROR(1/'Smart Search'!H13,0),0)</f>
        <v/>
      </c>
      <c r="W397" s="66">
        <f>IF('Smart Search'!B13=1,IFERROR(1/'Smart Search'!H13,0),0)</f>
        <v/>
      </c>
      <c r="X397" s="66">
        <f>IF('Smart Search'!C13=1,IFERROR(1/'Smart Search'!H13,0),0)</f>
        <v/>
      </c>
      <c r="Y397" s="66">
        <f>IF('Smart Search'!C13=1,IFERROR(1/'Smart Search'!H13,0),0)</f>
        <v/>
      </c>
      <c r="Z397" s="66">
        <f>IF('Smart Search'!D13=1,IFERROR(1/'Smart Search'!H13,0),0)</f>
        <v/>
      </c>
      <c r="AA397" s="66">
        <f>IF('Smart Search'!D13=1,IFERROR(1/'Smart Search'!H13,0),0)</f>
        <v/>
      </c>
      <c r="AB397" s="66">
        <f>IF('Smart Search'!E13=1,IFERROR(1/'Smart Search'!H13,0),0)</f>
        <v/>
      </c>
      <c r="AC397" s="66">
        <f>IF('Smart Search'!E13=1,IFERROR(1/'Smart Search'!H13,0),0)</f>
        <v/>
      </c>
      <c r="AD397" s="66">
        <f>IF('Smart Search'!F13=1,IFERROR(1/'Smart Search'!H13,0),0)</f>
        <v/>
      </c>
      <c r="AE397" s="66">
        <f>IF('Smart Search'!F13=1,IFERROR(1/'Smart Search'!H13,0),0)</f>
        <v/>
      </c>
      <c r="AF397" s="66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66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66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66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66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66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66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66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66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66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66">
        <f>AF397*V397</f>
        <v/>
      </c>
      <c r="AQ397" s="66">
        <f>AG397*W397</f>
        <v/>
      </c>
      <c r="AR397" s="66">
        <f>AH397*X397</f>
        <v/>
      </c>
      <c r="AS397" s="66">
        <f>AI397*Y397</f>
        <v/>
      </c>
      <c r="AT397" s="66">
        <f>AJ397*Z397</f>
        <v/>
      </c>
      <c r="AU397" s="66">
        <f>AK397*AA397</f>
        <v/>
      </c>
      <c r="AV397" s="66">
        <f>AL397*AB397</f>
        <v/>
      </c>
      <c r="AW397" s="66">
        <f>AM397*AC397</f>
        <v/>
      </c>
      <c r="AX397" s="66">
        <f>AN397*AD397</f>
        <v/>
      </c>
      <c r="AY397" s="66">
        <f>AO397*AE397</f>
        <v/>
      </c>
      <c r="AZ397" s="66">
        <f>INDEX(Projects[Automation Equipment],396)&amp;""</f>
        <v/>
      </c>
      <c r="BA397" s="66">
        <f>IF(OR(A397="",'Smart Search'!H13=0),"",MAX(0,BE397*BF397*MAX(0,1-BG397)))</f>
        <v/>
      </c>
      <c r="BB397" s="66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66">
        <f>IF('Smart Search'!G13=1,IFERROR(1/'Smart Search'!H13,0),0)</f>
        <v/>
      </c>
      <c r="BD397" s="66">
        <f>BB397*BC397</f>
        <v/>
      </c>
      <c r="BE397" s="66">
        <f>AP397+AQ397+AR397+AS397+AT397+AU397+AV397+AW397+AX397+AY397+BD397</f>
        <v/>
      </c>
      <c r="BF397" s="5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5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5">
        <f>IF(AND(A397&lt;&gt;"",OR('Smart Search'!$L$5="",'Smart Search'!$L$5="All",TRIM(BZ397)=TRIM('Smart Search'!$L$5)),OR(TRIM('Smart Search'!$L$6)="",TRIM('Smart Search'!$L$6)="All",ISNUMBER(SEARCH(SUBSTITUTE(SUBSTITUTE(SUBSTITUTE(TRIM('Smart Search'!$L$6),"~","~~"),"*","~*"),"?","~?"),CA397))),OR('Smart Search'!$L$7="",AND(CB397&lt;&gt;0,CB397='Smart Search'!$L$7)),OR('Smart Search'!$L$8="",'Smart Search'!$L$8="All",TRIM(CC397)=TRIM('Smart Search'!$L$8))),IF(BA397="","",BA397+ROW()*0.0000000001),"")</f>
        <v/>
      </c>
      <c r="BI397" s="5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5">
        <f>IF(A397="","",N(INDEX(Projects[Mech Inst],396)))</f>
        <v/>
      </c>
      <c r="BK397" s="5">
        <f>IF(A397="","",N(INDEX(Projects[Elec Inst],396)))</f>
        <v/>
      </c>
      <c r="BL397" s="5">
        <f>IF(A397="","",N(INDEX(Projects[Project Management],396)))</f>
        <v/>
      </c>
      <c r="BM397" s="5">
        <f>IF(A397="","",N(INDEX(Projects[Systems Eng],396)))</f>
        <v/>
      </c>
      <c r="BN397" s="5">
        <f>IF(A397="","",N(INDEX(Projects[Mechanical Eng],396)))</f>
        <v/>
      </c>
      <c r="BO397" s="5">
        <f>IF(A397="","",N(INDEX(Projects[Structural Engineering],396)))</f>
        <v/>
      </c>
      <c r="BP397" s="5">
        <f>IF(A397="","",N(INDEX(Projects[Site Sup],396)))</f>
        <v/>
      </c>
      <c r="BQ397" s="5">
        <f>IF(A397="","",N(INDEX(Projects[Controls Commissioning],396)))</f>
        <v/>
      </c>
      <c r="BR397" s="5">
        <f>IF(A397="","",N(INDEX(Projects[Systems Commissioning],396)))</f>
        <v/>
      </c>
      <c r="BS397" s="5">
        <f>IF(A397="","",N(INDEX(Projects[Service Commissioning],396)))</f>
        <v/>
      </c>
      <c r="BT397" s="5">
        <f>IF(A397="","",N(INDEX(Projects[Controls Eng],396)))</f>
        <v/>
      </c>
      <c r="BU397" s="5">
        <f>IF(A397="","",N(INDEX(Projects[Controls Purchase],396)))</f>
        <v/>
      </c>
      <c r="BV397" s="5">
        <f>IF(A397="","",N(INDEX(Projects[Software Eng],396)))</f>
        <v/>
      </c>
      <c r="BW397" s="5">
        <f>IF(A397="","",N(INDEX(Projects[Misc],396)))</f>
        <v/>
      </c>
      <c r="BX397" s="5">
        <f>IF(A397="","",SUM(BJ397:BW397))</f>
        <v/>
      </c>
      <c r="BY397" s="5">
        <f>IF(A397="","",IFERROR(IF(ISNUMBER(U397),U397,VALUE(SUBSTITUTE(SUBSTITUTE(SUBSTITUTE(UPPER(TRIM(U397)),"M",""),",","")," ",""))),0))</f>
        <v/>
      </c>
      <c r="BZ397" s="5">
        <f>INDEX(Projects[Solution Type],396)&amp;""</f>
        <v/>
      </c>
      <c r="CA397" s="5">
        <f>INDEX(Projects[Client / Region],396)&amp;""</f>
        <v/>
      </c>
      <c r="CB397" s="5">
        <f>INDEX(Projects[Year],396)</f>
        <v/>
      </c>
      <c r="CC397" s="5">
        <f>INDEX(Projects[Won?],396)&amp;""</f>
        <v/>
      </c>
      <c r="CD397" s="5">
        <f>INDEX(Projects[Value (USD M)],396)</f>
        <v/>
      </c>
    </row>
    <row r="398" ht="15" customHeight="1" s="74">
      <c r="A398" s="66">
        <f>INDEX(Projects[Project ID *],397)&amp;""</f>
        <v/>
      </c>
      <c r="B398" s="66">
        <f>INDEX(Projects[Project Name *],397)&amp;""</f>
        <v/>
      </c>
      <c r="C398" s="66">
        <f>INDEX(Projects[MS Shuttles],397)</f>
        <v/>
      </c>
      <c r="D398" s="66">
        <f>INDEX(Projects[MS Tote Locations],397)</f>
        <v/>
      </c>
      <c r="E398" s="66">
        <f>INDEX(Projects[AS Robots],397)</f>
        <v/>
      </c>
      <c r="F398" s="66">
        <f>INDEX(Projects[AS Tote Locations],397)</f>
        <v/>
      </c>
      <c r="G398" s="66">
        <f>INDEX(Projects[PS Shuttles],397)</f>
        <v/>
      </c>
      <c r="H398" s="66">
        <f>INDEX(Projects[PS Pallet Locations],397)</f>
        <v/>
      </c>
      <c r="I398" s="66">
        <f>INDEX(Projects[SRM Cranes],397)</f>
        <v/>
      </c>
      <c r="J398" s="66">
        <f>INDEX(Projects[SRM Pallet Locations],397)</f>
        <v/>
      </c>
      <c r="K398" s="66">
        <f>INDEX(Projects[Case Conv (m)],397)</f>
        <v/>
      </c>
      <c r="L398" s="66">
        <f>INDEX(Projects[Pallet Conv (m)],397)</f>
        <v/>
      </c>
      <c r="M398" s="66">
        <f>INDEX(Projects[Mech Eng (wks)],397)</f>
        <v/>
      </c>
      <c r="N398" s="66">
        <f>INDEX(Projects[Controls Eng (wks)],397)</f>
        <v/>
      </c>
      <c r="O398" s="66">
        <f>INDEX(Projects[Systems Eng (wks)],397)</f>
        <v/>
      </c>
      <c r="P398" s="66">
        <f>INDEX(Projects[Software Eng (wks)],397)</f>
        <v/>
      </c>
      <c r="Q398" s="66">
        <f>INDEX(Projects[M&amp;E Installation (wks)],397)</f>
        <v/>
      </c>
      <c r="R398" s="66">
        <f>INDEX(Projects[Commissioning (wks)],397)</f>
        <v/>
      </c>
      <c r="S398" s="66">
        <f>INDEX(Projects[Total Timeline (wks)],397)</f>
        <v/>
      </c>
      <c r="T398" s="66">
        <f>INDEX(Projects[Currency],397)&amp;""</f>
        <v/>
      </c>
      <c r="U398" s="67">
        <f>INDEX(Projects[Value (M)],397)</f>
        <v/>
      </c>
      <c r="V398" s="66">
        <f>IF('Smart Search'!B13=1,IFERROR(1/'Smart Search'!H13,0),0)</f>
        <v/>
      </c>
      <c r="W398" s="66">
        <f>IF('Smart Search'!B13=1,IFERROR(1/'Smart Search'!H13,0),0)</f>
        <v/>
      </c>
      <c r="X398" s="66">
        <f>IF('Smart Search'!C13=1,IFERROR(1/'Smart Search'!H13,0),0)</f>
        <v/>
      </c>
      <c r="Y398" s="66">
        <f>IF('Smart Search'!C13=1,IFERROR(1/'Smart Search'!H13,0),0)</f>
        <v/>
      </c>
      <c r="Z398" s="66">
        <f>IF('Smart Search'!D13=1,IFERROR(1/'Smart Search'!H13,0),0)</f>
        <v/>
      </c>
      <c r="AA398" s="66">
        <f>IF('Smart Search'!D13=1,IFERROR(1/'Smart Search'!H13,0),0)</f>
        <v/>
      </c>
      <c r="AB398" s="66">
        <f>IF('Smart Search'!E13=1,IFERROR(1/'Smart Search'!H13,0),0)</f>
        <v/>
      </c>
      <c r="AC398" s="66">
        <f>IF('Smart Search'!E13=1,IFERROR(1/'Smart Search'!H13,0),0)</f>
        <v/>
      </c>
      <c r="AD398" s="66">
        <f>IF('Smart Search'!F13=1,IFERROR(1/'Smart Search'!H13,0),0)</f>
        <v/>
      </c>
      <c r="AE398" s="66">
        <f>IF('Smart Search'!F13=1,IFERROR(1/'Smart Search'!H13,0),0)</f>
        <v/>
      </c>
      <c r="AF398" s="66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66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66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66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66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66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66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66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66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66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66">
        <f>AF398*V398</f>
        <v/>
      </c>
      <c r="AQ398" s="66">
        <f>AG398*W398</f>
        <v/>
      </c>
      <c r="AR398" s="66">
        <f>AH398*X398</f>
        <v/>
      </c>
      <c r="AS398" s="66">
        <f>AI398*Y398</f>
        <v/>
      </c>
      <c r="AT398" s="66">
        <f>AJ398*Z398</f>
        <v/>
      </c>
      <c r="AU398" s="66">
        <f>AK398*AA398</f>
        <v/>
      </c>
      <c r="AV398" s="66">
        <f>AL398*AB398</f>
        <v/>
      </c>
      <c r="AW398" s="66">
        <f>AM398*AC398</f>
        <v/>
      </c>
      <c r="AX398" s="66">
        <f>AN398*AD398</f>
        <v/>
      </c>
      <c r="AY398" s="66">
        <f>AO398*AE398</f>
        <v/>
      </c>
      <c r="AZ398" s="66">
        <f>INDEX(Projects[Automation Equipment],397)&amp;""</f>
        <v/>
      </c>
      <c r="BA398" s="66">
        <f>IF(OR(A398="",'Smart Search'!H13=0),"",MAX(0,BE398*BF398*MAX(0,1-BG398)))</f>
        <v/>
      </c>
      <c r="BB398" s="66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66">
        <f>IF('Smart Search'!G13=1,IFERROR(1/'Smart Search'!H13,0),0)</f>
        <v/>
      </c>
      <c r="BD398" s="66">
        <f>BB398*BC398</f>
        <v/>
      </c>
      <c r="BE398" s="66">
        <f>AP398+AQ398+AR398+AS398+AT398+AU398+AV398+AW398+AX398+AY398+BD398</f>
        <v/>
      </c>
      <c r="BF398" s="5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5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5">
        <f>IF(AND(A398&lt;&gt;"",OR('Smart Search'!$L$5="",'Smart Search'!$L$5="All",TRIM(BZ398)=TRIM('Smart Search'!$L$5)),OR(TRIM('Smart Search'!$L$6)="",TRIM('Smart Search'!$L$6)="All",ISNUMBER(SEARCH(SUBSTITUTE(SUBSTITUTE(SUBSTITUTE(TRIM('Smart Search'!$L$6),"~","~~"),"*","~*"),"?","~?"),CA398))),OR('Smart Search'!$L$7="",AND(CB398&lt;&gt;0,CB398='Smart Search'!$L$7)),OR('Smart Search'!$L$8="",'Smart Search'!$L$8="All",TRIM(CC398)=TRIM('Smart Search'!$L$8))),IF(BA398="","",BA398+ROW()*0.0000000001),"")</f>
        <v/>
      </c>
      <c r="BI398" s="5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5">
        <f>IF(A398="","",N(INDEX(Projects[Mech Inst],397)))</f>
        <v/>
      </c>
      <c r="BK398" s="5">
        <f>IF(A398="","",N(INDEX(Projects[Elec Inst],397)))</f>
        <v/>
      </c>
      <c r="BL398" s="5">
        <f>IF(A398="","",N(INDEX(Projects[Project Management],397)))</f>
        <v/>
      </c>
      <c r="BM398" s="5">
        <f>IF(A398="","",N(INDEX(Projects[Systems Eng],397)))</f>
        <v/>
      </c>
      <c r="BN398" s="5">
        <f>IF(A398="","",N(INDEX(Projects[Mechanical Eng],397)))</f>
        <v/>
      </c>
      <c r="BO398" s="5">
        <f>IF(A398="","",N(INDEX(Projects[Structural Engineering],397)))</f>
        <v/>
      </c>
      <c r="BP398" s="5">
        <f>IF(A398="","",N(INDEX(Projects[Site Sup],397)))</f>
        <v/>
      </c>
      <c r="BQ398" s="5">
        <f>IF(A398="","",N(INDEX(Projects[Controls Commissioning],397)))</f>
        <v/>
      </c>
      <c r="BR398" s="5">
        <f>IF(A398="","",N(INDEX(Projects[Systems Commissioning],397)))</f>
        <v/>
      </c>
      <c r="BS398" s="5">
        <f>IF(A398="","",N(INDEX(Projects[Service Commissioning],397)))</f>
        <v/>
      </c>
      <c r="BT398" s="5">
        <f>IF(A398="","",N(INDEX(Projects[Controls Eng],397)))</f>
        <v/>
      </c>
      <c r="BU398" s="5">
        <f>IF(A398="","",N(INDEX(Projects[Controls Purchase],397)))</f>
        <v/>
      </c>
      <c r="BV398" s="5">
        <f>IF(A398="","",N(INDEX(Projects[Software Eng],397)))</f>
        <v/>
      </c>
      <c r="BW398" s="5">
        <f>IF(A398="","",N(INDEX(Projects[Misc],397)))</f>
        <v/>
      </c>
      <c r="BX398" s="5">
        <f>IF(A398="","",SUM(BJ398:BW398))</f>
        <v/>
      </c>
      <c r="BY398" s="5">
        <f>IF(A398="","",IFERROR(IF(ISNUMBER(U398),U398,VALUE(SUBSTITUTE(SUBSTITUTE(SUBSTITUTE(UPPER(TRIM(U398)),"M",""),",","")," ",""))),0))</f>
        <v/>
      </c>
      <c r="BZ398" s="5">
        <f>INDEX(Projects[Solution Type],397)&amp;""</f>
        <v/>
      </c>
      <c r="CA398" s="5">
        <f>INDEX(Projects[Client / Region],397)&amp;""</f>
        <v/>
      </c>
      <c r="CB398" s="5">
        <f>INDEX(Projects[Year],397)</f>
        <v/>
      </c>
      <c r="CC398" s="5">
        <f>INDEX(Projects[Won?],397)&amp;""</f>
        <v/>
      </c>
      <c r="CD398" s="5">
        <f>INDEX(Projects[Value (USD M)],397)</f>
        <v/>
      </c>
    </row>
    <row r="399" ht="15" customHeight="1" s="74">
      <c r="A399" s="66">
        <f>INDEX(Projects[Project ID *],398)&amp;""</f>
        <v/>
      </c>
      <c r="B399" s="66">
        <f>INDEX(Projects[Project Name *],398)&amp;""</f>
        <v/>
      </c>
      <c r="C399" s="66">
        <f>INDEX(Projects[MS Shuttles],398)</f>
        <v/>
      </c>
      <c r="D399" s="66">
        <f>INDEX(Projects[MS Tote Locations],398)</f>
        <v/>
      </c>
      <c r="E399" s="66">
        <f>INDEX(Projects[AS Robots],398)</f>
        <v/>
      </c>
      <c r="F399" s="66">
        <f>INDEX(Projects[AS Tote Locations],398)</f>
        <v/>
      </c>
      <c r="G399" s="66">
        <f>INDEX(Projects[PS Shuttles],398)</f>
        <v/>
      </c>
      <c r="H399" s="66">
        <f>INDEX(Projects[PS Pallet Locations],398)</f>
        <v/>
      </c>
      <c r="I399" s="66">
        <f>INDEX(Projects[SRM Cranes],398)</f>
        <v/>
      </c>
      <c r="J399" s="66">
        <f>INDEX(Projects[SRM Pallet Locations],398)</f>
        <v/>
      </c>
      <c r="K399" s="66">
        <f>INDEX(Projects[Case Conv (m)],398)</f>
        <v/>
      </c>
      <c r="L399" s="66">
        <f>INDEX(Projects[Pallet Conv (m)],398)</f>
        <v/>
      </c>
      <c r="M399" s="66">
        <f>INDEX(Projects[Mech Eng (wks)],398)</f>
        <v/>
      </c>
      <c r="N399" s="66">
        <f>INDEX(Projects[Controls Eng (wks)],398)</f>
        <v/>
      </c>
      <c r="O399" s="66">
        <f>INDEX(Projects[Systems Eng (wks)],398)</f>
        <v/>
      </c>
      <c r="P399" s="66">
        <f>INDEX(Projects[Software Eng (wks)],398)</f>
        <v/>
      </c>
      <c r="Q399" s="66">
        <f>INDEX(Projects[M&amp;E Installation (wks)],398)</f>
        <v/>
      </c>
      <c r="R399" s="66">
        <f>INDEX(Projects[Commissioning (wks)],398)</f>
        <v/>
      </c>
      <c r="S399" s="66">
        <f>INDEX(Projects[Total Timeline (wks)],398)</f>
        <v/>
      </c>
      <c r="T399" s="66">
        <f>INDEX(Projects[Currency],398)&amp;""</f>
        <v/>
      </c>
      <c r="U399" s="67">
        <f>INDEX(Projects[Value (M)],398)</f>
        <v/>
      </c>
      <c r="V399" s="66">
        <f>IF('Smart Search'!B13=1,IFERROR(1/'Smart Search'!H13,0),0)</f>
        <v/>
      </c>
      <c r="W399" s="66">
        <f>IF('Smart Search'!B13=1,IFERROR(1/'Smart Search'!H13,0),0)</f>
        <v/>
      </c>
      <c r="X399" s="66">
        <f>IF('Smart Search'!C13=1,IFERROR(1/'Smart Search'!H13,0),0)</f>
        <v/>
      </c>
      <c r="Y399" s="66">
        <f>IF('Smart Search'!C13=1,IFERROR(1/'Smart Search'!H13,0),0)</f>
        <v/>
      </c>
      <c r="Z399" s="66">
        <f>IF('Smart Search'!D13=1,IFERROR(1/'Smart Search'!H13,0),0)</f>
        <v/>
      </c>
      <c r="AA399" s="66">
        <f>IF('Smart Search'!D13=1,IFERROR(1/'Smart Search'!H13,0),0)</f>
        <v/>
      </c>
      <c r="AB399" s="66">
        <f>IF('Smart Search'!E13=1,IFERROR(1/'Smart Search'!H13,0),0)</f>
        <v/>
      </c>
      <c r="AC399" s="66">
        <f>IF('Smart Search'!E13=1,IFERROR(1/'Smart Search'!H13,0),0)</f>
        <v/>
      </c>
      <c r="AD399" s="66">
        <f>IF('Smart Search'!F13=1,IFERROR(1/'Smart Search'!H13,0),0)</f>
        <v/>
      </c>
      <c r="AE399" s="66">
        <f>IF('Smart Search'!F13=1,IFERROR(1/'Smart Search'!H13,0),0)</f>
        <v/>
      </c>
      <c r="AF399" s="66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66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66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66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66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66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66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66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66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66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66">
        <f>AF399*V399</f>
        <v/>
      </c>
      <c r="AQ399" s="66">
        <f>AG399*W399</f>
        <v/>
      </c>
      <c r="AR399" s="66">
        <f>AH399*X399</f>
        <v/>
      </c>
      <c r="AS399" s="66">
        <f>AI399*Y399</f>
        <v/>
      </c>
      <c r="AT399" s="66">
        <f>AJ399*Z399</f>
        <v/>
      </c>
      <c r="AU399" s="66">
        <f>AK399*AA399</f>
        <v/>
      </c>
      <c r="AV399" s="66">
        <f>AL399*AB399</f>
        <v/>
      </c>
      <c r="AW399" s="66">
        <f>AM399*AC399</f>
        <v/>
      </c>
      <c r="AX399" s="66">
        <f>AN399*AD399</f>
        <v/>
      </c>
      <c r="AY399" s="66">
        <f>AO399*AE399</f>
        <v/>
      </c>
      <c r="AZ399" s="66">
        <f>INDEX(Projects[Automation Equipment],398)&amp;""</f>
        <v/>
      </c>
      <c r="BA399" s="66">
        <f>IF(OR(A399="",'Smart Search'!H13=0),"",MAX(0,BE399*BF399*MAX(0,1-BG399)))</f>
        <v/>
      </c>
      <c r="BB399" s="66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66">
        <f>IF('Smart Search'!G13=1,IFERROR(1/'Smart Search'!H13,0),0)</f>
        <v/>
      </c>
      <c r="BD399" s="66">
        <f>BB399*BC399</f>
        <v/>
      </c>
      <c r="BE399" s="66">
        <f>AP399+AQ399+AR399+AS399+AT399+AU399+AV399+AW399+AX399+AY399+BD399</f>
        <v/>
      </c>
      <c r="BF399" s="5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5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5">
        <f>IF(AND(A399&lt;&gt;"",OR('Smart Search'!$L$5="",'Smart Search'!$L$5="All",TRIM(BZ399)=TRIM('Smart Search'!$L$5)),OR(TRIM('Smart Search'!$L$6)="",TRIM('Smart Search'!$L$6)="All",ISNUMBER(SEARCH(SUBSTITUTE(SUBSTITUTE(SUBSTITUTE(TRIM('Smart Search'!$L$6),"~","~~"),"*","~*"),"?","~?"),CA399))),OR('Smart Search'!$L$7="",AND(CB399&lt;&gt;0,CB399='Smart Search'!$L$7)),OR('Smart Search'!$L$8="",'Smart Search'!$L$8="All",TRIM(CC399)=TRIM('Smart Search'!$L$8))),IF(BA399="","",BA399+ROW()*0.0000000001),"")</f>
        <v/>
      </c>
      <c r="BI399" s="5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5">
        <f>IF(A399="","",N(INDEX(Projects[Mech Inst],398)))</f>
        <v/>
      </c>
      <c r="BK399" s="5">
        <f>IF(A399="","",N(INDEX(Projects[Elec Inst],398)))</f>
        <v/>
      </c>
      <c r="BL399" s="5">
        <f>IF(A399="","",N(INDEX(Projects[Project Management],398)))</f>
        <v/>
      </c>
      <c r="BM399" s="5">
        <f>IF(A399="","",N(INDEX(Projects[Systems Eng],398)))</f>
        <v/>
      </c>
      <c r="BN399" s="5">
        <f>IF(A399="","",N(INDEX(Projects[Mechanical Eng],398)))</f>
        <v/>
      </c>
      <c r="BO399" s="5">
        <f>IF(A399="","",N(INDEX(Projects[Structural Engineering],398)))</f>
        <v/>
      </c>
      <c r="BP399" s="5">
        <f>IF(A399="","",N(INDEX(Projects[Site Sup],398)))</f>
        <v/>
      </c>
      <c r="BQ399" s="5">
        <f>IF(A399="","",N(INDEX(Projects[Controls Commissioning],398)))</f>
        <v/>
      </c>
      <c r="BR399" s="5">
        <f>IF(A399="","",N(INDEX(Projects[Systems Commissioning],398)))</f>
        <v/>
      </c>
      <c r="BS399" s="5">
        <f>IF(A399="","",N(INDEX(Projects[Service Commissioning],398)))</f>
        <v/>
      </c>
      <c r="BT399" s="5">
        <f>IF(A399="","",N(INDEX(Projects[Controls Eng],398)))</f>
        <v/>
      </c>
      <c r="BU399" s="5">
        <f>IF(A399="","",N(INDEX(Projects[Controls Purchase],398)))</f>
        <v/>
      </c>
      <c r="BV399" s="5">
        <f>IF(A399="","",N(INDEX(Projects[Software Eng],398)))</f>
        <v/>
      </c>
      <c r="BW399" s="5">
        <f>IF(A399="","",N(INDEX(Projects[Misc],398)))</f>
        <v/>
      </c>
      <c r="BX399" s="5">
        <f>IF(A399="","",SUM(BJ399:BW399))</f>
        <v/>
      </c>
      <c r="BY399" s="5">
        <f>IF(A399="","",IFERROR(IF(ISNUMBER(U399),U399,VALUE(SUBSTITUTE(SUBSTITUTE(SUBSTITUTE(UPPER(TRIM(U399)),"M",""),",","")," ",""))),0))</f>
        <v/>
      </c>
      <c r="BZ399" s="5">
        <f>INDEX(Projects[Solution Type],398)&amp;""</f>
        <v/>
      </c>
      <c r="CA399" s="5">
        <f>INDEX(Projects[Client / Region],398)&amp;""</f>
        <v/>
      </c>
      <c r="CB399" s="5">
        <f>INDEX(Projects[Year],398)</f>
        <v/>
      </c>
      <c r="CC399" s="5">
        <f>INDEX(Projects[Won?],398)&amp;""</f>
        <v/>
      </c>
      <c r="CD399" s="5">
        <f>INDEX(Projects[Value (USD M)],398)</f>
        <v/>
      </c>
    </row>
    <row r="400" ht="15" customHeight="1" s="74">
      <c r="A400" s="66">
        <f>INDEX(Projects[Project ID *],399)&amp;""</f>
        <v/>
      </c>
      <c r="B400" s="66">
        <f>INDEX(Projects[Project Name *],399)&amp;""</f>
        <v/>
      </c>
      <c r="C400" s="66">
        <f>INDEX(Projects[MS Shuttles],399)</f>
        <v/>
      </c>
      <c r="D400" s="66">
        <f>INDEX(Projects[MS Tote Locations],399)</f>
        <v/>
      </c>
      <c r="E400" s="66">
        <f>INDEX(Projects[AS Robots],399)</f>
        <v/>
      </c>
      <c r="F400" s="66">
        <f>INDEX(Projects[AS Tote Locations],399)</f>
        <v/>
      </c>
      <c r="G400" s="66">
        <f>INDEX(Projects[PS Shuttles],399)</f>
        <v/>
      </c>
      <c r="H400" s="66">
        <f>INDEX(Projects[PS Pallet Locations],399)</f>
        <v/>
      </c>
      <c r="I400" s="66">
        <f>INDEX(Projects[SRM Cranes],399)</f>
        <v/>
      </c>
      <c r="J400" s="66">
        <f>INDEX(Projects[SRM Pallet Locations],399)</f>
        <v/>
      </c>
      <c r="K400" s="66">
        <f>INDEX(Projects[Case Conv (m)],399)</f>
        <v/>
      </c>
      <c r="L400" s="66">
        <f>INDEX(Projects[Pallet Conv (m)],399)</f>
        <v/>
      </c>
      <c r="M400" s="66">
        <f>INDEX(Projects[Mech Eng (wks)],399)</f>
        <v/>
      </c>
      <c r="N400" s="66">
        <f>INDEX(Projects[Controls Eng (wks)],399)</f>
        <v/>
      </c>
      <c r="O400" s="66">
        <f>INDEX(Projects[Systems Eng (wks)],399)</f>
        <v/>
      </c>
      <c r="P400" s="66">
        <f>INDEX(Projects[Software Eng (wks)],399)</f>
        <v/>
      </c>
      <c r="Q400" s="66">
        <f>INDEX(Projects[M&amp;E Installation (wks)],399)</f>
        <v/>
      </c>
      <c r="R400" s="66">
        <f>INDEX(Projects[Commissioning (wks)],399)</f>
        <v/>
      </c>
      <c r="S400" s="66">
        <f>INDEX(Projects[Total Timeline (wks)],399)</f>
        <v/>
      </c>
      <c r="T400" s="66">
        <f>INDEX(Projects[Currency],399)&amp;""</f>
        <v/>
      </c>
      <c r="U400" s="67">
        <f>INDEX(Projects[Value (M)],399)</f>
        <v/>
      </c>
      <c r="V400" s="66">
        <f>IF('Smart Search'!B13=1,IFERROR(1/'Smart Search'!H13,0),0)</f>
        <v/>
      </c>
      <c r="W400" s="66">
        <f>IF('Smart Search'!B13=1,IFERROR(1/'Smart Search'!H13,0),0)</f>
        <v/>
      </c>
      <c r="X400" s="66">
        <f>IF('Smart Search'!C13=1,IFERROR(1/'Smart Search'!H13,0),0)</f>
        <v/>
      </c>
      <c r="Y400" s="66">
        <f>IF('Smart Search'!C13=1,IFERROR(1/'Smart Search'!H13,0),0)</f>
        <v/>
      </c>
      <c r="Z400" s="66">
        <f>IF('Smart Search'!D13=1,IFERROR(1/'Smart Search'!H13,0),0)</f>
        <v/>
      </c>
      <c r="AA400" s="66">
        <f>IF('Smart Search'!D13=1,IFERROR(1/'Smart Search'!H13,0),0)</f>
        <v/>
      </c>
      <c r="AB400" s="66">
        <f>IF('Smart Search'!E13=1,IFERROR(1/'Smart Search'!H13,0),0)</f>
        <v/>
      </c>
      <c r="AC400" s="66">
        <f>IF('Smart Search'!E13=1,IFERROR(1/'Smart Search'!H13,0),0)</f>
        <v/>
      </c>
      <c r="AD400" s="66">
        <f>IF('Smart Search'!F13=1,IFERROR(1/'Smart Search'!H13,0),0)</f>
        <v/>
      </c>
      <c r="AE400" s="66">
        <f>IF('Smart Search'!F13=1,IFERROR(1/'Smart Search'!H13,0),0)</f>
        <v/>
      </c>
      <c r="AF400" s="66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66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66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66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66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66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66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66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66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66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66">
        <f>AF400*V400</f>
        <v/>
      </c>
      <c r="AQ400" s="66">
        <f>AG400*W400</f>
        <v/>
      </c>
      <c r="AR400" s="66">
        <f>AH400*X400</f>
        <v/>
      </c>
      <c r="AS400" s="66">
        <f>AI400*Y400</f>
        <v/>
      </c>
      <c r="AT400" s="66">
        <f>AJ400*Z400</f>
        <v/>
      </c>
      <c r="AU400" s="66">
        <f>AK400*AA400</f>
        <v/>
      </c>
      <c r="AV400" s="66">
        <f>AL400*AB400</f>
        <v/>
      </c>
      <c r="AW400" s="66">
        <f>AM400*AC400</f>
        <v/>
      </c>
      <c r="AX400" s="66">
        <f>AN400*AD400</f>
        <v/>
      </c>
      <c r="AY400" s="66">
        <f>AO400*AE400</f>
        <v/>
      </c>
      <c r="AZ400" s="66">
        <f>INDEX(Projects[Automation Equipment],399)&amp;""</f>
        <v/>
      </c>
      <c r="BA400" s="66">
        <f>IF(OR(A400="",'Smart Search'!H13=0),"",MAX(0,BE400*BF400*MAX(0,1-BG400)))</f>
        <v/>
      </c>
      <c r="BB400" s="66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66">
        <f>IF('Smart Search'!G13=1,IFERROR(1/'Smart Search'!H13,0),0)</f>
        <v/>
      </c>
      <c r="BD400" s="66">
        <f>BB400*BC400</f>
        <v/>
      </c>
      <c r="BE400" s="66">
        <f>AP400+AQ400+AR400+AS400+AT400+AU400+AV400+AW400+AX400+AY400+BD400</f>
        <v/>
      </c>
      <c r="BF400" s="5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5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5">
        <f>IF(AND(A400&lt;&gt;"",OR('Smart Search'!$L$5="",'Smart Search'!$L$5="All",TRIM(BZ400)=TRIM('Smart Search'!$L$5)),OR(TRIM('Smart Search'!$L$6)="",TRIM('Smart Search'!$L$6)="All",ISNUMBER(SEARCH(SUBSTITUTE(SUBSTITUTE(SUBSTITUTE(TRIM('Smart Search'!$L$6),"~","~~"),"*","~*"),"?","~?"),CA400))),OR('Smart Search'!$L$7="",AND(CB400&lt;&gt;0,CB400='Smart Search'!$L$7)),OR('Smart Search'!$L$8="",'Smart Search'!$L$8="All",TRIM(CC400)=TRIM('Smart Search'!$L$8))),IF(BA400="","",BA400+ROW()*0.0000000001),"")</f>
        <v/>
      </c>
      <c r="BI400" s="5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5">
        <f>IF(A400="","",N(INDEX(Projects[Mech Inst],399)))</f>
        <v/>
      </c>
      <c r="BK400" s="5">
        <f>IF(A400="","",N(INDEX(Projects[Elec Inst],399)))</f>
        <v/>
      </c>
      <c r="BL400" s="5">
        <f>IF(A400="","",N(INDEX(Projects[Project Management],399)))</f>
        <v/>
      </c>
      <c r="BM400" s="5">
        <f>IF(A400="","",N(INDEX(Projects[Systems Eng],399)))</f>
        <v/>
      </c>
      <c r="BN400" s="5">
        <f>IF(A400="","",N(INDEX(Projects[Mechanical Eng],399)))</f>
        <v/>
      </c>
      <c r="BO400" s="5">
        <f>IF(A400="","",N(INDEX(Projects[Structural Engineering],399)))</f>
        <v/>
      </c>
      <c r="BP400" s="5">
        <f>IF(A400="","",N(INDEX(Projects[Site Sup],399)))</f>
        <v/>
      </c>
      <c r="BQ400" s="5">
        <f>IF(A400="","",N(INDEX(Projects[Controls Commissioning],399)))</f>
        <v/>
      </c>
      <c r="BR400" s="5">
        <f>IF(A400="","",N(INDEX(Projects[Systems Commissioning],399)))</f>
        <v/>
      </c>
      <c r="BS400" s="5">
        <f>IF(A400="","",N(INDEX(Projects[Service Commissioning],399)))</f>
        <v/>
      </c>
      <c r="BT400" s="5">
        <f>IF(A400="","",N(INDEX(Projects[Controls Eng],399)))</f>
        <v/>
      </c>
      <c r="BU400" s="5">
        <f>IF(A400="","",N(INDEX(Projects[Controls Purchase],399)))</f>
        <v/>
      </c>
      <c r="BV400" s="5">
        <f>IF(A400="","",N(INDEX(Projects[Software Eng],399)))</f>
        <v/>
      </c>
      <c r="BW400" s="5">
        <f>IF(A400="","",N(INDEX(Projects[Misc],399)))</f>
        <v/>
      </c>
      <c r="BX400" s="5">
        <f>IF(A400="","",SUM(BJ400:BW400))</f>
        <v/>
      </c>
      <c r="BY400" s="5">
        <f>IF(A400="","",IFERROR(IF(ISNUMBER(U400),U400,VALUE(SUBSTITUTE(SUBSTITUTE(SUBSTITUTE(UPPER(TRIM(U400)),"M",""),",","")," ",""))),0))</f>
        <v/>
      </c>
      <c r="BZ400" s="5">
        <f>INDEX(Projects[Solution Type],399)&amp;""</f>
        <v/>
      </c>
      <c r="CA400" s="5">
        <f>INDEX(Projects[Client / Region],399)&amp;""</f>
        <v/>
      </c>
      <c r="CB400" s="5">
        <f>INDEX(Projects[Year],399)</f>
        <v/>
      </c>
      <c r="CC400" s="5">
        <f>INDEX(Projects[Won?],399)&amp;""</f>
        <v/>
      </c>
      <c r="CD400" s="5">
        <f>INDEX(Projects[Value (USD M)],399)</f>
        <v/>
      </c>
    </row>
    <row r="401" ht="15" customHeight="1" s="74">
      <c r="A401" s="66">
        <f>INDEX(Projects[Project ID *],400)&amp;""</f>
        <v/>
      </c>
      <c r="B401" s="66">
        <f>INDEX(Projects[Project Name *],400)&amp;""</f>
        <v/>
      </c>
      <c r="C401" s="66">
        <f>INDEX(Projects[MS Shuttles],400)</f>
        <v/>
      </c>
      <c r="D401" s="66">
        <f>INDEX(Projects[MS Tote Locations],400)</f>
        <v/>
      </c>
      <c r="E401" s="66">
        <f>INDEX(Projects[AS Robots],400)</f>
        <v/>
      </c>
      <c r="F401" s="66">
        <f>INDEX(Projects[AS Tote Locations],400)</f>
        <v/>
      </c>
      <c r="G401" s="66">
        <f>INDEX(Projects[PS Shuttles],400)</f>
        <v/>
      </c>
      <c r="H401" s="66">
        <f>INDEX(Projects[PS Pallet Locations],400)</f>
        <v/>
      </c>
      <c r="I401" s="66">
        <f>INDEX(Projects[SRM Cranes],400)</f>
        <v/>
      </c>
      <c r="J401" s="66">
        <f>INDEX(Projects[SRM Pallet Locations],400)</f>
        <v/>
      </c>
      <c r="K401" s="66">
        <f>INDEX(Projects[Case Conv (m)],400)</f>
        <v/>
      </c>
      <c r="L401" s="66">
        <f>INDEX(Projects[Pallet Conv (m)],400)</f>
        <v/>
      </c>
      <c r="M401" s="66">
        <f>INDEX(Projects[Mech Eng (wks)],400)</f>
        <v/>
      </c>
      <c r="N401" s="66">
        <f>INDEX(Projects[Controls Eng (wks)],400)</f>
        <v/>
      </c>
      <c r="O401" s="66">
        <f>INDEX(Projects[Systems Eng (wks)],400)</f>
        <v/>
      </c>
      <c r="P401" s="66">
        <f>INDEX(Projects[Software Eng (wks)],400)</f>
        <v/>
      </c>
      <c r="Q401" s="66">
        <f>INDEX(Projects[M&amp;E Installation (wks)],400)</f>
        <v/>
      </c>
      <c r="R401" s="66">
        <f>INDEX(Projects[Commissioning (wks)],400)</f>
        <v/>
      </c>
      <c r="S401" s="66">
        <f>INDEX(Projects[Total Timeline (wks)],400)</f>
        <v/>
      </c>
      <c r="T401" s="66">
        <f>INDEX(Projects[Currency],400)&amp;""</f>
        <v/>
      </c>
      <c r="U401" s="67">
        <f>INDEX(Projects[Value (M)],400)</f>
        <v/>
      </c>
      <c r="V401" s="66">
        <f>IF('Smart Search'!B13=1,IFERROR(1/'Smart Search'!H13,0),0)</f>
        <v/>
      </c>
      <c r="W401" s="66">
        <f>IF('Smart Search'!B13=1,IFERROR(1/'Smart Search'!H13,0),0)</f>
        <v/>
      </c>
      <c r="X401" s="66">
        <f>IF('Smart Search'!C13=1,IFERROR(1/'Smart Search'!H13,0),0)</f>
        <v/>
      </c>
      <c r="Y401" s="66">
        <f>IF('Smart Search'!C13=1,IFERROR(1/'Smart Search'!H13,0),0)</f>
        <v/>
      </c>
      <c r="Z401" s="66">
        <f>IF('Smart Search'!D13=1,IFERROR(1/'Smart Search'!H13,0),0)</f>
        <v/>
      </c>
      <c r="AA401" s="66">
        <f>IF('Smart Search'!D13=1,IFERROR(1/'Smart Search'!H13,0),0)</f>
        <v/>
      </c>
      <c r="AB401" s="66">
        <f>IF('Smart Search'!E13=1,IFERROR(1/'Smart Search'!H13,0),0)</f>
        <v/>
      </c>
      <c r="AC401" s="66">
        <f>IF('Smart Search'!E13=1,IFERROR(1/'Smart Search'!H13,0),0)</f>
        <v/>
      </c>
      <c r="AD401" s="66">
        <f>IF('Smart Search'!F13=1,IFERROR(1/'Smart Search'!H13,0),0)</f>
        <v/>
      </c>
      <c r="AE401" s="66">
        <f>IF('Smart Search'!F13=1,IFERROR(1/'Smart Search'!H13,0),0)</f>
        <v/>
      </c>
      <c r="AF401" s="66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66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66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66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66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66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66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66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66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66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66">
        <f>AF401*V401</f>
        <v/>
      </c>
      <c r="AQ401" s="66">
        <f>AG401*W401</f>
        <v/>
      </c>
      <c r="AR401" s="66">
        <f>AH401*X401</f>
        <v/>
      </c>
      <c r="AS401" s="66">
        <f>AI401*Y401</f>
        <v/>
      </c>
      <c r="AT401" s="66">
        <f>AJ401*Z401</f>
        <v/>
      </c>
      <c r="AU401" s="66">
        <f>AK401*AA401</f>
        <v/>
      </c>
      <c r="AV401" s="66">
        <f>AL401*AB401</f>
        <v/>
      </c>
      <c r="AW401" s="66">
        <f>AM401*AC401</f>
        <v/>
      </c>
      <c r="AX401" s="66">
        <f>AN401*AD401</f>
        <v/>
      </c>
      <c r="AY401" s="66">
        <f>AO401*AE401</f>
        <v/>
      </c>
      <c r="AZ401" s="66">
        <f>INDEX(Projects[Automation Equipment],400)&amp;""</f>
        <v/>
      </c>
      <c r="BA401" s="66">
        <f>IF(OR(A401="",'Smart Search'!H13=0),"",MAX(0,BE401*BF401*MAX(0,1-BG401)))</f>
        <v/>
      </c>
      <c r="BB401" s="66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66">
        <f>IF('Smart Search'!G13=1,IFERROR(1/'Smart Search'!H13,0),0)</f>
        <v/>
      </c>
      <c r="BD401" s="66">
        <f>BB401*BC401</f>
        <v/>
      </c>
      <c r="BE401" s="66">
        <f>AP401+AQ401+AR401+AS401+AT401+AU401+AV401+AW401+AX401+AY401+BD401</f>
        <v/>
      </c>
      <c r="BF401" s="5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5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5">
        <f>IF(AND(A401&lt;&gt;"",OR('Smart Search'!$L$5="",'Smart Search'!$L$5="All",TRIM(BZ401)=TRIM('Smart Search'!$L$5)),OR(TRIM('Smart Search'!$L$6)="",TRIM('Smart Search'!$L$6)="All",ISNUMBER(SEARCH(SUBSTITUTE(SUBSTITUTE(SUBSTITUTE(TRIM('Smart Search'!$L$6),"~","~~"),"*","~*"),"?","~?"),CA401))),OR('Smart Search'!$L$7="",AND(CB401&lt;&gt;0,CB401='Smart Search'!$L$7)),OR('Smart Search'!$L$8="",'Smart Search'!$L$8="All",TRIM(CC401)=TRIM('Smart Search'!$L$8))),IF(BA401="","",BA401+ROW()*0.0000000001),"")</f>
        <v/>
      </c>
      <c r="BI401" s="5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5">
        <f>IF(A401="","",N(INDEX(Projects[Mech Inst],400)))</f>
        <v/>
      </c>
      <c r="BK401" s="5">
        <f>IF(A401="","",N(INDEX(Projects[Elec Inst],400)))</f>
        <v/>
      </c>
      <c r="BL401" s="5">
        <f>IF(A401="","",N(INDEX(Projects[Project Management],400)))</f>
        <v/>
      </c>
      <c r="BM401" s="5">
        <f>IF(A401="","",N(INDEX(Projects[Systems Eng],400)))</f>
        <v/>
      </c>
      <c r="BN401" s="5">
        <f>IF(A401="","",N(INDEX(Projects[Mechanical Eng],400)))</f>
        <v/>
      </c>
      <c r="BO401" s="5">
        <f>IF(A401="","",N(INDEX(Projects[Structural Engineering],400)))</f>
        <v/>
      </c>
      <c r="BP401" s="5">
        <f>IF(A401="","",N(INDEX(Projects[Site Sup],400)))</f>
        <v/>
      </c>
      <c r="BQ401" s="5">
        <f>IF(A401="","",N(INDEX(Projects[Controls Commissioning],400)))</f>
        <v/>
      </c>
      <c r="BR401" s="5">
        <f>IF(A401="","",N(INDEX(Projects[Systems Commissioning],400)))</f>
        <v/>
      </c>
      <c r="BS401" s="5">
        <f>IF(A401="","",N(INDEX(Projects[Service Commissioning],400)))</f>
        <v/>
      </c>
      <c r="BT401" s="5">
        <f>IF(A401="","",N(INDEX(Projects[Controls Eng],400)))</f>
        <v/>
      </c>
      <c r="BU401" s="5">
        <f>IF(A401="","",N(INDEX(Projects[Controls Purchase],400)))</f>
        <v/>
      </c>
      <c r="BV401" s="5">
        <f>IF(A401="","",N(INDEX(Projects[Software Eng],400)))</f>
        <v/>
      </c>
      <c r="BW401" s="5">
        <f>IF(A401="","",N(INDEX(Projects[Misc],400)))</f>
        <v/>
      </c>
      <c r="BX401" s="5">
        <f>IF(A401="","",SUM(BJ401:BW401))</f>
        <v/>
      </c>
      <c r="BY401" s="5">
        <f>IF(A401="","",IFERROR(IF(ISNUMBER(U401),U401,VALUE(SUBSTITUTE(SUBSTITUTE(SUBSTITUTE(UPPER(TRIM(U401)),"M",""),",","")," ",""))),0))</f>
        <v/>
      </c>
      <c r="BZ401" s="5">
        <f>INDEX(Projects[Solution Type],400)&amp;""</f>
        <v/>
      </c>
      <c r="CA401" s="5">
        <f>INDEX(Projects[Client / Region],400)&amp;""</f>
        <v/>
      </c>
      <c r="CB401" s="5">
        <f>INDEX(Projects[Year],400)</f>
        <v/>
      </c>
      <c r="CC401" s="5">
        <f>INDEX(Projects[Won?],400)&amp;""</f>
        <v/>
      </c>
      <c r="CD401" s="5">
        <f>INDEX(Projects[Value (USD M)],400)</f>
        <v/>
      </c>
    </row>
    <row r="402" ht="15" customHeight="1" s="74">
      <c r="A402" s="66">
        <f>INDEX(Projects[Project ID *],401)&amp;""</f>
        <v/>
      </c>
      <c r="B402" s="66">
        <f>INDEX(Projects[Project Name *],401)&amp;""</f>
        <v/>
      </c>
      <c r="C402" s="66">
        <f>INDEX(Projects[MS Shuttles],401)</f>
        <v/>
      </c>
      <c r="D402" s="66">
        <f>INDEX(Projects[MS Tote Locations],401)</f>
        <v/>
      </c>
      <c r="E402" s="66">
        <f>INDEX(Projects[AS Robots],401)</f>
        <v/>
      </c>
      <c r="F402" s="66">
        <f>INDEX(Projects[AS Tote Locations],401)</f>
        <v/>
      </c>
      <c r="G402" s="66">
        <f>INDEX(Projects[PS Shuttles],401)</f>
        <v/>
      </c>
      <c r="H402" s="66">
        <f>INDEX(Projects[PS Pallet Locations],401)</f>
        <v/>
      </c>
      <c r="I402" s="66">
        <f>INDEX(Projects[SRM Cranes],401)</f>
        <v/>
      </c>
      <c r="J402" s="66">
        <f>INDEX(Projects[SRM Pallet Locations],401)</f>
        <v/>
      </c>
      <c r="K402" s="66">
        <f>INDEX(Projects[Case Conv (m)],401)</f>
        <v/>
      </c>
      <c r="L402" s="66">
        <f>INDEX(Projects[Pallet Conv (m)],401)</f>
        <v/>
      </c>
      <c r="M402" s="66">
        <f>INDEX(Projects[Mech Eng (wks)],401)</f>
        <v/>
      </c>
      <c r="N402" s="66">
        <f>INDEX(Projects[Controls Eng (wks)],401)</f>
        <v/>
      </c>
      <c r="O402" s="66">
        <f>INDEX(Projects[Systems Eng (wks)],401)</f>
        <v/>
      </c>
      <c r="P402" s="66">
        <f>INDEX(Projects[Software Eng (wks)],401)</f>
        <v/>
      </c>
      <c r="Q402" s="66">
        <f>INDEX(Projects[M&amp;E Installation (wks)],401)</f>
        <v/>
      </c>
      <c r="R402" s="66">
        <f>INDEX(Projects[Commissioning (wks)],401)</f>
        <v/>
      </c>
      <c r="S402" s="66">
        <f>INDEX(Projects[Total Timeline (wks)],401)</f>
        <v/>
      </c>
      <c r="T402" s="66">
        <f>INDEX(Projects[Currency],401)&amp;""</f>
        <v/>
      </c>
      <c r="U402" s="67">
        <f>INDEX(Projects[Value (M)],401)</f>
        <v/>
      </c>
      <c r="V402" s="66">
        <f>IF('Smart Search'!B13=1,IFERROR(1/'Smart Search'!H13,0),0)</f>
        <v/>
      </c>
      <c r="W402" s="66">
        <f>IF('Smart Search'!B13=1,IFERROR(1/'Smart Search'!H13,0),0)</f>
        <v/>
      </c>
      <c r="X402" s="66">
        <f>IF('Smart Search'!C13=1,IFERROR(1/'Smart Search'!H13,0),0)</f>
        <v/>
      </c>
      <c r="Y402" s="66">
        <f>IF('Smart Search'!C13=1,IFERROR(1/'Smart Search'!H13,0),0)</f>
        <v/>
      </c>
      <c r="Z402" s="66">
        <f>IF('Smart Search'!D13=1,IFERROR(1/'Smart Search'!H13,0),0)</f>
        <v/>
      </c>
      <c r="AA402" s="66">
        <f>IF('Smart Search'!D13=1,IFERROR(1/'Smart Search'!H13,0),0)</f>
        <v/>
      </c>
      <c r="AB402" s="66">
        <f>IF('Smart Search'!E13=1,IFERROR(1/'Smart Search'!H13,0),0)</f>
        <v/>
      </c>
      <c r="AC402" s="66">
        <f>IF('Smart Search'!E13=1,IFERROR(1/'Smart Search'!H13,0),0)</f>
        <v/>
      </c>
      <c r="AD402" s="66">
        <f>IF('Smart Search'!F13=1,IFERROR(1/'Smart Search'!H13,0),0)</f>
        <v/>
      </c>
      <c r="AE402" s="66">
        <f>IF('Smart Search'!F13=1,IFERROR(1/'Smart Search'!H13,0),0)</f>
        <v/>
      </c>
      <c r="AF402" s="66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66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66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66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66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66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66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66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66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66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66">
        <f>AF402*V402</f>
        <v/>
      </c>
      <c r="AQ402" s="66">
        <f>AG402*W402</f>
        <v/>
      </c>
      <c r="AR402" s="66">
        <f>AH402*X402</f>
        <v/>
      </c>
      <c r="AS402" s="66">
        <f>AI402*Y402</f>
        <v/>
      </c>
      <c r="AT402" s="66">
        <f>AJ402*Z402</f>
        <v/>
      </c>
      <c r="AU402" s="66">
        <f>AK402*AA402</f>
        <v/>
      </c>
      <c r="AV402" s="66">
        <f>AL402*AB402</f>
        <v/>
      </c>
      <c r="AW402" s="66">
        <f>AM402*AC402</f>
        <v/>
      </c>
      <c r="AX402" s="66">
        <f>AN402*AD402</f>
        <v/>
      </c>
      <c r="AY402" s="66">
        <f>AO402*AE402</f>
        <v/>
      </c>
      <c r="AZ402" s="66">
        <f>INDEX(Projects[Automation Equipment],401)&amp;""</f>
        <v/>
      </c>
      <c r="BA402" s="66">
        <f>IF(OR(A402="",'Smart Search'!H13=0),"",MAX(0,BE402*BF402*MAX(0,1-BG402)))</f>
        <v/>
      </c>
      <c r="BB402" s="66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66">
        <f>IF('Smart Search'!G13=1,IFERROR(1/'Smart Search'!H13,0),0)</f>
        <v/>
      </c>
      <c r="BD402" s="66">
        <f>BB402*BC402</f>
        <v/>
      </c>
      <c r="BE402" s="66">
        <f>AP402+AQ402+AR402+AS402+AT402+AU402+AV402+AW402+AX402+AY402+BD402</f>
        <v/>
      </c>
      <c r="BF402" s="5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5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5">
        <f>IF(AND(A402&lt;&gt;"",OR('Smart Search'!$L$5="",'Smart Search'!$L$5="All",TRIM(BZ402)=TRIM('Smart Search'!$L$5)),OR(TRIM('Smart Search'!$L$6)="",TRIM('Smart Search'!$L$6)="All",ISNUMBER(SEARCH(SUBSTITUTE(SUBSTITUTE(SUBSTITUTE(TRIM('Smart Search'!$L$6),"~","~~"),"*","~*"),"?","~?"),CA402))),OR('Smart Search'!$L$7="",AND(CB402&lt;&gt;0,CB402='Smart Search'!$L$7)),OR('Smart Search'!$L$8="",'Smart Search'!$L$8="All",TRIM(CC402)=TRIM('Smart Search'!$L$8))),IF(BA402="","",BA402+ROW()*0.0000000001),"")</f>
        <v/>
      </c>
      <c r="BI402" s="5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5">
        <f>IF(A402="","",N(INDEX(Projects[Mech Inst],401)))</f>
        <v/>
      </c>
      <c r="BK402" s="5">
        <f>IF(A402="","",N(INDEX(Projects[Elec Inst],401)))</f>
        <v/>
      </c>
      <c r="BL402" s="5">
        <f>IF(A402="","",N(INDEX(Projects[Project Management],401)))</f>
        <v/>
      </c>
      <c r="BM402" s="5">
        <f>IF(A402="","",N(INDEX(Projects[Systems Eng],401)))</f>
        <v/>
      </c>
      <c r="BN402" s="5">
        <f>IF(A402="","",N(INDEX(Projects[Mechanical Eng],401)))</f>
        <v/>
      </c>
      <c r="BO402" s="5">
        <f>IF(A402="","",N(INDEX(Projects[Structural Engineering],401)))</f>
        <v/>
      </c>
      <c r="BP402" s="5">
        <f>IF(A402="","",N(INDEX(Projects[Site Sup],401)))</f>
        <v/>
      </c>
      <c r="BQ402" s="5">
        <f>IF(A402="","",N(INDEX(Projects[Controls Commissioning],401)))</f>
        <v/>
      </c>
      <c r="BR402" s="5">
        <f>IF(A402="","",N(INDEX(Projects[Systems Commissioning],401)))</f>
        <v/>
      </c>
      <c r="BS402" s="5">
        <f>IF(A402="","",N(INDEX(Projects[Service Commissioning],401)))</f>
        <v/>
      </c>
      <c r="BT402" s="5">
        <f>IF(A402="","",N(INDEX(Projects[Controls Eng],401)))</f>
        <v/>
      </c>
      <c r="BU402" s="5">
        <f>IF(A402="","",N(INDEX(Projects[Controls Purchase],401)))</f>
        <v/>
      </c>
      <c r="BV402" s="5">
        <f>IF(A402="","",N(INDEX(Projects[Software Eng],401)))</f>
        <v/>
      </c>
      <c r="BW402" s="5">
        <f>IF(A402="","",N(INDEX(Projects[Misc],401)))</f>
        <v/>
      </c>
      <c r="BX402" s="5">
        <f>IF(A402="","",SUM(BJ402:BW402))</f>
        <v/>
      </c>
      <c r="BY402" s="5">
        <f>IF(A402="","",IFERROR(IF(ISNUMBER(U402),U402,VALUE(SUBSTITUTE(SUBSTITUTE(SUBSTITUTE(UPPER(TRIM(U402)),"M",""),",","")," ",""))),0))</f>
        <v/>
      </c>
      <c r="BZ402" s="5">
        <f>INDEX(Projects[Solution Type],401)&amp;""</f>
        <v/>
      </c>
      <c r="CA402" s="5">
        <f>INDEX(Projects[Client / Region],401)&amp;""</f>
        <v/>
      </c>
      <c r="CB402" s="5">
        <f>INDEX(Projects[Year],401)</f>
        <v/>
      </c>
      <c r="CC402" s="5">
        <f>INDEX(Projects[Won?],401)&amp;""</f>
        <v/>
      </c>
      <c r="CD402" s="5">
        <f>INDEX(Projects[Value (USD M)],401)</f>
        <v/>
      </c>
    </row>
    <row r="403" ht="15" customHeight="1" s="74">
      <c r="A403" s="66">
        <f>INDEX(Projects[Project ID *],402)&amp;""</f>
        <v/>
      </c>
      <c r="B403" s="66">
        <f>INDEX(Projects[Project Name *],402)&amp;""</f>
        <v/>
      </c>
      <c r="C403" s="66">
        <f>INDEX(Projects[MS Shuttles],402)</f>
        <v/>
      </c>
      <c r="D403" s="66">
        <f>INDEX(Projects[MS Tote Locations],402)</f>
        <v/>
      </c>
      <c r="E403" s="66">
        <f>INDEX(Projects[AS Robots],402)</f>
        <v/>
      </c>
      <c r="F403" s="66">
        <f>INDEX(Projects[AS Tote Locations],402)</f>
        <v/>
      </c>
      <c r="G403" s="66">
        <f>INDEX(Projects[PS Shuttles],402)</f>
        <v/>
      </c>
      <c r="H403" s="66">
        <f>INDEX(Projects[PS Pallet Locations],402)</f>
        <v/>
      </c>
      <c r="I403" s="66">
        <f>INDEX(Projects[SRM Cranes],402)</f>
        <v/>
      </c>
      <c r="J403" s="66">
        <f>INDEX(Projects[SRM Pallet Locations],402)</f>
        <v/>
      </c>
      <c r="K403" s="66">
        <f>INDEX(Projects[Case Conv (m)],402)</f>
        <v/>
      </c>
      <c r="L403" s="66">
        <f>INDEX(Projects[Pallet Conv (m)],402)</f>
        <v/>
      </c>
      <c r="M403" s="66">
        <f>INDEX(Projects[Mech Eng (wks)],402)</f>
        <v/>
      </c>
      <c r="N403" s="66">
        <f>INDEX(Projects[Controls Eng (wks)],402)</f>
        <v/>
      </c>
      <c r="O403" s="66">
        <f>INDEX(Projects[Systems Eng (wks)],402)</f>
        <v/>
      </c>
      <c r="P403" s="66">
        <f>INDEX(Projects[Software Eng (wks)],402)</f>
        <v/>
      </c>
      <c r="Q403" s="66">
        <f>INDEX(Projects[M&amp;E Installation (wks)],402)</f>
        <v/>
      </c>
      <c r="R403" s="66">
        <f>INDEX(Projects[Commissioning (wks)],402)</f>
        <v/>
      </c>
      <c r="S403" s="66">
        <f>INDEX(Projects[Total Timeline (wks)],402)</f>
        <v/>
      </c>
      <c r="T403" s="66">
        <f>INDEX(Projects[Currency],402)&amp;""</f>
        <v/>
      </c>
      <c r="U403" s="67">
        <f>INDEX(Projects[Value (M)],402)</f>
        <v/>
      </c>
      <c r="V403" s="66">
        <f>IF('Smart Search'!B13=1,IFERROR(1/'Smart Search'!H13,0),0)</f>
        <v/>
      </c>
      <c r="W403" s="66">
        <f>IF('Smart Search'!B13=1,IFERROR(1/'Smart Search'!H13,0),0)</f>
        <v/>
      </c>
      <c r="X403" s="66">
        <f>IF('Smart Search'!C13=1,IFERROR(1/'Smart Search'!H13,0),0)</f>
        <v/>
      </c>
      <c r="Y403" s="66">
        <f>IF('Smart Search'!C13=1,IFERROR(1/'Smart Search'!H13,0),0)</f>
        <v/>
      </c>
      <c r="Z403" s="66">
        <f>IF('Smart Search'!D13=1,IFERROR(1/'Smart Search'!H13,0),0)</f>
        <v/>
      </c>
      <c r="AA403" s="66">
        <f>IF('Smart Search'!D13=1,IFERROR(1/'Smart Search'!H13,0),0)</f>
        <v/>
      </c>
      <c r="AB403" s="66">
        <f>IF('Smart Search'!E13=1,IFERROR(1/'Smart Search'!H13,0),0)</f>
        <v/>
      </c>
      <c r="AC403" s="66">
        <f>IF('Smart Search'!E13=1,IFERROR(1/'Smart Search'!H13,0),0)</f>
        <v/>
      </c>
      <c r="AD403" s="66">
        <f>IF('Smart Search'!F13=1,IFERROR(1/'Smart Search'!H13,0),0)</f>
        <v/>
      </c>
      <c r="AE403" s="66">
        <f>IF('Smart Search'!F13=1,IFERROR(1/'Smart Search'!H13,0),0)</f>
        <v/>
      </c>
      <c r="AF403" s="66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66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66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66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66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66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66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66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66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66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66">
        <f>AF403*V403</f>
        <v/>
      </c>
      <c r="AQ403" s="66">
        <f>AG403*W403</f>
        <v/>
      </c>
      <c r="AR403" s="66">
        <f>AH403*X403</f>
        <v/>
      </c>
      <c r="AS403" s="66">
        <f>AI403*Y403</f>
        <v/>
      </c>
      <c r="AT403" s="66">
        <f>AJ403*Z403</f>
        <v/>
      </c>
      <c r="AU403" s="66">
        <f>AK403*AA403</f>
        <v/>
      </c>
      <c r="AV403" s="66">
        <f>AL403*AB403</f>
        <v/>
      </c>
      <c r="AW403" s="66">
        <f>AM403*AC403</f>
        <v/>
      </c>
      <c r="AX403" s="66">
        <f>AN403*AD403</f>
        <v/>
      </c>
      <c r="AY403" s="66">
        <f>AO403*AE403</f>
        <v/>
      </c>
      <c r="AZ403" s="66">
        <f>INDEX(Projects[Automation Equipment],402)&amp;""</f>
        <v/>
      </c>
      <c r="BA403" s="66">
        <f>IF(OR(A403="",'Smart Search'!H13=0),"",MAX(0,BE403*BF403*MAX(0,1-BG403)))</f>
        <v/>
      </c>
      <c r="BB403" s="66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66">
        <f>IF('Smart Search'!G13=1,IFERROR(1/'Smart Search'!H13,0),0)</f>
        <v/>
      </c>
      <c r="BD403" s="66">
        <f>BB403*BC403</f>
        <v/>
      </c>
      <c r="BE403" s="66">
        <f>AP403+AQ403+AR403+AS403+AT403+AU403+AV403+AW403+AX403+AY403+BD403</f>
        <v/>
      </c>
      <c r="BF403" s="5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5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5">
        <f>IF(AND(A403&lt;&gt;"",OR('Smart Search'!$L$5="",'Smart Search'!$L$5="All",TRIM(BZ403)=TRIM('Smart Search'!$L$5)),OR(TRIM('Smart Search'!$L$6)="",TRIM('Smart Search'!$L$6)="All",ISNUMBER(SEARCH(SUBSTITUTE(SUBSTITUTE(SUBSTITUTE(TRIM('Smart Search'!$L$6),"~","~~"),"*","~*"),"?","~?"),CA403))),OR('Smart Search'!$L$7="",AND(CB403&lt;&gt;0,CB403='Smart Search'!$L$7)),OR('Smart Search'!$L$8="",'Smart Search'!$L$8="All",TRIM(CC403)=TRIM('Smart Search'!$L$8))),IF(BA403="","",BA403+ROW()*0.0000000001),"")</f>
        <v/>
      </c>
      <c r="BI403" s="5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5">
        <f>IF(A403="","",N(INDEX(Projects[Mech Inst],402)))</f>
        <v/>
      </c>
      <c r="BK403" s="5">
        <f>IF(A403="","",N(INDEX(Projects[Elec Inst],402)))</f>
        <v/>
      </c>
      <c r="BL403" s="5">
        <f>IF(A403="","",N(INDEX(Projects[Project Management],402)))</f>
        <v/>
      </c>
      <c r="BM403" s="5">
        <f>IF(A403="","",N(INDEX(Projects[Systems Eng],402)))</f>
        <v/>
      </c>
      <c r="BN403" s="5">
        <f>IF(A403="","",N(INDEX(Projects[Mechanical Eng],402)))</f>
        <v/>
      </c>
      <c r="BO403" s="5">
        <f>IF(A403="","",N(INDEX(Projects[Structural Engineering],402)))</f>
        <v/>
      </c>
      <c r="BP403" s="5">
        <f>IF(A403="","",N(INDEX(Projects[Site Sup],402)))</f>
        <v/>
      </c>
      <c r="BQ403" s="5">
        <f>IF(A403="","",N(INDEX(Projects[Controls Commissioning],402)))</f>
        <v/>
      </c>
      <c r="BR403" s="5">
        <f>IF(A403="","",N(INDEX(Projects[Systems Commissioning],402)))</f>
        <v/>
      </c>
      <c r="BS403" s="5">
        <f>IF(A403="","",N(INDEX(Projects[Service Commissioning],402)))</f>
        <v/>
      </c>
      <c r="BT403" s="5">
        <f>IF(A403="","",N(INDEX(Projects[Controls Eng],402)))</f>
        <v/>
      </c>
      <c r="BU403" s="5">
        <f>IF(A403="","",N(INDEX(Projects[Controls Purchase],402)))</f>
        <v/>
      </c>
      <c r="BV403" s="5">
        <f>IF(A403="","",N(INDEX(Projects[Software Eng],402)))</f>
        <v/>
      </c>
      <c r="BW403" s="5">
        <f>IF(A403="","",N(INDEX(Projects[Misc],402)))</f>
        <v/>
      </c>
      <c r="BX403" s="5">
        <f>IF(A403="","",SUM(BJ403:BW403))</f>
        <v/>
      </c>
      <c r="BY403" s="5">
        <f>IF(A403="","",IFERROR(IF(ISNUMBER(U403),U403,VALUE(SUBSTITUTE(SUBSTITUTE(SUBSTITUTE(UPPER(TRIM(U403)),"M",""),",","")," ",""))),0))</f>
        <v/>
      </c>
      <c r="BZ403" s="5">
        <f>INDEX(Projects[Solution Type],402)&amp;""</f>
        <v/>
      </c>
      <c r="CA403" s="5">
        <f>INDEX(Projects[Client / Region],402)&amp;""</f>
        <v/>
      </c>
      <c r="CB403" s="5">
        <f>INDEX(Projects[Year],402)</f>
        <v/>
      </c>
      <c r="CC403" s="5">
        <f>INDEX(Projects[Won?],402)&amp;""</f>
        <v/>
      </c>
      <c r="CD403" s="5">
        <f>INDEX(Projects[Value (USD M)],402)</f>
        <v/>
      </c>
    </row>
    <row r="404" ht="15" customHeight="1" s="74">
      <c r="A404" s="66">
        <f>INDEX(Projects[Project ID *],403)&amp;""</f>
        <v/>
      </c>
      <c r="B404" s="66">
        <f>INDEX(Projects[Project Name *],403)&amp;""</f>
        <v/>
      </c>
      <c r="C404" s="66">
        <f>INDEX(Projects[MS Shuttles],403)</f>
        <v/>
      </c>
      <c r="D404" s="66">
        <f>INDEX(Projects[MS Tote Locations],403)</f>
        <v/>
      </c>
      <c r="E404" s="66">
        <f>INDEX(Projects[AS Robots],403)</f>
        <v/>
      </c>
      <c r="F404" s="66">
        <f>INDEX(Projects[AS Tote Locations],403)</f>
        <v/>
      </c>
      <c r="G404" s="66">
        <f>INDEX(Projects[PS Shuttles],403)</f>
        <v/>
      </c>
      <c r="H404" s="66">
        <f>INDEX(Projects[PS Pallet Locations],403)</f>
        <v/>
      </c>
      <c r="I404" s="66">
        <f>INDEX(Projects[SRM Cranes],403)</f>
        <v/>
      </c>
      <c r="J404" s="66">
        <f>INDEX(Projects[SRM Pallet Locations],403)</f>
        <v/>
      </c>
      <c r="K404" s="66">
        <f>INDEX(Projects[Case Conv (m)],403)</f>
        <v/>
      </c>
      <c r="L404" s="66">
        <f>INDEX(Projects[Pallet Conv (m)],403)</f>
        <v/>
      </c>
      <c r="M404" s="66">
        <f>INDEX(Projects[Mech Eng (wks)],403)</f>
        <v/>
      </c>
      <c r="N404" s="66">
        <f>INDEX(Projects[Controls Eng (wks)],403)</f>
        <v/>
      </c>
      <c r="O404" s="66">
        <f>INDEX(Projects[Systems Eng (wks)],403)</f>
        <v/>
      </c>
      <c r="P404" s="66">
        <f>INDEX(Projects[Software Eng (wks)],403)</f>
        <v/>
      </c>
      <c r="Q404" s="66">
        <f>INDEX(Projects[M&amp;E Installation (wks)],403)</f>
        <v/>
      </c>
      <c r="R404" s="66">
        <f>INDEX(Projects[Commissioning (wks)],403)</f>
        <v/>
      </c>
      <c r="S404" s="66">
        <f>INDEX(Projects[Total Timeline (wks)],403)</f>
        <v/>
      </c>
      <c r="T404" s="66">
        <f>INDEX(Projects[Currency],403)&amp;""</f>
        <v/>
      </c>
      <c r="U404" s="67">
        <f>INDEX(Projects[Value (M)],403)</f>
        <v/>
      </c>
      <c r="V404" s="66">
        <f>IF('Smart Search'!B13=1,IFERROR(1/'Smart Search'!H13,0),0)</f>
        <v/>
      </c>
      <c r="W404" s="66">
        <f>IF('Smart Search'!B13=1,IFERROR(1/'Smart Search'!H13,0),0)</f>
        <v/>
      </c>
      <c r="X404" s="66">
        <f>IF('Smart Search'!C13=1,IFERROR(1/'Smart Search'!H13,0),0)</f>
        <v/>
      </c>
      <c r="Y404" s="66">
        <f>IF('Smart Search'!C13=1,IFERROR(1/'Smart Search'!H13,0),0)</f>
        <v/>
      </c>
      <c r="Z404" s="66">
        <f>IF('Smart Search'!D13=1,IFERROR(1/'Smart Search'!H13,0),0)</f>
        <v/>
      </c>
      <c r="AA404" s="66">
        <f>IF('Smart Search'!D13=1,IFERROR(1/'Smart Search'!H13,0),0)</f>
        <v/>
      </c>
      <c r="AB404" s="66">
        <f>IF('Smart Search'!E13=1,IFERROR(1/'Smart Search'!H13,0),0)</f>
        <v/>
      </c>
      <c r="AC404" s="66">
        <f>IF('Smart Search'!E13=1,IFERROR(1/'Smart Search'!H13,0),0)</f>
        <v/>
      </c>
      <c r="AD404" s="66">
        <f>IF('Smart Search'!F13=1,IFERROR(1/'Smart Search'!H13,0),0)</f>
        <v/>
      </c>
      <c r="AE404" s="66">
        <f>IF('Smart Search'!F13=1,IFERROR(1/'Smart Search'!H13,0),0)</f>
        <v/>
      </c>
      <c r="AF404" s="66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66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66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66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66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66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66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66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66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66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66">
        <f>AF404*V404</f>
        <v/>
      </c>
      <c r="AQ404" s="66">
        <f>AG404*W404</f>
        <v/>
      </c>
      <c r="AR404" s="66">
        <f>AH404*X404</f>
        <v/>
      </c>
      <c r="AS404" s="66">
        <f>AI404*Y404</f>
        <v/>
      </c>
      <c r="AT404" s="66">
        <f>AJ404*Z404</f>
        <v/>
      </c>
      <c r="AU404" s="66">
        <f>AK404*AA404</f>
        <v/>
      </c>
      <c r="AV404" s="66">
        <f>AL404*AB404</f>
        <v/>
      </c>
      <c r="AW404" s="66">
        <f>AM404*AC404</f>
        <v/>
      </c>
      <c r="AX404" s="66">
        <f>AN404*AD404</f>
        <v/>
      </c>
      <c r="AY404" s="66">
        <f>AO404*AE404</f>
        <v/>
      </c>
      <c r="AZ404" s="66">
        <f>INDEX(Projects[Automation Equipment],403)&amp;""</f>
        <v/>
      </c>
      <c r="BA404" s="66">
        <f>IF(OR(A404="",'Smart Search'!H13=0),"",MAX(0,BE404*BF404*MAX(0,1-BG404)))</f>
        <v/>
      </c>
      <c r="BB404" s="66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66">
        <f>IF('Smart Search'!G13=1,IFERROR(1/'Smart Search'!H13,0),0)</f>
        <v/>
      </c>
      <c r="BD404" s="66">
        <f>BB404*BC404</f>
        <v/>
      </c>
      <c r="BE404" s="66">
        <f>AP404+AQ404+AR404+AS404+AT404+AU404+AV404+AW404+AX404+AY404+BD404</f>
        <v/>
      </c>
      <c r="BF404" s="5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5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5">
        <f>IF(AND(A404&lt;&gt;"",OR('Smart Search'!$L$5="",'Smart Search'!$L$5="All",TRIM(BZ404)=TRIM('Smart Search'!$L$5)),OR(TRIM('Smart Search'!$L$6)="",TRIM('Smart Search'!$L$6)="All",ISNUMBER(SEARCH(SUBSTITUTE(SUBSTITUTE(SUBSTITUTE(TRIM('Smart Search'!$L$6),"~","~~"),"*","~*"),"?","~?"),CA404))),OR('Smart Search'!$L$7="",AND(CB404&lt;&gt;0,CB404='Smart Search'!$L$7)),OR('Smart Search'!$L$8="",'Smart Search'!$L$8="All",TRIM(CC404)=TRIM('Smart Search'!$L$8))),IF(BA404="","",BA404+ROW()*0.0000000001),"")</f>
        <v/>
      </c>
      <c r="BI404" s="5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5">
        <f>IF(A404="","",N(INDEX(Projects[Mech Inst],403)))</f>
        <v/>
      </c>
      <c r="BK404" s="5">
        <f>IF(A404="","",N(INDEX(Projects[Elec Inst],403)))</f>
        <v/>
      </c>
      <c r="BL404" s="5">
        <f>IF(A404="","",N(INDEX(Projects[Project Management],403)))</f>
        <v/>
      </c>
      <c r="BM404" s="5">
        <f>IF(A404="","",N(INDEX(Projects[Systems Eng],403)))</f>
        <v/>
      </c>
      <c r="BN404" s="5">
        <f>IF(A404="","",N(INDEX(Projects[Mechanical Eng],403)))</f>
        <v/>
      </c>
      <c r="BO404" s="5">
        <f>IF(A404="","",N(INDEX(Projects[Structural Engineering],403)))</f>
        <v/>
      </c>
      <c r="BP404" s="5">
        <f>IF(A404="","",N(INDEX(Projects[Site Sup],403)))</f>
        <v/>
      </c>
      <c r="BQ404" s="5">
        <f>IF(A404="","",N(INDEX(Projects[Controls Commissioning],403)))</f>
        <v/>
      </c>
      <c r="BR404" s="5">
        <f>IF(A404="","",N(INDEX(Projects[Systems Commissioning],403)))</f>
        <v/>
      </c>
      <c r="BS404" s="5">
        <f>IF(A404="","",N(INDEX(Projects[Service Commissioning],403)))</f>
        <v/>
      </c>
      <c r="BT404" s="5">
        <f>IF(A404="","",N(INDEX(Projects[Controls Eng],403)))</f>
        <v/>
      </c>
      <c r="BU404" s="5">
        <f>IF(A404="","",N(INDEX(Projects[Controls Purchase],403)))</f>
        <v/>
      </c>
      <c r="BV404" s="5">
        <f>IF(A404="","",N(INDEX(Projects[Software Eng],403)))</f>
        <v/>
      </c>
      <c r="BW404" s="5">
        <f>IF(A404="","",N(INDEX(Projects[Misc],403)))</f>
        <v/>
      </c>
      <c r="BX404" s="5">
        <f>IF(A404="","",SUM(BJ404:BW404))</f>
        <v/>
      </c>
      <c r="BY404" s="5">
        <f>IF(A404="","",IFERROR(IF(ISNUMBER(U404),U404,VALUE(SUBSTITUTE(SUBSTITUTE(SUBSTITUTE(UPPER(TRIM(U404)),"M",""),",","")," ",""))),0))</f>
        <v/>
      </c>
      <c r="BZ404" s="5">
        <f>INDEX(Projects[Solution Type],403)&amp;""</f>
        <v/>
      </c>
      <c r="CA404" s="5">
        <f>INDEX(Projects[Client / Region],403)&amp;""</f>
        <v/>
      </c>
      <c r="CB404" s="5">
        <f>INDEX(Projects[Year],403)</f>
        <v/>
      </c>
      <c r="CC404" s="5">
        <f>INDEX(Projects[Won?],403)&amp;""</f>
        <v/>
      </c>
      <c r="CD404" s="5">
        <f>INDEX(Projects[Value (USD M)],403)</f>
        <v/>
      </c>
    </row>
    <row r="405" ht="15" customHeight="1" s="74">
      <c r="A405" s="66">
        <f>INDEX(Projects[Project ID *],404)&amp;""</f>
        <v/>
      </c>
      <c r="B405" s="66">
        <f>INDEX(Projects[Project Name *],404)&amp;""</f>
        <v/>
      </c>
      <c r="C405" s="66">
        <f>INDEX(Projects[MS Shuttles],404)</f>
        <v/>
      </c>
      <c r="D405" s="66">
        <f>INDEX(Projects[MS Tote Locations],404)</f>
        <v/>
      </c>
      <c r="E405" s="66">
        <f>INDEX(Projects[AS Robots],404)</f>
        <v/>
      </c>
      <c r="F405" s="66">
        <f>INDEX(Projects[AS Tote Locations],404)</f>
        <v/>
      </c>
      <c r="G405" s="66">
        <f>INDEX(Projects[PS Shuttles],404)</f>
        <v/>
      </c>
      <c r="H405" s="66">
        <f>INDEX(Projects[PS Pallet Locations],404)</f>
        <v/>
      </c>
      <c r="I405" s="66">
        <f>INDEX(Projects[SRM Cranes],404)</f>
        <v/>
      </c>
      <c r="J405" s="66">
        <f>INDEX(Projects[SRM Pallet Locations],404)</f>
        <v/>
      </c>
      <c r="K405" s="66">
        <f>INDEX(Projects[Case Conv (m)],404)</f>
        <v/>
      </c>
      <c r="L405" s="66">
        <f>INDEX(Projects[Pallet Conv (m)],404)</f>
        <v/>
      </c>
      <c r="M405" s="66">
        <f>INDEX(Projects[Mech Eng (wks)],404)</f>
        <v/>
      </c>
      <c r="N405" s="66">
        <f>INDEX(Projects[Controls Eng (wks)],404)</f>
        <v/>
      </c>
      <c r="O405" s="66">
        <f>INDEX(Projects[Systems Eng (wks)],404)</f>
        <v/>
      </c>
      <c r="P405" s="66">
        <f>INDEX(Projects[Software Eng (wks)],404)</f>
        <v/>
      </c>
      <c r="Q405" s="66">
        <f>INDEX(Projects[M&amp;E Installation (wks)],404)</f>
        <v/>
      </c>
      <c r="R405" s="66">
        <f>INDEX(Projects[Commissioning (wks)],404)</f>
        <v/>
      </c>
      <c r="S405" s="66">
        <f>INDEX(Projects[Total Timeline (wks)],404)</f>
        <v/>
      </c>
      <c r="T405" s="66">
        <f>INDEX(Projects[Currency],404)&amp;""</f>
        <v/>
      </c>
      <c r="U405" s="67">
        <f>INDEX(Projects[Value (M)],404)</f>
        <v/>
      </c>
      <c r="V405" s="66">
        <f>IF('Smart Search'!B13=1,IFERROR(1/'Smart Search'!H13,0),0)</f>
        <v/>
      </c>
      <c r="W405" s="66">
        <f>IF('Smart Search'!B13=1,IFERROR(1/'Smart Search'!H13,0),0)</f>
        <v/>
      </c>
      <c r="X405" s="66">
        <f>IF('Smart Search'!C13=1,IFERROR(1/'Smart Search'!H13,0),0)</f>
        <v/>
      </c>
      <c r="Y405" s="66">
        <f>IF('Smart Search'!C13=1,IFERROR(1/'Smart Search'!H13,0),0)</f>
        <v/>
      </c>
      <c r="Z405" s="66">
        <f>IF('Smart Search'!D13=1,IFERROR(1/'Smart Search'!H13,0),0)</f>
        <v/>
      </c>
      <c r="AA405" s="66">
        <f>IF('Smart Search'!D13=1,IFERROR(1/'Smart Search'!H13,0),0)</f>
        <v/>
      </c>
      <c r="AB405" s="66">
        <f>IF('Smart Search'!E13=1,IFERROR(1/'Smart Search'!H13,0),0)</f>
        <v/>
      </c>
      <c r="AC405" s="66">
        <f>IF('Smart Search'!E13=1,IFERROR(1/'Smart Search'!H13,0),0)</f>
        <v/>
      </c>
      <c r="AD405" s="66">
        <f>IF('Smart Search'!F13=1,IFERROR(1/'Smart Search'!H13,0),0)</f>
        <v/>
      </c>
      <c r="AE405" s="66">
        <f>IF('Smart Search'!F13=1,IFERROR(1/'Smart Search'!H13,0),0)</f>
        <v/>
      </c>
      <c r="AF405" s="66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66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66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66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66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66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66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66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66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66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66">
        <f>AF405*V405</f>
        <v/>
      </c>
      <c r="AQ405" s="66">
        <f>AG405*W405</f>
        <v/>
      </c>
      <c r="AR405" s="66">
        <f>AH405*X405</f>
        <v/>
      </c>
      <c r="AS405" s="66">
        <f>AI405*Y405</f>
        <v/>
      </c>
      <c r="AT405" s="66">
        <f>AJ405*Z405</f>
        <v/>
      </c>
      <c r="AU405" s="66">
        <f>AK405*AA405</f>
        <v/>
      </c>
      <c r="AV405" s="66">
        <f>AL405*AB405</f>
        <v/>
      </c>
      <c r="AW405" s="66">
        <f>AM405*AC405</f>
        <v/>
      </c>
      <c r="AX405" s="66">
        <f>AN405*AD405</f>
        <v/>
      </c>
      <c r="AY405" s="66">
        <f>AO405*AE405</f>
        <v/>
      </c>
      <c r="AZ405" s="66">
        <f>INDEX(Projects[Automation Equipment],404)&amp;""</f>
        <v/>
      </c>
      <c r="BA405" s="66">
        <f>IF(OR(A405="",'Smart Search'!H13=0),"",MAX(0,BE405*BF405*MAX(0,1-BG405)))</f>
        <v/>
      </c>
      <c r="BB405" s="66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66">
        <f>IF('Smart Search'!G13=1,IFERROR(1/'Smart Search'!H13,0),0)</f>
        <v/>
      </c>
      <c r="BD405" s="66">
        <f>BB405*BC405</f>
        <v/>
      </c>
      <c r="BE405" s="66">
        <f>AP405+AQ405+AR405+AS405+AT405+AU405+AV405+AW405+AX405+AY405+BD405</f>
        <v/>
      </c>
      <c r="BF405" s="5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5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5">
        <f>IF(AND(A405&lt;&gt;"",OR('Smart Search'!$L$5="",'Smart Search'!$L$5="All",TRIM(BZ405)=TRIM('Smart Search'!$L$5)),OR(TRIM('Smart Search'!$L$6)="",TRIM('Smart Search'!$L$6)="All",ISNUMBER(SEARCH(SUBSTITUTE(SUBSTITUTE(SUBSTITUTE(TRIM('Smart Search'!$L$6),"~","~~"),"*","~*"),"?","~?"),CA405))),OR('Smart Search'!$L$7="",AND(CB405&lt;&gt;0,CB405='Smart Search'!$L$7)),OR('Smart Search'!$L$8="",'Smart Search'!$L$8="All",TRIM(CC405)=TRIM('Smart Search'!$L$8))),IF(BA405="","",BA405+ROW()*0.0000000001),"")</f>
        <v/>
      </c>
      <c r="BI405" s="5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5">
        <f>IF(A405="","",N(INDEX(Projects[Mech Inst],404)))</f>
        <v/>
      </c>
      <c r="BK405" s="5">
        <f>IF(A405="","",N(INDEX(Projects[Elec Inst],404)))</f>
        <v/>
      </c>
      <c r="BL405" s="5">
        <f>IF(A405="","",N(INDEX(Projects[Project Management],404)))</f>
        <v/>
      </c>
      <c r="BM405" s="5">
        <f>IF(A405="","",N(INDEX(Projects[Systems Eng],404)))</f>
        <v/>
      </c>
      <c r="BN405" s="5">
        <f>IF(A405="","",N(INDEX(Projects[Mechanical Eng],404)))</f>
        <v/>
      </c>
      <c r="BO405" s="5">
        <f>IF(A405="","",N(INDEX(Projects[Structural Engineering],404)))</f>
        <v/>
      </c>
      <c r="BP405" s="5">
        <f>IF(A405="","",N(INDEX(Projects[Site Sup],404)))</f>
        <v/>
      </c>
      <c r="BQ405" s="5">
        <f>IF(A405="","",N(INDEX(Projects[Controls Commissioning],404)))</f>
        <v/>
      </c>
      <c r="BR405" s="5">
        <f>IF(A405="","",N(INDEX(Projects[Systems Commissioning],404)))</f>
        <v/>
      </c>
      <c r="BS405" s="5">
        <f>IF(A405="","",N(INDEX(Projects[Service Commissioning],404)))</f>
        <v/>
      </c>
      <c r="BT405" s="5">
        <f>IF(A405="","",N(INDEX(Projects[Controls Eng],404)))</f>
        <v/>
      </c>
      <c r="BU405" s="5">
        <f>IF(A405="","",N(INDEX(Projects[Controls Purchase],404)))</f>
        <v/>
      </c>
      <c r="BV405" s="5">
        <f>IF(A405="","",N(INDEX(Projects[Software Eng],404)))</f>
        <v/>
      </c>
      <c r="BW405" s="5">
        <f>IF(A405="","",N(INDEX(Projects[Misc],404)))</f>
        <v/>
      </c>
      <c r="BX405" s="5">
        <f>IF(A405="","",SUM(BJ405:BW405))</f>
        <v/>
      </c>
      <c r="BY405" s="5">
        <f>IF(A405="","",IFERROR(IF(ISNUMBER(U405),U405,VALUE(SUBSTITUTE(SUBSTITUTE(SUBSTITUTE(UPPER(TRIM(U405)),"M",""),",","")," ",""))),0))</f>
        <v/>
      </c>
      <c r="BZ405" s="5">
        <f>INDEX(Projects[Solution Type],404)&amp;""</f>
        <v/>
      </c>
      <c r="CA405" s="5">
        <f>INDEX(Projects[Client / Region],404)&amp;""</f>
        <v/>
      </c>
      <c r="CB405" s="5">
        <f>INDEX(Projects[Year],404)</f>
        <v/>
      </c>
      <c r="CC405" s="5">
        <f>INDEX(Projects[Won?],404)&amp;""</f>
        <v/>
      </c>
      <c r="CD405" s="5">
        <f>INDEX(Projects[Value (USD M)],404)</f>
        <v/>
      </c>
    </row>
    <row r="406" ht="15" customHeight="1" s="74">
      <c r="A406" s="66">
        <f>INDEX(Projects[Project ID *],405)&amp;""</f>
        <v/>
      </c>
      <c r="B406" s="66">
        <f>INDEX(Projects[Project Name *],405)&amp;""</f>
        <v/>
      </c>
      <c r="C406" s="66">
        <f>INDEX(Projects[MS Shuttles],405)</f>
        <v/>
      </c>
      <c r="D406" s="66">
        <f>INDEX(Projects[MS Tote Locations],405)</f>
        <v/>
      </c>
      <c r="E406" s="66">
        <f>INDEX(Projects[AS Robots],405)</f>
        <v/>
      </c>
      <c r="F406" s="66">
        <f>INDEX(Projects[AS Tote Locations],405)</f>
        <v/>
      </c>
      <c r="G406" s="66">
        <f>INDEX(Projects[PS Shuttles],405)</f>
        <v/>
      </c>
      <c r="H406" s="66">
        <f>INDEX(Projects[PS Pallet Locations],405)</f>
        <v/>
      </c>
      <c r="I406" s="66">
        <f>INDEX(Projects[SRM Cranes],405)</f>
        <v/>
      </c>
      <c r="J406" s="66">
        <f>INDEX(Projects[SRM Pallet Locations],405)</f>
        <v/>
      </c>
      <c r="K406" s="66">
        <f>INDEX(Projects[Case Conv (m)],405)</f>
        <v/>
      </c>
      <c r="L406" s="66">
        <f>INDEX(Projects[Pallet Conv (m)],405)</f>
        <v/>
      </c>
      <c r="M406" s="66">
        <f>INDEX(Projects[Mech Eng (wks)],405)</f>
        <v/>
      </c>
      <c r="N406" s="66">
        <f>INDEX(Projects[Controls Eng (wks)],405)</f>
        <v/>
      </c>
      <c r="O406" s="66">
        <f>INDEX(Projects[Systems Eng (wks)],405)</f>
        <v/>
      </c>
      <c r="P406" s="66">
        <f>INDEX(Projects[Software Eng (wks)],405)</f>
        <v/>
      </c>
      <c r="Q406" s="66">
        <f>INDEX(Projects[M&amp;E Installation (wks)],405)</f>
        <v/>
      </c>
      <c r="R406" s="66">
        <f>INDEX(Projects[Commissioning (wks)],405)</f>
        <v/>
      </c>
      <c r="S406" s="66">
        <f>INDEX(Projects[Total Timeline (wks)],405)</f>
        <v/>
      </c>
      <c r="T406" s="66">
        <f>INDEX(Projects[Currency],405)&amp;""</f>
        <v/>
      </c>
      <c r="U406" s="67">
        <f>INDEX(Projects[Value (M)],405)</f>
        <v/>
      </c>
      <c r="V406" s="66">
        <f>IF('Smart Search'!B13=1,IFERROR(1/'Smart Search'!H13,0),0)</f>
        <v/>
      </c>
      <c r="W406" s="66">
        <f>IF('Smart Search'!B13=1,IFERROR(1/'Smart Search'!H13,0),0)</f>
        <v/>
      </c>
      <c r="X406" s="66">
        <f>IF('Smart Search'!C13=1,IFERROR(1/'Smart Search'!H13,0),0)</f>
        <v/>
      </c>
      <c r="Y406" s="66">
        <f>IF('Smart Search'!C13=1,IFERROR(1/'Smart Search'!H13,0),0)</f>
        <v/>
      </c>
      <c r="Z406" s="66">
        <f>IF('Smart Search'!D13=1,IFERROR(1/'Smart Search'!H13,0),0)</f>
        <v/>
      </c>
      <c r="AA406" s="66">
        <f>IF('Smart Search'!D13=1,IFERROR(1/'Smart Search'!H13,0),0)</f>
        <v/>
      </c>
      <c r="AB406" s="66">
        <f>IF('Smart Search'!E13=1,IFERROR(1/'Smart Search'!H13,0),0)</f>
        <v/>
      </c>
      <c r="AC406" s="66">
        <f>IF('Smart Search'!E13=1,IFERROR(1/'Smart Search'!H13,0),0)</f>
        <v/>
      </c>
      <c r="AD406" s="66">
        <f>IF('Smart Search'!F13=1,IFERROR(1/'Smart Search'!H13,0),0)</f>
        <v/>
      </c>
      <c r="AE406" s="66">
        <f>IF('Smart Search'!F13=1,IFERROR(1/'Smart Search'!H13,0),0)</f>
        <v/>
      </c>
      <c r="AF406" s="66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66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66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66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66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66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66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66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66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66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66">
        <f>AF406*V406</f>
        <v/>
      </c>
      <c r="AQ406" s="66">
        <f>AG406*W406</f>
        <v/>
      </c>
      <c r="AR406" s="66">
        <f>AH406*X406</f>
        <v/>
      </c>
      <c r="AS406" s="66">
        <f>AI406*Y406</f>
        <v/>
      </c>
      <c r="AT406" s="66">
        <f>AJ406*Z406</f>
        <v/>
      </c>
      <c r="AU406" s="66">
        <f>AK406*AA406</f>
        <v/>
      </c>
      <c r="AV406" s="66">
        <f>AL406*AB406</f>
        <v/>
      </c>
      <c r="AW406" s="66">
        <f>AM406*AC406</f>
        <v/>
      </c>
      <c r="AX406" s="66">
        <f>AN406*AD406</f>
        <v/>
      </c>
      <c r="AY406" s="66">
        <f>AO406*AE406</f>
        <v/>
      </c>
      <c r="AZ406" s="66">
        <f>INDEX(Projects[Automation Equipment],405)&amp;""</f>
        <v/>
      </c>
      <c r="BA406" s="66">
        <f>IF(OR(A406="",'Smart Search'!H13=0),"",MAX(0,BE406*BF406*MAX(0,1-BG406)))</f>
        <v/>
      </c>
      <c r="BB406" s="66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66">
        <f>IF('Smart Search'!G13=1,IFERROR(1/'Smart Search'!H13,0),0)</f>
        <v/>
      </c>
      <c r="BD406" s="66">
        <f>BB406*BC406</f>
        <v/>
      </c>
      <c r="BE406" s="66">
        <f>AP406+AQ406+AR406+AS406+AT406+AU406+AV406+AW406+AX406+AY406+BD406</f>
        <v/>
      </c>
      <c r="BF406" s="5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5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5">
        <f>IF(AND(A406&lt;&gt;"",OR('Smart Search'!$L$5="",'Smart Search'!$L$5="All",TRIM(BZ406)=TRIM('Smart Search'!$L$5)),OR(TRIM('Smart Search'!$L$6)="",TRIM('Smart Search'!$L$6)="All",ISNUMBER(SEARCH(SUBSTITUTE(SUBSTITUTE(SUBSTITUTE(TRIM('Smart Search'!$L$6),"~","~~"),"*","~*"),"?","~?"),CA406))),OR('Smart Search'!$L$7="",AND(CB406&lt;&gt;0,CB406='Smart Search'!$L$7)),OR('Smart Search'!$L$8="",'Smart Search'!$L$8="All",TRIM(CC406)=TRIM('Smart Search'!$L$8))),IF(BA406="","",BA406+ROW()*0.0000000001),"")</f>
        <v/>
      </c>
      <c r="BI406" s="5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5">
        <f>IF(A406="","",N(INDEX(Projects[Mech Inst],405)))</f>
        <v/>
      </c>
      <c r="BK406" s="5">
        <f>IF(A406="","",N(INDEX(Projects[Elec Inst],405)))</f>
        <v/>
      </c>
      <c r="BL406" s="5">
        <f>IF(A406="","",N(INDEX(Projects[Project Management],405)))</f>
        <v/>
      </c>
      <c r="BM406" s="5">
        <f>IF(A406="","",N(INDEX(Projects[Systems Eng],405)))</f>
        <v/>
      </c>
      <c r="BN406" s="5">
        <f>IF(A406="","",N(INDEX(Projects[Mechanical Eng],405)))</f>
        <v/>
      </c>
      <c r="BO406" s="5">
        <f>IF(A406="","",N(INDEX(Projects[Structural Engineering],405)))</f>
        <v/>
      </c>
      <c r="BP406" s="5">
        <f>IF(A406="","",N(INDEX(Projects[Site Sup],405)))</f>
        <v/>
      </c>
      <c r="BQ406" s="5">
        <f>IF(A406="","",N(INDEX(Projects[Controls Commissioning],405)))</f>
        <v/>
      </c>
      <c r="BR406" s="5">
        <f>IF(A406="","",N(INDEX(Projects[Systems Commissioning],405)))</f>
        <v/>
      </c>
      <c r="BS406" s="5">
        <f>IF(A406="","",N(INDEX(Projects[Service Commissioning],405)))</f>
        <v/>
      </c>
      <c r="BT406" s="5">
        <f>IF(A406="","",N(INDEX(Projects[Controls Eng],405)))</f>
        <v/>
      </c>
      <c r="BU406" s="5">
        <f>IF(A406="","",N(INDEX(Projects[Controls Purchase],405)))</f>
        <v/>
      </c>
      <c r="BV406" s="5">
        <f>IF(A406="","",N(INDEX(Projects[Software Eng],405)))</f>
        <v/>
      </c>
      <c r="BW406" s="5">
        <f>IF(A406="","",N(INDEX(Projects[Misc],405)))</f>
        <v/>
      </c>
      <c r="BX406" s="5">
        <f>IF(A406="","",SUM(BJ406:BW406))</f>
        <v/>
      </c>
      <c r="BY406" s="5">
        <f>IF(A406="","",IFERROR(IF(ISNUMBER(U406),U406,VALUE(SUBSTITUTE(SUBSTITUTE(SUBSTITUTE(UPPER(TRIM(U406)),"M",""),",","")," ",""))),0))</f>
        <v/>
      </c>
      <c r="BZ406" s="5">
        <f>INDEX(Projects[Solution Type],405)&amp;""</f>
        <v/>
      </c>
      <c r="CA406" s="5">
        <f>INDEX(Projects[Client / Region],405)&amp;""</f>
        <v/>
      </c>
      <c r="CB406" s="5">
        <f>INDEX(Projects[Year],405)</f>
        <v/>
      </c>
      <c r="CC406" s="5">
        <f>INDEX(Projects[Won?],405)&amp;""</f>
        <v/>
      </c>
      <c r="CD406" s="5">
        <f>INDEX(Projects[Value (USD M)],405)</f>
        <v/>
      </c>
    </row>
    <row r="407" ht="15" customHeight="1" s="74">
      <c r="A407" s="66">
        <f>INDEX(Projects[Project ID *],406)&amp;""</f>
        <v/>
      </c>
      <c r="B407" s="66">
        <f>INDEX(Projects[Project Name *],406)&amp;""</f>
        <v/>
      </c>
      <c r="C407" s="66">
        <f>INDEX(Projects[MS Shuttles],406)</f>
        <v/>
      </c>
      <c r="D407" s="66">
        <f>INDEX(Projects[MS Tote Locations],406)</f>
        <v/>
      </c>
      <c r="E407" s="66">
        <f>INDEX(Projects[AS Robots],406)</f>
        <v/>
      </c>
      <c r="F407" s="66">
        <f>INDEX(Projects[AS Tote Locations],406)</f>
        <v/>
      </c>
      <c r="G407" s="66">
        <f>INDEX(Projects[PS Shuttles],406)</f>
        <v/>
      </c>
      <c r="H407" s="66">
        <f>INDEX(Projects[PS Pallet Locations],406)</f>
        <v/>
      </c>
      <c r="I407" s="66">
        <f>INDEX(Projects[SRM Cranes],406)</f>
        <v/>
      </c>
      <c r="J407" s="66">
        <f>INDEX(Projects[SRM Pallet Locations],406)</f>
        <v/>
      </c>
      <c r="K407" s="66">
        <f>INDEX(Projects[Case Conv (m)],406)</f>
        <v/>
      </c>
      <c r="L407" s="66">
        <f>INDEX(Projects[Pallet Conv (m)],406)</f>
        <v/>
      </c>
      <c r="M407" s="66">
        <f>INDEX(Projects[Mech Eng (wks)],406)</f>
        <v/>
      </c>
      <c r="N407" s="66">
        <f>INDEX(Projects[Controls Eng (wks)],406)</f>
        <v/>
      </c>
      <c r="O407" s="66">
        <f>INDEX(Projects[Systems Eng (wks)],406)</f>
        <v/>
      </c>
      <c r="P407" s="66">
        <f>INDEX(Projects[Software Eng (wks)],406)</f>
        <v/>
      </c>
      <c r="Q407" s="66">
        <f>INDEX(Projects[M&amp;E Installation (wks)],406)</f>
        <v/>
      </c>
      <c r="R407" s="66">
        <f>INDEX(Projects[Commissioning (wks)],406)</f>
        <v/>
      </c>
      <c r="S407" s="66">
        <f>INDEX(Projects[Total Timeline (wks)],406)</f>
        <v/>
      </c>
      <c r="T407" s="66">
        <f>INDEX(Projects[Currency],406)&amp;""</f>
        <v/>
      </c>
      <c r="U407" s="67">
        <f>INDEX(Projects[Value (M)],406)</f>
        <v/>
      </c>
      <c r="V407" s="66">
        <f>IF('Smart Search'!B13=1,IFERROR(1/'Smart Search'!H13,0),0)</f>
        <v/>
      </c>
      <c r="W407" s="66">
        <f>IF('Smart Search'!B13=1,IFERROR(1/'Smart Search'!H13,0),0)</f>
        <v/>
      </c>
      <c r="X407" s="66">
        <f>IF('Smart Search'!C13=1,IFERROR(1/'Smart Search'!H13,0),0)</f>
        <v/>
      </c>
      <c r="Y407" s="66">
        <f>IF('Smart Search'!C13=1,IFERROR(1/'Smart Search'!H13,0),0)</f>
        <v/>
      </c>
      <c r="Z407" s="66">
        <f>IF('Smart Search'!D13=1,IFERROR(1/'Smart Search'!H13,0),0)</f>
        <v/>
      </c>
      <c r="AA407" s="66">
        <f>IF('Smart Search'!D13=1,IFERROR(1/'Smart Search'!H13,0),0)</f>
        <v/>
      </c>
      <c r="AB407" s="66">
        <f>IF('Smart Search'!E13=1,IFERROR(1/'Smart Search'!H13,0),0)</f>
        <v/>
      </c>
      <c r="AC407" s="66">
        <f>IF('Smart Search'!E13=1,IFERROR(1/'Smart Search'!H13,0),0)</f>
        <v/>
      </c>
      <c r="AD407" s="66">
        <f>IF('Smart Search'!F13=1,IFERROR(1/'Smart Search'!H13,0),0)</f>
        <v/>
      </c>
      <c r="AE407" s="66">
        <f>IF('Smart Search'!F13=1,IFERROR(1/'Smart Search'!H13,0),0)</f>
        <v/>
      </c>
      <c r="AF407" s="66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66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66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66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66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66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66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66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66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66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66">
        <f>AF407*V407</f>
        <v/>
      </c>
      <c r="AQ407" s="66">
        <f>AG407*W407</f>
        <v/>
      </c>
      <c r="AR407" s="66">
        <f>AH407*X407</f>
        <v/>
      </c>
      <c r="AS407" s="66">
        <f>AI407*Y407</f>
        <v/>
      </c>
      <c r="AT407" s="66">
        <f>AJ407*Z407</f>
        <v/>
      </c>
      <c r="AU407" s="66">
        <f>AK407*AA407</f>
        <v/>
      </c>
      <c r="AV407" s="66">
        <f>AL407*AB407</f>
        <v/>
      </c>
      <c r="AW407" s="66">
        <f>AM407*AC407</f>
        <v/>
      </c>
      <c r="AX407" s="66">
        <f>AN407*AD407</f>
        <v/>
      </c>
      <c r="AY407" s="66">
        <f>AO407*AE407</f>
        <v/>
      </c>
      <c r="AZ407" s="66">
        <f>INDEX(Projects[Automation Equipment],406)&amp;""</f>
        <v/>
      </c>
      <c r="BA407" s="66">
        <f>IF(OR(A407="",'Smart Search'!H13=0),"",MAX(0,BE407*BF407*MAX(0,1-BG407)))</f>
        <v/>
      </c>
      <c r="BB407" s="66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66">
        <f>IF('Smart Search'!G13=1,IFERROR(1/'Smart Search'!H13,0),0)</f>
        <v/>
      </c>
      <c r="BD407" s="66">
        <f>BB407*BC407</f>
        <v/>
      </c>
      <c r="BE407" s="66">
        <f>AP407+AQ407+AR407+AS407+AT407+AU407+AV407+AW407+AX407+AY407+BD407</f>
        <v/>
      </c>
      <c r="BF407" s="5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5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5">
        <f>IF(AND(A407&lt;&gt;"",OR('Smart Search'!$L$5="",'Smart Search'!$L$5="All",TRIM(BZ407)=TRIM('Smart Search'!$L$5)),OR(TRIM('Smart Search'!$L$6)="",TRIM('Smart Search'!$L$6)="All",ISNUMBER(SEARCH(SUBSTITUTE(SUBSTITUTE(SUBSTITUTE(TRIM('Smart Search'!$L$6),"~","~~"),"*","~*"),"?","~?"),CA407))),OR('Smart Search'!$L$7="",AND(CB407&lt;&gt;0,CB407='Smart Search'!$L$7)),OR('Smart Search'!$L$8="",'Smart Search'!$L$8="All",TRIM(CC407)=TRIM('Smart Search'!$L$8))),IF(BA407="","",BA407+ROW()*0.0000000001),"")</f>
        <v/>
      </c>
      <c r="BI407" s="5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5">
        <f>IF(A407="","",N(INDEX(Projects[Mech Inst],406)))</f>
        <v/>
      </c>
      <c r="BK407" s="5">
        <f>IF(A407="","",N(INDEX(Projects[Elec Inst],406)))</f>
        <v/>
      </c>
      <c r="BL407" s="5">
        <f>IF(A407="","",N(INDEX(Projects[Project Management],406)))</f>
        <v/>
      </c>
      <c r="BM407" s="5">
        <f>IF(A407="","",N(INDEX(Projects[Systems Eng],406)))</f>
        <v/>
      </c>
      <c r="BN407" s="5">
        <f>IF(A407="","",N(INDEX(Projects[Mechanical Eng],406)))</f>
        <v/>
      </c>
      <c r="BO407" s="5">
        <f>IF(A407="","",N(INDEX(Projects[Structural Engineering],406)))</f>
        <v/>
      </c>
      <c r="BP407" s="5">
        <f>IF(A407="","",N(INDEX(Projects[Site Sup],406)))</f>
        <v/>
      </c>
      <c r="BQ407" s="5">
        <f>IF(A407="","",N(INDEX(Projects[Controls Commissioning],406)))</f>
        <v/>
      </c>
      <c r="BR407" s="5">
        <f>IF(A407="","",N(INDEX(Projects[Systems Commissioning],406)))</f>
        <v/>
      </c>
      <c r="BS407" s="5">
        <f>IF(A407="","",N(INDEX(Projects[Service Commissioning],406)))</f>
        <v/>
      </c>
      <c r="BT407" s="5">
        <f>IF(A407="","",N(INDEX(Projects[Controls Eng],406)))</f>
        <v/>
      </c>
      <c r="BU407" s="5">
        <f>IF(A407="","",N(INDEX(Projects[Controls Purchase],406)))</f>
        <v/>
      </c>
      <c r="BV407" s="5">
        <f>IF(A407="","",N(INDEX(Projects[Software Eng],406)))</f>
        <v/>
      </c>
      <c r="BW407" s="5">
        <f>IF(A407="","",N(INDEX(Projects[Misc],406)))</f>
        <v/>
      </c>
      <c r="BX407" s="5">
        <f>IF(A407="","",SUM(BJ407:BW407))</f>
        <v/>
      </c>
      <c r="BY407" s="5">
        <f>IF(A407="","",IFERROR(IF(ISNUMBER(U407),U407,VALUE(SUBSTITUTE(SUBSTITUTE(SUBSTITUTE(UPPER(TRIM(U407)),"M",""),",","")," ",""))),0))</f>
        <v/>
      </c>
      <c r="BZ407" s="5">
        <f>INDEX(Projects[Solution Type],406)&amp;""</f>
        <v/>
      </c>
      <c r="CA407" s="5">
        <f>INDEX(Projects[Client / Region],406)&amp;""</f>
        <v/>
      </c>
      <c r="CB407" s="5">
        <f>INDEX(Projects[Year],406)</f>
        <v/>
      </c>
      <c r="CC407" s="5">
        <f>INDEX(Projects[Won?],406)&amp;""</f>
        <v/>
      </c>
      <c r="CD407" s="5">
        <f>INDEX(Projects[Value (USD M)],406)</f>
        <v/>
      </c>
    </row>
    <row r="408" ht="15" customHeight="1" s="74">
      <c r="A408" s="66">
        <f>INDEX(Projects[Project ID *],407)&amp;""</f>
        <v/>
      </c>
      <c r="B408" s="66">
        <f>INDEX(Projects[Project Name *],407)&amp;""</f>
        <v/>
      </c>
      <c r="C408" s="66">
        <f>INDEX(Projects[MS Shuttles],407)</f>
        <v/>
      </c>
      <c r="D408" s="66">
        <f>INDEX(Projects[MS Tote Locations],407)</f>
        <v/>
      </c>
      <c r="E408" s="66">
        <f>INDEX(Projects[AS Robots],407)</f>
        <v/>
      </c>
      <c r="F408" s="66">
        <f>INDEX(Projects[AS Tote Locations],407)</f>
        <v/>
      </c>
      <c r="G408" s="66">
        <f>INDEX(Projects[PS Shuttles],407)</f>
        <v/>
      </c>
      <c r="H408" s="66">
        <f>INDEX(Projects[PS Pallet Locations],407)</f>
        <v/>
      </c>
      <c r="I408" s="66">
        <f>INDEX(Projects[SRM Cranes],407)</f>
        <v/>
      </c>
      <c r="J408" s="66">
        <f>INDEX(Projects[SRM Pallet Locations],407)</f>
        <v/>
      </c>
      <c r="K408" s="66">
        <f>INDEX(Projects[Case Conv (m)],407)</f>
        <v/>
      </c>
      <c r="L408" s="66">
        <f>INDEX(Projects[Pallet Conv (m)],407)</f>
        <v/>
      </c>
      <c r="M408" s="66">
        <f>INDEX(Projects[Mech Eng (wks)],407)</f>
        <v/>
      </c>
      <c r="N408" s="66">
        <f>INDEX(Projects[Controls Eng (wks)],407)</f>
        <v/>
      </c>
      <c r="O408" s="66">
        <f>INDEX(Projects[Systems Eng (wks)],407)</f>
        <v/>
      </c>
      <c r="P408" s="66">
        <f>INDEX(Projects[Software Eng (wks)],407)</f>
        <v/>
      </c>
      <c r="Q408" s="66">
        <f>INDEX(Projects[M&amp;E Installation (wks)],407)</f>
        <v/>
      </c>
      <c r="R408" s="66">
        <f>INDEX(Projects[Commissioning (wks)],407)</f>
        <v/>
      </c>
      <c r="S408" s="66">
        <f>INDEX(Projects[Total Timeline (wks)],407)</f>
        <v/>
      </c>
      <c r="T408" s="66">
        <f>INDEX(Projects[Currency],407)&amp;""</f>
        <v/>
      </c>
      <c r="U408" s="67">
        <f>INDEX(Projects[Value (M)],407)</f>
        <v/>
      </c>
      <c r="V408" s="66">
        <f>IF('Smart Search'!B13=1,IFERROR(1/'Smart Search'!H13,0),0)</f>
        <v/>
      </c>
      <c r="W408" s="66">
        <f>IF('Smart Search'!B13=1,IFERROR(1/'Smart Search'!H13,0),0)</f>
        <v/>
      </c>
      <c r="X408" s="66">
        <f>IF('Smart Search'!C13=1,IFERROR(1/'Smart Search'!H13,0),0)</f>
        <v/>
      </c>
      <c r="Y408" s="66">
        <f>IF('Smart Search'!C13=1,IFERROR(1/'Smart Search'!H13,0),0)</f>
        <v/>
      </c>
      <c r="Z408" s="66">
        <f>IF('Smart Search'!D13=1,IFERROR(1/'Smart Search'!H13,0),0)</f>
        <v/>
      </c>
      <c r="AA408" s="66">
        <f>IF('Smart Search'!D13=1,IFERROR(1/'Smart Search'!H13,0),0)</f>
        <v/>
      </c>
      <c r="AB408" s="66">
        <f>IF('Smart Search'!E13=1,IFERROR(1/'Smart Search'!H13,0),0)</f>
        <v/>
      </c>
      <c r="AC408" s="66">
        <f>IF('Smart Search'!E13=1,IFERROR(1/'Smart Search'!H13,0),0)</f>
        <v/>
      </c>
      <c r="AD408" s="66">
        <f>IF('Smart Search'!F13=1,IFERROR(1/'Smart Search'!H13,0),0)</f>
        <v/>
      </c>
      <c r="AE408" s="66">
        <f>IF('Smart Search'!F13=1,IFERROR(1/'Smart Search'!H13,0),0)</f>
        <v/>
      </c>
      <c r="AF408" s="66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66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66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66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66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66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66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66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66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66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66">
        <f>AF408*V408</f>
        <v/>
      </c>
      <c r="AQ408" s="66">
        <f>AG408*W408</f>
        <v/>
      </c>
      <c r="AR408" s="66">
        <f>AH408*X408</f>
        <v/>
      </c>
      <c r="AS408" s="66">
        <f>AI408*Y408</f>
        <v/>
      </c>
      <c r="AT408" s="66">
        <f>AJ408*Z408</f>
        <v/>
      </c>
      <c r="AU408" s="66">
        <f>AK408*AA408</f>
        <v/>
      </c>
      <c r="AV408" s="66">
        <f>AL408*AB408</f>
        <v/>
      </c>
      <c r="AW408" s="66">
        <f>AM408*AC408</f>
        <v/>
      </c>
      <c r="AX408" s="66">
        <f>AN408*AD408</f>
        <v/>
      </c>
      <c r="AY408" s="66">
        <f>AO408*AE408</f>
        <v/>
      </c>
      <c r="AZ408" s="66">
        <f>INDEX(Projects[Automation Equipment],407)&amp;""</f>
        <v/>
      </c>
      <c r="BA408" s="66">
        <f>IF(OR(A408="",'Smart Search'!H13=0),"",MAX(0,BE408*BF408*MAX(0,1-BG408)))</f>
        <v/>
      </c>
      <c r="BB408" s="66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66">
        <f>IF('Smart Search'!G13=1,IFERROR(1/'Smart Search'!H13,0),0)</f>
        <v/>
      </c>
      <c r="BD408" s="66">
        <f>BB408*BC408</f>
        <v/>
      </c>
      <c r="BE408" s="66">
        <f>AP408+AQ408+AR408+AS408+AT408+AU408+AV408+AW408+AX408+AY408+BD408</f>
        <v/>
      </c>
      <c r="BF408" s="5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5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5">
        <f>IF(AND(A408&lt;&gt;"",OR('Smart Search'!$L$5="",'Smart Search'!$L$5="All",TRIM(BZ408)=TRIM('Smart Search'!$L$5)),OR(TRIM('Smart Search'!$L$6)="",TRIM('Smart Search'!$L$6)="All",ISNUMBER(SEARCH(SUBSTITUTE(SUBSTITUTE(SUBSTITUTE(TRIM('Smart Search'!$L$6),"~","~~"),"*","~*"),"?","~?"),CA408))),OR('Smart Search'!$L$7="",AND(CB408&lt;&gt;0,CB408='Smart Search'!$L$7)),OR('Smart Search'!$L$8="",'Smart Search'!$L$8="All",TRIM(CC408)=TRIM('Smart Search'!$L$8))),IF(BA408="","",BA408+ROW()*0.0000000001),"")</f>
        <v/>
      </c>
      <c r="BI408" s="5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5">
        <f>IF(A408="","",N(INDEX(Projects[Mech Inst],407)))</f>
        <v/>
      </c>
      <c r="BK408" s="5">
        <f>IF(A408="","",N(INDEX(Projects[Elec Inst],407)))</f>
        <v/>
      </c>
      <c r="BL408" s="5">
        <f>IF(A408="","",N(INDEX(Projects[Project Management],407)))</f>
        <v/>
      </c>
      <c r="BM408" s="5">
        <f>IF(A408="","",N(INDEX(Projects[Systems Eng],407)))</f>
        <v/>
      </c>
      <c r="BN408" s="5">
        <f>IF(A408="","",N(INDEX(Projects[Mechanical Eng],407)))</f>
        <v/>
      </c>
      <c r="BO408" s="5">
        <f>IF(A408="","",N(INDEX(Projects[Structural Engineering],407)))</f>
        <v/>
      </c>
      <c r="BP408" s="5">
        <f>IF(A408="","",N(INDEX(Projects[Site Sup],407)))</f>
        <v/>
      </c>
      <c r="BQ408" s="5">
        <f>IF(A408="","",N(INDEX(Projects[Controls Commissioning],407)))</f>
        <v/>
      </c>
      <c r="BR408" s="5">
        <f>IF(A408="","",N(INDEX(Projects[Systems Commissioning],407)))</f>
        <v/>
      </c>
      <c r="BS408" s="5">
        <f>IF(A408="","",N(INDEX(Projects[Service Commissioning],407)))</f>
        <v/>
      </c>
      <c r="BT408" s="5">
        <f>IF(A408="","",N(INDEX(Projects[Controls Eng],407)))</f>
        <v/>
      </c>
      <c r="BU408" s="5">
        <f>IF(A408="","",N(INDEX(Projects[Controls Purchase],407)))</f>
        <v/>
      </c>
      <c r="BV408" s="5">
        <f>IF(A408="","",N(INDEX(Projects[Software Eng],407)))</f>
        <v/>
      </c>
      <c r="BW408" s="5">
        <f>IF(A408="","",N(INDEX(Projects[Misc],407)))</f>
        <v/>
      </c>
      <c r="BX408" s="5">
        <f>IF(A408="","",SUM(BJ408:BW408))</f>
        <v/>
      </c>
      <c r="BY408" s="5">
        <f>IF(A408="","",IFERROR(IF(ISNUMBER(U408),U408,VALUE(SUBSTITUTE(SUBSTITUTE(SUBSTITUTE(UPPER(TRIM(U408)),"M",""),",","")," ",""))),0))</f>
        <v/>
      </c>
      <c r="BZ408" s="5">
        <f>INDEX(Projects[Solution Type],407)&amp;""</f>
        <v/>
      </c>
      <c r="CA408" s="5">
        <f>INDEX(Projects[Client / Region],407)&amp;""</f>
        <v/>
      </c>
      <c r="CB408" s="5">
        <f>INDEX(Projects[Year],407)</f>
        <v/>
      </c>
      <c r="CC408" s="5">
        <f>INDEX(Projects[Won?],407)&amp;""</f>
        <v/>
      </c>
      <c r="CD408" s="5">
        <f>INDEX(Projects[Value (USD M)],407)</f>
        <v/>
      </c>
    </row>
    <row r="409" ht="15" customHeight="1" s="74">
      <c r="A409" s="66">
        <f>INDEX(Projects[Project ID *],408)&amp;""</f>
        <v/>
      </c>
      <c r="B409" s="66">
        <f>INDEX(Projects[Project Name *],408)&amp;""</f>
        <v/>
      </c>
      <c r="C409" s="66">
        <f>INDEX(Projects[MS Shuttles],408)</f>
        <v/>
      </c>
      <c r="D409" s="66">
        <f>INDEX(Projects[MS Tote Locations],408)</f>
        <v/>
      </c>
      <c r="E409" s="66">
        <f>INDEX(Projects[AS Robots],408)</f>
        <v/>
      </c>
      <c r="F409" s="66">
        <f>INDEX(Projects[AS Tote Locations],408)</f>
        <v/>
      </c>
      <c r="G409" s="66">
        <f>INDEX(Projects[PS Shuttles],408)</f>
        <v/>
      </c>
      <c r="H409" s="66">
        <f>INDEX(Projects[PS Pallet Locations],408)</f>
        <v/>
      </c>
      <c r="I409" s="66">
        <f>INDEX(Projects[SRM Cranes],408)</f>
        <v/>
      </c>
      <c r="J409" s="66">
        <f>INDEX(Projects[SRM Pallet Locations],408)</f>
        <v/>
      </c>
      <c r="K409" s="66">
        <f>INDEX(Projects[Case Conv (m)],408)</f>
        <v/>
      </c>
      <c r="L409" s="66">
        <f>INDEX(Projects[Pallet Conv (m)],408)</f>
        <v/>
      </c>
      <c r="M409" s="66">
        <f>INDEX(Projects[Mech Eng (wks)],408)</f>
        <v/>
      </c>
      <c r="N409" s="66">
        <f>INDEX(Projects[Controls Eng (wks)],408)</f>
        <v/>
      </c>
      <c r="O409" s="66">
        <f>INDEX(Projects[Systems Eng (wks)],408)</f>
        <v/>
      </c>
      <c r="P409" s="66">
        <f>INDEX(Projects[Software Eng (wks)],408)</f>
        <v/>
      </c>
      <c r="Q409" s="66">
        <f>INDEX(Projects[M&amp;E Installation (wks)],408)</f>
        <v/>
      </c>
      <c r="R409" s="66">
        <f>INDEX(Projects[Commissioning (wks)],408)</f>
        <v/>
      </c>
      <c r="S409" s="66">
        <f>INDEX(Projects[Total Timeline (wks)],408)</f>
        <v/>
      </c>
      <c r="T409" s="66">
        <f>INDEX(Projects[Currency],408)&amp;""</f>
        <v/>
      </c>
      <c r="U409" s="67">
        <f>INDEX(Projects[Value (M)],408)</f>
        <v/>
      </c>
      <c r="V409" s="66">
        <f>IF('Smart Search'!B13=1,IFERROR(1/'Smart Search'!H13,0),0)</f>
        <v/>
      </c>
      <c r="W409" s="66">
        <f>IF('Smart Search'!B13=1,IFERROR(1/'Smart Search'!H13,0),0)</f>
        <v/>
      </c>
      <c r="X409" s="66">
        <f>IF('Smart Search'!C13=1,IFERROR(1/'Smart Search'!H13,0),0)</f>
        <v/>
      </c>
      <c r="Y409" s="66">
        <f>IF('Smart Search'!C13=1,IFERROR(1/'Smart Search'!H13,0),0)</f>
        <v/>
      </c>
      <c r="Z409" s="66">
        <f>IF('Smart Search'!D13=1,IFERROR(1/'Smart Search'!H13,0),0)</f>
        <v/>
      </c>
      <c r="AA409" s="66">
        <f>IF('Smart Search'!D13=1,IFERROR(1/'Smart Search'!H13,0),0)</f>
        <v/>
      </c>
      <c r="AB409" s="66">
        <f>IF('Smart Search'!E13=1,IFERROR(1/'Smart Search'!H13,0),0)</f>
        <v/>
      </c>
      <c r="AC409" s="66">
        <f>IF('Smart Search'!E13=1,IFERROR(1/'Smart Search'!H13,0),0)</f>
        <v/>
      </c>
      <c r="AD409" s="66">
        <f>IF('Smart Search'!F13=1,IFERROR(1/'Smart Search'!H13,0),0)</f>
        <v/>
      </c>
      <c r="AE409" s="66">
        <f>IF('Smart Search'!F13=1,IFERROR(1/'Smart Search'!H13,0),0)</f>
        <v/>
      </c>
      <c r="AF409" s="66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66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66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66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66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66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66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66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66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66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66">
        <f>AF409*V409</f>
        <v/>
      </c>
      <c r="AQ409" s="66">
        <f>AG409*W409</f>
        <v/>
      </c>
      <c r="AR409" s="66">
        <f>AH409*X409</f>
        <v/>
      </c>
      <c r="AS409" s="66">
        <f>AI409*Y409</f>
        <v/>
      </c>
      <c r="AT409" s="66">
        <f>AJ409*Z409</f>
        <v/>
      </c>
      <c r="AU409" s="66">
        <f>AK409*AA409</f>
        <v/>
      </c>
      <c r="AV409" s="66">
        <f>AL409*AB409</f>
        <v/>
      </c>
      <c r="AW409" s="66">
        <f>AM409*AC409</f>
        <v/>
      </c>
      <c r="AX409" s="66">
        <f>AN409*AD409</f>
        <v/>
      </c>
      <c r="AY409" s="66">
        <f>AO409*AE409</f>
        <v/>
      </c>
      <c r="AZ409" s="66">
        <f>INDEX(Projects[Automation Equipment],408)&amp;""</f>
        <v/>
      </c>
      <c r="BA409" s="66">
        <f>IF(OR(A409="",'Smart Search'!H13=0),"",MAX(0,BE409*BF409*MAX(0,1-BG409)))</f>
        <v/>
      </c>
      <c r="BB409" s="66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66">
        <f>IF('Smart Search'!G13=1,IFERROR(1/'Smart Search'!H13,0),0)</f>
        <v/>
      </c>
      <c r="BD409" s="66">
        <f>BB409*BC409</f>
        <v/>
      </c>
      <c r="BE409" s="66">
        <f>AP409+AQ409+AR409+AS409+AT409+AU409+AV409+AW409+AX409+AY409+BD409</f>
        <v/>
      </c>
      <c r="BF409" s="5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5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5">
        <f>IF(AND(A409&lt;&gt;"",OR('Smart Search'!$L$5="",'Smart Search'!$L$5="All",TRIM(BZ409)=TRIM('Smart Search'!$L$5)),OR(TRIM('Smart Search'!$L$6)="",TRIM('Smart Search'!$L$6)="All",ISNUMBER(SEARCH(SUBSTITUTE(SUBSTITUTE(SUBSTITUTE(TRIM('Smart Search'!$L$6),"~","~~"),"*","~*"),"?","~?"),CA409))),OR('Smart Search'!$L$7="",AND(CB409&lt;&gt;0,CB409='Smart Search'!$L$7)),OR('Smart Search'!$L$8="",'Smart Search'!$L$8="All",TRIM(CC409)=TRIM('Smart Search'!$L$8))),IF(BA409="","",BA409+ROW()*0.0000000001),"")</f>
        <v/>
      </c>
      <c r="BI409" s="5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5">
        <f>IF(A409="","",N(INDEX(Projects[Mech Inst],408)))</f>
        <v/>
      </c>
      <c r="BK409" s="5">
        <f>IF(A409="","",N(INDEX(Projects[Elec Inst],408)))</f>
        <v/>
      </c>
      <c r="BL409" s="5">
        <f>IF(A409="","",N(INDEX(Projects[Project Management],408)))</f>
        <v/>
      </c>
      <c r="BM409" s="5">
        <f>IF(A409="","",N(INDEX(Projects[Systems Eng],408)))</f>
        <v/>
      </c>
      <c r="BN409" s="5">
        <f>IF(A409="","",N(INDEX(Projects[Mechanical Eng],408)))</f>
        <v/>
      </c>
      <c r="BO409" s="5">
        <f>IF(A409="","",N(INDEX(Projects[Structural Engineering],408)))</f>
        <v/>
      </c>
      <c r="BP409" s="5">
        <f>IF(A409="","",N(INDEX(Projects[Site Sup],408)))</f>
        <v/>
      </c>
      <c r="BQ409" s="5">
        <f>IF(A409="","",N(INDEX(Projects[Controls Commissioning],408)))</f>
        <v/>
      </c>
      <c r="BR409" s="5">
        <f>IF(A409="","",N(INDEX(Projects[Systems Commissioning],408)))</f>
        <v/>
      </c>
      <c r="BS409" s="5">
        <f>IF(A409="","",N(INDEX(Projects[Service Commissioning],408)))</f>
        <v/>
      </c>
      <c r="BT409" s="5">
        <f>IF(A409="","",N(INDEX(Projects[Controls Eng],408)))</f>
        <v/>
      </c>
      <c r="BU409" s="5">
        <f>IF(A409="","",N(INDEX(Projects[Controls Purchase],408)))</f>
        <v/>
      </c>
      <c r="BV409" s="5">
        <f>IF(A409="","",N(INDEX(Projects[Software Eng],408)))</f>
        <v/>
      </c>
      <c r="BW409" s="5">
        <f>IF(A409="","",N(INDEX(Projects[Misc],408)))</f>
        <v/>
      </c>
      <c r="BX409" s="5">
        <f>IF(A409="","",SUM(BJ409:BW409))</f>
        <v/>
      </c>
      <c r="BY409" s="5">
        <f>IF(A409="","",IFERROR(IF(ISNUMBER(U409),U409,VALUE(SUBSTITUTE(SUBSTITUTE(SUBSTITUTE(UPPER(TRIM(U409)),"M",""),",","")," ",""))),0))</f>
        <v/>
      </c>
      <c r="BZ409" s="5">
        <f>INDEX(Projects[Solution Type],408)&amp;""</f>
        <v/>
      </c>
      <c r="CA409" s="5">
        <f>INDEX(Projects[Client / Region],408)&amp;""</f>
        <v/>
      </c>
      <c r="CB409" s="5">
        <f>INDEX(Projects[Year],408)</f>
        <v/>
      </c>
      <c r="CC409" s="5">
        <f>INDEX(Projects[Won?],408)&amp;""</f>
        <v/>
      </c>
      <c r="CD409" s="5">
        <f>INDEX(Projects[Value (USD M)],408)</f>
        <v/>
      </c>
    </row>
    <row r="410" ht="15" customHeight="1" s="74">
      <c r="A410" s="66">
        <f>INDEX(Projects[Project ID *],409)&amp;""</f>
        <v/>
      </c>
      <c r="B410" s="66">
        <f>INDEX(Projects[Project Name *],409)&amp;""</f>
        <v/>
      </c>
      <c r="C410" s="66">
        <f>INDEX(Projects[MS Shuttles],409)</f>
        <v/>
      </c>
      <c r="D410" s="66">
        <f>INDEX(Projects[MS Tote Locations],409)</f>
        <v/>
      </c>
      <c r="E410" s="66">
        <f>INDEX(Projects[AS Robots],409)</f>
        <v/>
      </c>
      <c r="F410" s="66">
        <f>INDEX(Projects[AS Tote Locations],409)</f>
        <v/>
      </c>
      <c r="G410" s="66">
        <f>INDEX(Projects[PS Shuttles],409)</f>
        <v/>
      </c>
      <c r="H410" s="66">
        <f>INDEX(Projects[PS Pallet Locations],409)</f>
        <v/>
      </c>
      <c r="I410" s="66">
        <f>INDEX(Projects[SRM Cranes],409)</f>
        <v/>
      </c>
      <c r="J410" s="66">
        <f>INDEX(Projects[SRM Pallet Locations],409)</f>
        <v/>
      </c>
      <c r="K410" s="66">
        <f>INDEX(Projects[Case Conv (m)],409)</f>
        <v/>
      </c>
      <c r="L410" s="66">
        <f>INDEX(Projects[Pallet Conv (m)],409)</f>
        <v/>
      </c>
      <c r="M410" s="66">
        <f>INDEX(Projects[Mech Eng (wks)],409)</f>
        <v/>
      </c>
      <c r="N410" s="66">
        <f>INDEX(Projects[Controls Eng (wks)],409)</f>
        <v/>
      </c>
      <c r="O410" s="66">
        <f>INDEX(Projects[Systems Eng (wks)],409)</f>
        <v/>
      </c>
      <c r="P410" s="66">
        <f>INDEX(Projects[Software Eng (wks)],409)</f>
        <v/>
      </c>
      <c r="Q410" s="66">
        <f>INDEX(Projects[M&amp;E Installation (wks)],409)</f>
        <v/>
      </c>
      <c r="R410" s="66">
        <f>INDEX(Projects[Commissioning (wks)],409)</f>
        <v/>
      </c>
      <c r="S410" s="66">
        <f>INDEX(Projects[Total Timeline (wks)],409)</f>
        <v/>
      </c>
      <c r="T410" s="66">
        <f>INDEX(Projects[Currency],409)&amp;""</f>
        <v/>
      </c>
      <c r="U410" s="67">
        <f>INDEX(Projects[Value (M)],409)</f>
        <v/>
      </c>
      <c r="V410" s="66">
        <f>IF('Smart Search'!B13=1,IFERROR(1/'Smart Search'!H13,0),0)</f>
        <v/>
      </c>
      <c r="W410" s="66">
        <f>IF('Smart Search'!B13=1,IFERROR(1/'Smart Search'!H13,0),0)</f>
        <v/>
      </c>
      <c r="X410" s="66">
        <f>IF('Smart Search'!C13=1,IFERROR(1/'Smart Search'!H13,0),0)</f>
        <v/>
      </c>
      <c r="Y410" s="66">
        <f>IF('Smart Search'!C13=1,IFERROR(1/'Smart Search'!H13,0),0)</f>
        <v/>
      </c>
      <c r="Z410" s="66">
        <f>IF('Smart Search'!D13=1,IFERROR(1/'Smart Search'!H13,0),0)</f>
        <v/>
      </c>
      <c r="AA410" s="66">
        <f>IF('Smart Search'!D13=1,IFERROR(1/'Smart Search'!H13,0),0)</f>
        <v/>
      </c>
      <c r="AB410" s="66">
        <f>IF('Smart Search'!E13=1,IFERROR(1/'Smart Search'!H13,0),0)</f>
        <v/>
      </c>
      <c r="AC410" s="66">
        <f>IF('Smart Search'!E13=1,IFERROR(1/'Smart Search'!H13,0),0)</f>
        <v/>
      </c>
      <c r="AD410" s="66">
        <f>IF('Smart Search'!F13=1,IFERROR(1/'Smart Search'!H13,0),0)</f>
        <v/>
      </c>
      <c r="AE410" s="66">
        <f>IF('Smart Search'!F13=1,IFERROR(1/'Smart Search'!H13,0),0)</f>
        <v/>
      </c>
      <c r="AF410" s="66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66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66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66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66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66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66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66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66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66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66">
        <f>AF410*V410</f>
        <v/>
      </c>
      <c r="AQ410" s="66">
        <f>AG410*W410</f>
        <v/>
      </c>
      <c r="AR410" s="66">
        <f>AH410*X410</f>
        <v/>
      </c>
      <c r="AS410" s="66">
        <f>AI410*Y410</f>
        <v/>
      </c>
      <c r="AT410" s="66">
        <f>AJ410*Z410</f>
        <v/>
      </c>
      <c r="AU410" s="66">
        <f>AK410*AA410</f>
        <v/>
      </c>
      <c r="AV410" s="66">
        <f>AL410*AB410</f>
        <v/>
      </c>
      <c r="AW410" s="66">
        <f>AM410*AC410</f>
        <v/>
      </c>
      <c r="AX410" s="66">
        <f>AN410*AD410</f>
        <v/>
      </c>
      <c r="AY410" s="66">
        <f>AO410*AE410</f>
        <v/>
      </c>
      <c r="AZ410" s="66">
        <f>INDEX(Projects[Automation Equipment],409)&amp;""</f>
        <v/>
      </c>
      <c r="BA410" s="66">
        <f>IF(OR(A410="",'Smart Search'!H13=0),"",MAX(0,BE410*BF410*MAX(0,1-BG410)))</f>
        <v/>
      </c>
      <c r="BB410" s="66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66">
        <f>IF('Smart Search'!G13=1,IFERROR(1/'Smart Search'!H13,0),0)</f>
        <v/>
      </c>
      <c r="BD410" s="66">
        <f>BB410*BC410</f>
        <v/>
      </c>
      <c r="BE410" s="66">
        <f>AP410+AQ410+AR410+AS410+AT410+AU410+AV410+AW410+AX410+AY410+BD410</f>
        <v/>
      </c>
      <c r="BF410" s="5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5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5">
        <f>IF(AND(A410&lt;&gt;"",OR('Smart Search'!$L$5="",'Smart Search'!$L$5="All",TRIM(BZ410)=TRIM('Smart Search'!$L$5)),OR(TRIM('Smart Search'!$L$6)="",TRIM('Smart Search'!$L$6)="All",ISNUMBER(SEARCH(SUBSTITUTE(SUBSTITUTE(SUBSTITUTE(TRIM('Smart Search'!$L$6),"~","~~"),"*","~*"),"?","~?"),CA410))),OR('Smart Search'!$L$7="",AND(CB410&lt;&gt;0,CB410='Smart Search'!$L$7)),OR('Smart Search'!$L$8="",'Smart Search'!$L$8="All",TRIM(CC410)=TRIM('Smart Search'!$L$8))),IF(BA410="","",BA410+ROW()*0.0000000001),"")</f>
        <v/>
      </c>
      <c r="BI410" s="5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5">
        <f>IF(A410="","",N(INDEX(Projects[Mech Inst],409)))</f>
        <v/>
      </c>
      <c r="BK410" s="5">
        <f>IF(A410="","",N(INDEX(Projects[Elec Inst],409)))</f>
        <v/>
      </c>
      <c r="BL410" s="5">
        <f>IF(A410="","",N(INDEX(Projects[Project Management],409)))</f>
        <v/>
      </c>
      <c r="BM410" s="5">
        <f>IF(A410="","",N(INDEX(Projects[Systems Eng],409)))</f>
        <v/>
      </c>
      <c r="BN410" s="5">
        <f>IF(A410="","",N(INDEX(Projects[Mechanical Eng],409)))</f>
        <v/>
      </c>
      <c r="BO410" s="5">
        <f>IF(A410="","",N(INDEX(Projects[Structural Engineering],409)))</f>
        <v/>
      </c>
      <c r="BP410" s="5">
        <f>IF(A410="","",N(INDEX(Projects[Site Sup],409)))</f>
        <v/>
      </c>
      <c r="BQ410" s="5">
        <f>IF(A410="","",N(INDEX(Projects[Controls Commissioning],409)))</f>
        <v/>
      </c>
      <c r="BR410" s="5">
        <f>IF(A410="","",N(INDEX(Projects[Systems Commissioning],409)))</f>
        <v/>
      </c>
      <c r="BS410" s="5">
        <f>IF(A410="","",N(INDEX(Projects[Service Commissioning],409)))</f>
        <v/>
      </c>
      <c r="BT410" s="5">
        <f>IF(A410="","",N(INDEX(Projects[Controls Eng],409)))</f>
        <v/>
      </c>
      <c r="BU410" s="5">
        <f>IF(A410="","",N(INDEX(Projects[Controls Purchase],409)))</f>
        <v/>
      </c>
      <c r="BV410" s="5">
        <f>IF(A410="","",N(INDEX(Projects[Software Eng],409)))</f>
        <v/>
      </c>
      <c r="BW410" s="5">
        <f>IF(A410="","",N(INDEX(Projects[Misc],409)))</f>
        <v/>
      </c>
      <c r="BX410" s="5">
        <f>IF(A410="","",SUM(BJ410:BW410))</f>
        <v/>
      </c>
      <c r="BY410" s="5">
        <f>IF(A410="","",IFERROR(IF(ISNUMBER(U410),U410,VALUE(SUBSTITUTE(SUBSTITUTE(SUBSTITUTE(UPPER(TRIM(U410)),"M",""),",","")," ",""))),0))</f>
        <v/>
      </c>
      <c r="BZ410" s="5">
        <f>INDEX(Projects[Solution Type],409)&amp;""</f>
        <v/>
      </c>
      <c r="CA410" s="5">
        <f>INDEX(Projects[Client / Region],409)&amp;""</f>
        <v/>
      </c>
      <c r="CB410" s="5">
        <f>INDEX(Projects[Year],409)</f>
        <v/>
      </c>
      <c r="CC410" s="5">
        <f>INDEX(Projects[Won?],409)&amp;""</f>
        <v/>
      </c>
      <c r="CD410" s="5">
        <f>INDEX(Projects[Value (USD M)],409)</f>
        <v/>
      </c>
    </row>
    <row r="411" ht="15" customHeight="1" s="74">
      <c r="A411" s="66">
        <f>INDEX(Projects[Project ID *],410)&amp;""</f>
        <v/>
      </c>
      <c r="B411" s="66">
        <f>INDEX(Projects[Project Name *],410)&amp;""</f>
        <v/>
      </c>
      <c r="C411" s="66">
        <f>INDEX(Projects[MS Shuttles],410)</f>
        <v/>
      </c>
      <c r="D411" s="66">
        <f>INDEX(Projects[MS Tote Locations],410)</f>
        <v/>
      </c>
      <c r="E411" s="66">
        <f>INDEX(Projects[AS Robots],410)</f>
        <v/>
      </c>
      <c r="F411" s="66">
        <f>INDEX(Projects[AS Tote Locations],410)</f>
        <v/>
      </c>
      <c r="G411" s="66">
        <f>INDEX(Projects[PS Shuttles],410)</f>
        <v/>
      </c>
      <c r="H411" s="66">
        <f>INDEX(Projects[PS Pallet Locations],410)</f>
        <v/>
      </c>
      <c r="I411" s="66">
        <f>INDEX(Projects[SRM Cranes],410)</f>
        <v/>
      </c>
      <c r="J411" s="66">
        <f>INDEX(Projects[SRM Pallet Locations],410)</f>
        <v/>
      </c>
      <c r="K411" s="66">
        <f>INDEX(Projects[Case Conv (m)],410)</f>
        <v/>
      </c>
      <c r="L411" s="66">
        <f>INDEX(Projects[Pallet Conv (m)],410)</f>
        <v/>
      </c>
      <c r="M411" s="66">
        <f>INDEX(Projects[Mech Eng (wks)],410)</f>
        <v/>
      </c>
      <c r="N411" s="66">
        <f>INDEX(Projects[Controls Eng (wks)],410)</f>
        <v/>
      </c>
      <c r="O411" s="66">
        <f>INDEX(Projects[Systems Eng (wks)],410)</f>
        <v/>
      </c>
      <c r="P411" s="66">
        <f>INDEX(Projects[Software Eng (wks)],410)</f>
        <v/>
      </c>
      <c r="Q411" s="66">
        <f>INDEX(Projects[M&amp;E Installation (wks)],410)</f>
        <v/>
      </c>
      <c r="R411" s="66">
        <f>INDEX(Projects[Commissioning (wks)],410)</f>
        <v/>
      </c>
      <c r="S411" s="66">
        <f>INDEX(Projects[Total Timeline (wks)],410)</f>
        <v/>
      </c>
      <c r="T411" s="66">
        <f>INDEX(Projects[Currency],410)&amp;""</f>
        <v/>
      </c>
      <c r="U411" s="67">
        <f>INDEX(Projects[Value (M)],410)</f>
        <v/>
      </c>
      <c r="V411" s="66">
        <f>IF('Smart Search'!B13=1,IFERROR(1/'Smart Search'!H13,0),0)</f>
        <v/>
      </c>
      <c r="W411" s="66">
        <f>IF('Smart Search'!B13=1,IFERROR(1/'Smart Search'!H13,0),0)</f>
        <v/>
      </c>
      <c r="X411" s="66">
        <f>IF('Smart Search'!C13=1,IFERROR(1/'Smart Search'!H13,0),0)</f>
        <v/>
      </c>
      <c r="Y411" s="66">
        <f>IF('Smart Search'!C13=1,IFERROR(1/'Smart Search'!H13,0),0)</f>
        <v/>
      </c>
      <c r="Z411" s="66">
        <f>IF('Smart Search'!D13=1,IFERROR(1/'Smart Search'!H13,0),0)</f>
        <v/>
      </c>
      <c r="AA411" s="66">
        <f>IF('Smart Search'!D13=1,IFERROR(1/'Smart Search'!H13,0),0)</f>
        <v/>
      </c>
      <c r="AB411" s="66">
        <f>IF('Smart Search'!E13=1,IFERROR(1/'Smart Search'!H13,0),0)</f>
        <v/>
      </c>
      <c r="AC411" s="66">
        <f>IF('Smart Search'!E13=1,IFERROR(1/'Smart Search'!H13,0),0)</f>
        <v/>
      </c>
      <c r="AD411" s="66">
        <f>IF('Smart Search'!F13=1,IFERROR(1/'Smart Search'!H13,0),0)</f>
        <v/>
      </c>
      <c r="AE411" s="66">
        <f>IF('Smart Search'!F13=1,IFERROR(1/'Smart Search'!H13,0),0)</f>
        <v/>
      </c>
      <c r="AF411" s="66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66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66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66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66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66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66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66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66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66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66">
        <f>AF411*V411</f>
        <v/>
      </c>
      <c r="AQ411" s="66">
        <f>AG411*W411</f>
        <v/>
      </c>
      <c r="AR411" s="66">
        <f>AH411*X411</f>
        <v/>
      </c>
      <c r="AS411" s="66">
        <f>AI411*Y411</f>
        <v/>
      </c>
      <c r="AT411" s="66">
        <f>AJ411*Z411</f>
        <v/>
      </c>
      <c r="AU411" s="66">
        <f>AK411*AA411</f>
        <v/>
      </c>
      <c r="AV411" s="66">
        <f>AL411*AB411</f>
        <v/>
      </c>
      <c r="AW411" s="66">
        <f>AM411*AC411</f>
        <v/>
      </c>
      <c r="AX411" s="66">
        <f>AN411*AD411</f>
        <v/>
      </c>
      <c r="AY411" s="66">
        <f>AO411*AE411</f>
        <v/>
      </c>
      <c r="AZ411" s="66">
        <f>INDEX(Projects[Automation Equipment],410)&amp;""</f>
        <v/>
      </c>
      <c r="BA411" s="66">
        <f>IF(OR(A411="",'Smart Search'!H13=0),"",MAX(0,BE411*BF411*MAX(0,1-BG411)))</f>
        <v/>
      </c>
      <c r="BB411" s="66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66">
        <f>IF('Smart Search'!G13=1,IFERROR(1/'Smart Search'!H13,0),0)</f>
        <v/>
      </c>
      <c r="BD411" s="66">
        <f>BB411*BC411</f>
        <v/>
      </c>
      <c r="BE411" s="66">
        <f>AP411+AQ411+AR411+AS411+AT411+AU411+AV411+AW411+AX411+AY411+BD411</f>
        <v/>
      </c>
      <c r="BF411" s="5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5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5">
        <f>IF(AND(A411&lt;&gt;"",OR('Smart Search'!$L$5="",'Smart Search'!$L$5="All",TRIM(BZ411)=TRIM('Smart Search'!$L$5)),OR(TRIM('Smart Search'!$L$6)="",TRIM('Smart Search'!$L$6)="All",ISNUMBER(SEARCH(SUBSTITUTE(SUBSTITUTE(SUBSTITUTE(TRIM('Smart Search'!$L$6),"~","~~"),"*","~*"),"?","~?"),CA411))),OR('Smart Search'!$L$7="",AND(CB411&lt;&gt;0,CB411='Smart Search'!$L$7)),OR('Smart Search'!$L$8="",'Smart Search'!$L$8="All",TRIM(CC411)=TRIM('Smart Search'!$L$8))),IF(BA411="","",BA411+ROW()*0.0000000001),"")</f>
        <v/>
      </c>
      <c r="BI411" s="5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5">
        <f>IF(A411="","",N(INDEX(Projects[Mech Inst],410)))</f>
        <v/>
      </c>
      <c r="BK411" s="5">
        <f>IF(A411="","",N(INDEX(Projects[Elec Inst],410)))</f>
        <v/>
      </c>
      <c r="BL411" s="5">
        <f>IF(A411="","",N(INDEX(Projects[Project Management],410)))</f>
        <v/>
      </c>
      <c r="BM411" s="5">
        <f>IF(A411="","",N(INDEX(Projects[Systems Eng],410)))</f>
        <v/>
      </c>
      <c r="BN411" s="5">
        <f>IF(A411="","",N(INDEX(Projects[Mechanical Eng],410)))</f>
        <v/>
      </c>
      <c r="BO411" s="5">
        <f>IF(A411="","",N(INDEX(Projects[Structural Engineering],410)))</f>
        <v/>
      </c>
      <c r="BP411" s="5">
        <f>IF(A411="","",N(INDEX(Projects[Site Sup],410)))</f>
        <v/>
      </c>
      <c r="BQ411" s="5">
        <f>IF(A411="","",N(INDEX(Projects[Controls Commissioning],410)))</f>
        <v/>
      </c>
      <c r="BR411" s="5">
        <f>IF(A411="","",N(INDEX(Projects[Systems Commissioning],410)))</f>
        <v/>
      </c>
      <c r="BS411" s="5">
        <f>IF(A411="","",N(INDEX(Projects[Service Commissioning],410)))</f>
        <v/>
      </c>
      <c r="BT411" s="5">
        <f>IF(A411="","",N(INDEX(Projects[Controls Eng],410)))</f>
        <v/>
      </c>
      <c r="BU411" s="5">
        <f>IF(A411="","",N(INDEX(Projects[Controls Purchase],410)))</f>
        <v/>
      </c>
      <c r="BV411" s="5">
        <f>IF(A411="","",N(INDEX(Projects[Software Eng],410)))</f>
        <v/>
      </c>
      <c r="BW411" s="5">
        <f>IF(A411="","",N(INDEX(Projects[Misc],410)))</f>
        <v/>
      </c>
      <c r="BX411" s="5">
        <f>IF(A411="","",SUM(BJ411:BW411))</f>
        <v/>
      </c>
      <c r="BY411" s="5">
        <f>IF(A411="","",IFERROR(IF(ISNUMBER(U411),U411,VALUE(SUBSTITUTE(SUBSTITUTE(SUBSTITUTE(UPPER(TRIM(U411)),"M",""),",","")," ",""))),0))</f>
        <v/>
      </c>
      <c r="BZ411" s="5">
        <f>INDEX(Projects[Solution Type],410)&amp;""</f>
        <v/>
      </c>
      <c r="CA411" s="5">
        <f>INDEX(Projects[Client / Region],410)&amp;""</f>
        <v/>
      </c>
      <c r="CB411" s="5">
        <f>INDEX(Projects[Year],410)</f>
        <v/>
      </c>
      <c r="CC411" s="5">
        <f>INDEX(Projects[Won?],410)&amp;""</f>
        <v/>
      </c>
      <c r="CD411" s="5">
        <f>INDEX(Projects[Value (USD M)],410)</f>
        <v/>
      </c>
    </row>
    <row r="412" ht="15" customHeight="1" s="74">
      <c r="A412" s="66">
        <f>INDEX(Projects[Project ID *],411)&amp;""</f>
        <v/>
      </c>
      <c r="B412" s="66">
        <f>INDEX(Projects[Project Name *],411)&amp;""</f>
        <v/>
      </c>
      <c r="C412" s="66">
        <f>INDEX(Projects[MS Shuttles],411)</f>
        <v/>
      </c>
      <c r="D412" s="66">
        <f>INDEX(Projects[MS Tote Locations],411)</f>
        <v/>
      </c>
      <c r="E412" s="66">
        <f>INDEX(Projects[AS Robots],411)</f>
        <v/>
      </c>
      <c r="F412" s="66">
        <f>INDEX(Projects[AS Tote Locations],411)</f>
        <v/>
      </c>
      <c r="G412" s="66">
        <f>INDEX(Projects[PS Shuttles],411)</f>
        <v/>
      </c>
      <c r="H412" s="66">
        <f>INDEX(Projects[PS Pallet Locations],411)</f>
        <v/>
      </c>
      <c r="I412" s="66">
        <f>INDEX(Projects[SRM Cranes],411)</f>
        <v/>
      </c>
      <c r="J412" s="66">
        <f>INDEX(Projects[SRM Pallet Locations],411)</f>
        <v/>
      </c>
      <c r="K412" s="66">
        <f>INDEX(Projects[Case Conv (m)],411)</f>
        <v/>
      </c>
      <c r="L412" s="66">
        <f>INDEX(Projects[Pallet Conv (m)],411)</f>
        <v/>
      </c>
      <c r="M412" s="66">
        <f>INDEX(Projects[Mech Eng (wks)],411)</f>
        <v/>
      </c>
      <c r="N412" s="66">
        <f>INDEX(Projects[Controls Eng (wks)],411)</f>
        <v/>
      </c>
      <c r="O412" s="66">
        <f>INDEX(Projects[Systems Eng (wks)],411)</f>
        <v/>
      </c>
      <c r="P412" s="66">
        <f>INDEX(Projects[Software Eng (wks)],411)</f>
        <v/>
      </c>
      <c r="Q412" s="66">
        <f>INDEX(Projects[M&amp;E Installation (wks)],411)</f>
        <v/>
      </c>
      <c r="R412" s="66">
        <f>INDEX(Projects[Commissioning (wks)],411)</f>
        <v/>
      </c>
      <c r="S412" s="66">
        <f>INDEX(Projects[Total Timeline (wks)],411)</f>
        <v/>
      </c>
      <c r="T412" s="66">
        <f>INDEX(Projects[Currency],411)&amp;""</f>
        <v/>
      </c>
      <c r="U412" s="67">
        <f>INDEX(Projects[Value (M)],411)</f>
        <v/>
      </c>
      <c r="V412" s="66">
        <f>IF('Smart Search'!B13=1,IFERROR(1/'Smart Search'!H13,0),0)</f>
        <v/>
      </c>
      <c r="W412" s="66">
        <f>IF('Smart Search'!B13=1,IFERROR(1/'Smart Search'!H13,0),0)</f>
        <v/>
      </c>
      <c r="X412" s="66">
        <f>IF('Smart Search'!C13=1,IFERROR(1/'Smart Search'!H13,0),0)</f>
        <v/>
      </c>
      <c r="Y412" s="66">
        <f>IF('Smart Search'!C13=1,IFERROR(1/'Smart Search'!H13,0),0)</f>
        <v/>
      </c>
      <c r="Z412" s="66">
        <f>IF('Smart Search'!D13=1,IFERROR(1/'Smart Search'!H13,0),0)</f>
        <v/>
      </c>
      <c r="AA412" s="66">
        <f>IF('Smart Search'!D13=1,IFERROR(1/'Smart Search'!H13,0),0)</f>
        <v/>
      </c>
      <c r="AB412" s="66">
        <f>IF('Smart Search'!E13=1,IFERROR(1/'Smart Search'!H13,0),0)</f>
        <v/>
      </c>
      <c r="AC412" s="66">
        <f>IF('Smart Search'!E13=1,IFERROR(1/'Smart Search'!H13,0),0)</f>
        <v/>
      </c>
      <c r="AD412" s="66">
        <f>IF('Smart Search'!F13=1,IFERROR(1/'Smart Search'!H13,0),0)</f>
        <v/>
      </c>
      <c r="AE412" s="66">
        <f>IF('Smart Search'!F13=1,IFERROR(1/'Smart Search'!H13,0),0)</f>
        <v/>
      </c>
      <c r="AF412" s="66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66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66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66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66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66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66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66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66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66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66">
        <f>AF412*V412</f>
        <v/>
      </c>
      <c r="AQ412" s="66">
        <f>AG412*W412</f>
        <v/>
      </c>
      <c r="AR412" s="66">
        <f>AH412*X412</f>
        <v/>
      </c>
      <c r="AS412" s="66">
        <f>AI412*Y412</f>
        <v/>
      </c>
      <c r="AT412" s="66">
        <f>AJ412*Z412</f>
        <v/>
      </c>
      <c r="AU412" s="66">
        <f>AK412*AA412</f>
        <v/>
      </c>
      <c r="AV412" s="66">
        <f>AL412*AB412</f>
        <v/>
      </c>
      <c r="AW412" s="66">
        <f>AM412*AC412</f>
        <v/>
      </c>
      <c r="AX412" s="66">
        <f>AN412*AD412</f>
        <v/>
      </c>
      <c r="AY412" s="66">
        <f>AO412*AE412</f>
        <v/>
      </c>
      <c r="AZ412" s="66">
        <f>INDEX(Projects[Automation Equipment],411)&amp;""</f>
        <v/>
      </c>
      <c r="BA412" s="66">
        <f>IF(OR(A412="",'Smart Search'!H13=0),"",MAX(0,BE412*BF412*MAX(0,1-BG412)))</f>
        <v/>
      </c>
      <c r="BB412" s="66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66">
        <f>IF('Smart Search'!G13=1,IFERROR(1/'Smart Search'!H13,0),0)</f>
        <v/>
      </c>
      <c r="BD412" s="66">
        <f>BB412*BC412</f>
        <v/>
      </c>
      <c r="BE412" s="66">
        <f>AP412+AQ412+AR412+AS412+AT412+AU412+AV412+AW412+AX412+AY412+BD412</f>
        <v/>
      </c>
      <c r="BF412" s="5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5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5">
        <f>IF(AND(A412&lt;&gt;"",OR('Smart Search'!$L$5="",'Smart Search'!$L$5="All",TRIM(BZ412)=TRIM('Smart Search'!$L$5)),OR(TRIM('Smart Search'!$L$6)="",TRIM('Smart Search'!$L$6)="All",ISNUMBER(SEARCH(SUBSTITUTE(SUBSTITUTE(SUBSTITUTE(TRIM('Smart Search'!$L$6),"~","~~"),"*","~*"),"?","~?"),CA412))),OR('Smart Search'!$L$7="",AND(CB412&lt;&gt;0,CB412='Smart Search'!$L$7)),OR('Smart Search'!$L$8="",'Smart Search'!$L$8="All",TRIM(CC412)=TRIM('Smart Search'!$L$8))),IF(BA412="","",BA412+ROW()*0.0000000001),"")</f>
        <v/>
      </c>
      <c r="BI412" s="5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5">
        <f>IF(A412="","",N(INDEX(Projects[Mech Inst],411)))</f>
        <v/>
      </c>
      <c r="BK412" s="5">
        <f>IF(A412="","",N(INDEX(Projects[Elec Inst],411)))</f>
        <v/>
      </c>
      <c r="BL412" s="5">
        <f>IF(A412="","",N(INDEX(Projects[Project Management],411)))</f>
        <v/>
      </c>
      <c r="BM412" s="5">
        <f>IF(A412="","",N(INDEX(Projects[Systems Eng],411)))</f>
        <v/>
      </c>
      <c r="BN412" s="5">
        <f>IF(A412="","",N(INDEX(Projects[Mechanical Eng],411)))</f>
        <v/>
      </c>
      <c r="BO412" s="5">
        <f>IF(A412="","",N(INDEX(Projects[Structural Engineering],411)))</f>
        <v/>
      </c>
      <c r="BP412" s="5">
        <f>IF(A412="","",N(INDEX(Projects[Site Sup],411)))</f>
        <v/>
      </c>
      <c r="BQ412" s="5">
        <f>IF(A412="","",N(INDEX(Projects[Controls Commissioning],411)))</f>
        <v/>
      </c>
      <c r="BR412" s="5">
        <f>IF(A412="","",N(INDEX(Projects[Systems Commissioning],411)))</f>
        <v/>
      </c>
      <c r="BS412" s="5">
        <f>IF(A412="","",N(INDEX(Projects[Service Commissioning],411)))</f>
        <v/>
      </c>
      <c r="BT412" s="5">
        <f>IF(A412="","",N(INDEX(Projects[Controls Eng],411)))</f>
        <v/>
      </c>
      <c r="BU412" s="5">
        <f>IF(A412="","",N(INDEX(Projects[Controls Purchase],411)))</f>
        <v/>
      </c>
      <c r="BV412" s="5">
        <f>IF(A412="","",N(INDEX(Projects[Software Eng],411)))</f>
        <v/>
      </c>
      <c r="BW412" s="5">
        <f>IF(A412="","",N(INDEX(Projects[Misc],411)))</f>
        <v/>
      </c>
      <c r="BX412" s="5">
        <f>IF(A412="","",SUM(BJ412:BW412))</f>
        <v/>
      </c>
      <c r="BY412" s="5">
        <f>IF(A412="","",IFERROR(IF(ISNUMBER(U412),U412,VALUE(SUBSTITUTE(SUBSTITUTE(SUBSTITUTE(UPPER(TRIM(U412)),"M",""),",","")," ",""))),0))</f>
        <v/>
      </c>
      <c r="BZ412" s="5">
        <f>INDEX(Projects[Solution Type],411)&amp;""</f>
        <v/>
      </c>
      <c r="CA412" s="5">
        <f>INDEX(Projects[Client / Region],411)&amp;""</f>
        <v/>
      </c>
      <c r="CB412" s="5">
        <f>INDEX(Projects[Year],411)</f>
        <v/>
      </c>
      <c r="CC412" s="5">
        <f>INDEX(Projects[Won?],411)&amp;""</f>
        <v/>
      </c>
      <c r="CD412" s="5">
        <f>INDEX(Projects[Value (USD M)],411)</f>
        <v/>
      </c>
    </row>
    <row r="413" ht="15" customHeight="1" s="74">
      <c r="A413" s="66">
        <f>INDEX(Projects[Project ID *],412)&amp;""</f>
        <v/>
      </c>
      <c r="B413" s="66">
        <f>INDEX(Projects[Project Name *],412)&amp;""</f>
        <v/>
      </c>
      <c r="C413" s="66">
        <f>INDEX(Projects[MS Shuttles],412)</f>
        <v/>
      </c>
      <c r="D413" s="66">
        <f>INDEX(Projects[MS Tote Locations],412)</f>
        <v/>
      </c>
      <c r="E413" s="66">
        <f>INDEX(Projects[AS Robots],412)</f>
        <v/>
      </c>
      <c r="F413" s="66">
        <f>INDEX(Projects[AS Tote Locations],412)</f>
        <v/>
      </c>
      <c r="G413" s="66">
        <f>INDEX(Projects[PS Shuttles],412)</f>
        <v/>
      </c>
      <c r="H413" s="66">
        <f>INDEX(Projects[PS Pallet Locations],412)</f>
        <v/>
      </c>
      <c r="I413" s="66">
        <f>INDEX(Projects[SRM Cranes],412)</f>
        <v/>
      </c>
      <c r="J413" s="66">
        <f>INDEX(Projects[SRM Pallet Locations],412)</f>
        <v/>
      </c>
      <c r="K413" s="66">
        <f>INDEX(Projects[Case Conv (m)],412)</f>
        <v/>
      </c>
      <c r="L413" s="66">
        <f>INDEX(Projects[Pallet Conv (m)],412)</f>
        <v/>
      </c>
      <c r="M413" s="66">
        <f>INDEX(Projects[Mech Eng (wks)],412)</f>
        <v/>
      </c>
      <c r="N413" s="66">
        <f>INDEX(Projects[Controls Eng (wks)],412)</f>
        <v/>
      </c>
      <c r="O413" s="66">
        <f>INDEX(Projects[Systems Eng (wks)],412)</f>
        <v/>
      </c>
      <c r="P413" s="66">
        <f>INDEX(Projects[Software Eng (wks)],412)</f>
        <v/>
      </c>
      <c r="Q413" s="66">
        <f>INDEX(Projects[M&amp;E Installation (wks)],412)</f>
        <v/>
      </c>
      <c r="R413" s="66">
        <f>INDEX(Projects[Commissioning (wks)],412)</f>
        <v/>
      </c>
      <c r="S413" s="66">
        <f>INDEX(Projects[Total Timeline (wks)],412)</f>
        <v/>
      </c>
      <c r="T413" s="66">
        <f>INDEX(Projects[Currency],412)&amp;""</f>
        <v/>
      </c>
      <c r="U413" s="67">
        <f>INDEX(Projects[Value (M)],412)</f>
        <v/>
      </c>
      <c r="V413" s="66">
        <f>IF('Smart Search'!B13=1,IFERROR(1/'Smart Search'!H13,0),0)</f>
        <v/>
      </c>
      <c r="W413" s="66">
        <f>IF('Smart Search'!B13=1,IFERROR(1/'Smart Search'!H13,0),0)</f>
        <v/>
      </c>
      <c r="X413" s="66">
        <f>IF('Smart Search'!C13=1,IFERROR(1/'Smart Search'!H13,0),0)</f>
        <v/>
      </c>
      <c r="Y413" s="66">
        <f>IF('Smart Search'!C13=1,IFERROR(1/'Smart Search'!H13,0),0)</f>
        <v/>
      </c>
      <c r="Z413" s="66">
        <f>IF('Smart Search'!D13=1,IFERROR(1/'Smart Search'!H13,0),0)</f>
        <v/>
      </c>
      <c r="AA413" s="66">
        <f>IF('Smart Search'!D13=1,IFERROR(1/'Smart Search'!H13,0),0)</f>
        <v/>
      </c>
      <c r="AB413" s="66">
        <f>IF('Smart Search'!E13=1,IFERROR(1/'Smart Search'!H13,0),0)</f>
        <v/>
      </c>
      <c r="AC413" s="66">
        <f>IF('Smart Search'!E13=1,IFERROR(1/'Smart Search'!H13,0),0)</f>
        <v/>
      </c>
      <c r="AD413" s="66">
        <f>IF('Smart Search'!F13=1,IFERROR(1/'Smart Search'!H13,0),0)</f>
        <v/>
      </c>
      <c r="AE413" s="66">
        <f>IF('Smart Search'!F13=1,IFERROR(1/'Smart Search'!H13,0),0)</f>
        <v/>
      </c>
      <c r="AF413" s="66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66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66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66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66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66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66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66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66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66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66">
        <f>AF413*V413</f>
        <v/>
      </c>
      <c r="AQ413" s="66">
        <f>AG413*W413</f>
        <v/>
      </c>
      <c r="AR413" s="66">
        <f>AH413*X413</f>
        <v/>
      </c>
      <c r="AS413" s="66">
        <f>AI413*Y413</f>
        <v/>
      </c>
      <c r="AT413" s="66">
        <f>AJ413*Z413</f>
        <v/>
      </c>
      <c r="AU413" s="66">
        <f>AK413*AA413</f>
        <v/>
      </c>
      <c r="AV413" s="66">
        <f>AL413*AB413</f>
        <v/>
      </c>
      <c r="AW413" s="66">
        <f>AM413*AC413</f>
        <v/>
      </c>
      <c r="AX413" s="66">
        <f>AN413*AD413</f>
        <v/>
      </c>
      <c r="AY413" s="66">
        <f>AO413*AE413</f>
        <v/>
      </c>
      <c r="AZ413" s="66">
        <f>INDEX(Projects[Automation Equipment],412)&amp;""</f>
        <v/>
      </c>
      <c r="BA413" s="66">
        <f>IF(OR(A413="",'Smart Search'!H13=0),"",MAX(0,BE413*BF413*MAX(0,1-BG413)))</f>
        <v/>
      </c>
      <c r="BB413" s="66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66">
        <f>IF('Smart Search'!G13=1,IFERROR(1/'Smart Search'!H13,0),0)</f>
        <v/>
      </c>
      <c r="BD413" s="66">
        <f>BB413*BC413</f>
        <v/>
      </c>
      <c r="BE413" s="66">
        <f>AP413+AQ413+AR413+AS413+AT413+AU413+AV413+AW413+AX413+AY413+BD413</f>
        <v/>
      </c>
      <c r="BF413" s="5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5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5">
        <f>IF(AND(A413&lt;&gt;"",OR('Smart Search'!$L$5="",'Smart Search'!$L$5="All",TRIM(BZ413)=TRIM('Smart Search'!$L$5)),OR(TRIM('Smart Search'!$L$6)="",TRIM('Smart Search'!$L$6)="All",ISNUMBER(SEARCH(SUBSTITUTE(SUBSTITUTE(SUBSTITUTE(TRIM('Smart Search'!$L$6),"~","~~"),"*","~*"),"?","~?"),CA413))),OR('Smart Search'!$L$7="",AND(CB413&lt;&gt;0,CB413='Smart Search'!$L$7)),OR('Smart Search'!$L$8="",'Smart Search'!$L$8="All",TRIM(CC413)=TRIM('Smart Search'!$L$8))),IF(BA413="","",BA413+ROW()*0.0000000001),"")</f>
        <v/>
      </c>
      <c r="BI413" s="5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5">
        <f>IF(A413="","",N(INDEX(Projects[Mech Inst],412)))</f>
        <v/>
      </c>
      <c r="BK413" s="5">
        <f>IF(A413="","",N(INDEX(Projects[Elec Inst],412)))</f>
        <v/>
      </c>
      <c r="BL413" s="5">
        <f>IF(A413="","",N(INDEX(Projects[Project Management],412)))</f>
        <v/>
      </c>
      <c r="BM413" s="5">
        <f>IF(A413="","",N(INDEX(Projects[Systems Eng],412)))</f>
        <v/>
      </c>
      <c r="BN413" s="5">
        <f>IF(A413="","",N(INDEX(Projects[Mechanical Eng],412)))</f>
        <v/>
      </c>
      <c r="BO413" s="5">
        <f>IF(A413="","",N(INDEX(Projects[Structural Engineering],412)))</f>
        <v/>
      </c>
      <c r="BP413" s="5">
        <f>IF(A413="","",N(INDEX(Projects[Site Sup],412)))</f>
        <v/>
      </c>
      <c r="BQ413" s="5">
        <f>IF(A413="","",N(INDEX(Projects[Controls Commissioning],412)))</f>
        <v/>
      </c>
      <c r="BR413" s="5">
        <f>IF(A413="","",N(INDEX(Projects[Systems Commissioning],412)))</f>
        <v/>
      </c>
      <c r="BS413" s="5">
        <f>IF(A413="","",N(INDEX(Projects[Service Commissioning],412)))</f>
        <v/>
      </c>
      <c r="BT413" s="5">
        <f>IF(A413="","",N(INDEX(Projects[Controls Eng],412)))</f>
        <v/>
      </c>
      <c r="BU413" s="5">
        <f>IF(A413="","",N(INDEX(Projects[Controls Purchase],412)))</f>
        <v/>
      </c>
      <c r="BV413" s="5">
        <f>IF(A413="","",N(INDEX(Projects[Software Eng],412)))</f>
        <v/>
      </c>
      <c r="BW413" s="5">
        <f>IF(A413="","",N(INDEX(Projects[Misc],412)))</f>
        <v/>
      </c>
      <c r="BX413" s="5">
        <f>IF(A413="","",SUM(BJ413:BW413))</f>
        <v/>
      </c>
      <c r="BY413" s="5">
        <f>IF(A413="","",IFERROR(IF(ISNUMBER(U413),U413,VALUE(SUBSTITUTE(SUBSTITUTE(SUBSTITUTE(UPPER(TRIM(U413)),"M",""),",","")," ",""))),0))</f>
        <v/>
      </c>
      <c r="BZ413" s="5">
        <f>INDEX(Projects[Solution Type],412)&amp;""</f>
        <v/>
      </c>
      <c r="CA413" s="5">
        <f>INDEX(Projects[Client / Region],412)&amp;""</f>
        <v/>
      </c>
      <c r="CB413" s="5">
        <f>INDEX(Projects[Year],412)</f>
        <v/>
      </c>
      <c r="CC413" s="5">
        <f>INDEX(Projects[Won?],412)&amp;""</f>
        <v/>
      </c>
      <c r="CD413" s="5">
        <f>INDEX(Projects[Value (USD M)],412)</f>
        <v/>
      </c>
    </row>
    <row r="414" ht="15" customHeight="1" s="74">
      <c r="A414" s="66">
        <f>INDEX(Projects[Project ID *],413)&amp;""</f>
        <v/>
      </c>
      <c r="B414" s="66">
        <f>INDEX(Projects[Project Name *],413)&amp;""</f>
        <v/>
      </c>
      <c r="C414" s="66">
        <f>INDEX(Projects[MS Shuttles],413)</f>
        <v/>
      </c>
      <c r="D414" s="66">
        <f>INDEX(Projects[MS Tote Locations],413)</f>
        <v/>
      </c>
      <c r="E414" s="66">
        <f>INDEX(Projects[AS Robots],413)</f>
        <v/>
      </c>
      <c r="F414" s="66">
        <f>INDEX(Projects[AS Tote Locations],413)</f>
        <v/>
      </c>
      <c r="G414" s="66">
        <f>INDEX(Projects[PS Shuttles],413)</f>
        <v/>
      </c>
      <c r="H414" s="66">
        <f>INDEX(Projects[PS Pallet Locations],413)</f>
        <v/>
      </c>
      <c r="I414" s="66">
        <f>INDEX(Projects[SRM Cranes],413)</f>
        <v/>
      </c>
      <c r="J414" s="66">
        <f>INDEX(Projects[SRM Pallet Locations],413)</f>
        <v/>
      </c>
      <c r="K414" s="66">
        <f>INDEX(Projects[Case Conv (m)],413)</f>
        <v/>
      </c>
      <c r="L414" s="66">
        <f>INDEX(Projects[Pallet Conv (m)],413)</f>
        <v/>
      </c>
      <c r="M414" s="66">
        <f>INDEX(Projects[Mech Eng (wks)],413)</f>
        <v/>
      </c>
      <c r="N414" s="66">
        <f>INDEX(Projects[Controls Eng (wks)],413)</f>
        <v/>
      </c>
      <c r="O414" s="66">
        <f>INDEX(Projects[Systems Eng (wks)],413)</f>
        <v/>
      </c>
      <c r="P414" s="66">
        <f>INDEX(Projects[Software Eng (wks)],413)</f>
        <v/>
      </c>
      <c r="Q414" s="66">
        <f>INDEX(Projects[M&amp;E Installation (wks)],413)</f>
        <v/>
      </c>
      <c r="R414" s="66">
        <f>INDEX(Projects[Commissioning (wks)],413)</f>
        <v/>
      </c>
      <c r="S414" s="66">
        <f>INDEX(Projects[Total Timeline (wks)],413)</f>
        <v/>
      </c>
      <c r="T414" s="66">
        <f>INDEX(Projects[Currency],413)&amp;""</f>
        <v/>
      </c>
      <c r="U414" s="67">
        <f>INDEX(Projects[Value (M)],413)</f>
        <v/>
      </c>
      <c r="V414" s="66">
        <f>IF('Smart Search'!B13=1,IFERROR(1/'Smart Search'!H13,0),0)</f>
        <v/>
      </c>
      <c r="W414" s="66">
        <f>IF('Smart Search'!B13=1,IFERROR(1/'Smart Search'!H13,0),0)</f>
        <v/>
      </c>
      <c r="X414" s="66">
        <f>IF('Smart Search'!C13=1,IFERROR(1/'Smart Search'!H13,0),0)</f>
        <v/>
      </c>
      <c r="Y414" s="66">
        <f>IF('Smart Search'!C13=1,IFERROR(1/'Smart Search'!H13,0),0)</f>
        <v/>
      </c>
      <c r="Z414" s="66">
        <f>IF('Smart Search'!D13=1,IFERROR(1/'Smart Search'!H13,0),0)</f>
        <v/>
      </c>
      <c r="AA414" s="66">
        <f>IF('Smart Search'!D13=1,IFERROR(1/'Smart Search'!H13,0),0)</f>
        <v/>
      </c>
      <c r="AB414" s="66">
        <f>IF('Smart Search'!E13=1,IFERROR(1/'Smart Search'!H13,0),0)</f>
        <v/>
      </c>
      <c r="AC414" s="66">
        <f>IF('Smart Search'!E13=1,IFERROR(1/'Smart Search'!H13,0),0)</f>
        <v/>
      </c>
      <c r="AD414" s="66">
        <f>IF('Smart Search'!F13=1,IFERROR(1/'Smart Search'!H13,0),0)</f>
        <v/>
      </c>
      <c r="AE414" s="66">
        <f>IF('Smart Search'!F13=1,IFERROR(1/'Smart Search'!H13,0),0)</f>
        <v/>
      </c>
      <c r="AF414" s="66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66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66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66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66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66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66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66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66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66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66">
        <f>AF414*V414</f>
        <v/>
      </c>
      <c r="AQ414" s="66">
        <f>AG414*W414</f>
        <v/>
      </c>
      <c r="AR414" s="66">
        <f>AH414*X414</f>
        <v/>
      </c>
      <c r="AS414" s="66">
        <f>AI414*Y414</f>
        <v/>
      </c>
      <c r="AT414" s="66">
        <f>AJ414*Z414</f>
        <v/>
      </c>
      <c r="AU414" s="66">
        <f>AK414*AA414</f>
        <v/>
      </c>
      <c r="AV414" s="66">
        <f>AL414*AB414</f>
        <v/>
      </c>
      <c r="AW414" s="66">
        <f>AM414*AC414</f>
        <v/>
      </c>
      <c r="AX414" s="66">
        <f>AN414*AD414</f>
        <v/>
      </c>
      <c r="AY414" s="66">
        <f>AO414*AE414</f>
        <v/>
      </c>
      <c r="AZ414" s="66">
        <f>INDEX(Projects[Automation Equipment],413)&amp;""</f>
        <v/>
      </c>
      <c r="BA414" s="66">
        <f>IF(OR(A414="",'Smart Search'!H13=0),"",MAX(0,BE414*BF414*MAX(0,1-BG414)))</f>
        <v/>
      </c>
      <c r="BB414" s="66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66">
        <f>IF('Smart Search'!G13=1,IFERROR(1/'Smart Search'!H13,0),0)</f>
        <v/>
      </c>
      <c r="BD414" s="66">
        <f>BB414*BC414</f>
        <v/>
      </c>
      <c r="BE414" s="66">
        <f>AP414+AQ414+AR414+AS414+AT414+AU414+AV414+AW414+AX414+AY414+BD414</f>
        <v/>
      </c>
      <c r="BF414" s="5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5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5">
        <f>IF(AND(A414&lt;&gt;"",OR('Smart Search'!$L$5="",'Smart Search'!$L$5="All",TRIM(BZ414)=TRIM('Smart Search'!$L$5)),OR(TRIM('Smart Search'!$L$6)="",TRIM('Smart Search'!$L$6)="All",ISNUMBER(SEARCH(SUBSTITUTE(SUBSTITUTE(SUBSTITUTE(TRIM('Smart Search'!$L$6),"~","~~"),"*","~*"),"?","~?"),CA414))),OR('Smart Search'!$L$7="",AND(CB414&lt;&gt;0,CB414='Smart Search'!$L$7)),OR('Smart Search'!$L$8="",'Smart Search'!$L$8="All",TRIM(CC414)=TRIM('Smart Search'!$L$8))),IF(BA414="","",BA414+ROW()*0.0000000001),"")</f>
        <v/>
      </c>
      <c r="BI414" s="5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5">
        <f>IF(A414="","",N(INDEX(Projects[Mech Inst],413)))</f>
        <v/>
      </c>
      <c r="BK414" s="5">
        <f>IF(A414="","",N(INDEX(Projects[Elec Inst],413)))</f>
        <v/>
      </c>
      <c r="BL414" s="5">
        <f>IF(A414="","",N(INDEX(Projects[Project Management],413)))</f>
        <v/>
      </c>
      <c r="BM414" s="5">
        <f>IF(A414="","",N(INDEX(Projects[Systems Eng],413)))</f>
        <v/>
      </c>
      <c r="BN414" s="5">
        <f>IF(A414="","",N(INDEX(Projects[Mechanical Eng],413)))</f>
        <v/>
      </c>
      <c r="BO414" s="5">
        <f>IF(A414="","",N(INDEX(Projects[Structural Engineering],413)))</f>
        <v/>
      </c>
      <c r="BP414" s="5">
        <f>IF(A414="","",N(INDEX(Projects[Site Sup],413)))</f>
        <v/>
      </c>
      <c r="BQ414" s="5">
        <f>IF(A414="","",N(INDEX(Projects[Controls Commissioning],413)))</f>
        <v/>
      </c>
      <c r="BR414" s="5">
        <f>IF(A414="","",N(INDEX(Projects[Systems Commissioning],413)))</f>
        <v/>
      </c>
      <c r="BS414" s="5">
        <f>IF(A414="","",N(INDEX(Projects[Service Commissioning],413)))</f>
        <v/>
      </c>
      <c r="BT414" s="5">
        <f>IF(A414="","",N(INDEX(Projects[Controls Eng],413)))</f>
        <v/>
      </c>
      <c r="BU414" s="5">
        <f>IF(A414="","",N(INDEX(Projects[Controls Purchase],413)))</f>
        <v/>
      </c>
      <c r="BV414" s="5">
        <f>IF(A414="","",N(INDEX(Projects[Software Eng],413)))</f>
        <v/>
      </c>
      <c r="BW414" s="5">
        <f>IF(A414="","",N(INDEX(Projects[Misc],413)))</f>
        <v/>
      </c>
      <c r="BX414" s="5">
        <f>IF(A414="","",SUM(BJ414:BW414))</f>
        <v/>
      </c>
      <c r="BY414" s="5">
        <f>IF(A414="","",IFERROR(IF(ISNUMBER(U414),U414,VALUE(SUBSTITUTE(SUBSTITUTE(SUBSTITUTE(UPPER(TRIM(U414)),"M",""),",","")," ",""))),0))</f>
        <v/>
      </c>
      <c r="BZ414" s="5">
        <f>INDEX(Projects[Solution Type],413)&amp;""</f>
        <v/>
      </c>
      <c r="CA414" s="5">
        <f>INDEX(Projects[Client / Region],413)&amp;""</f>
        <v/>
      </c>
      <c r="CB414" s="5">
        <f>INDEX(Projects[Year],413)</f>
        <v/>
      </c>
      <c r="CC414" s="5">
        <f>INDEX(Projects[Won?],413)&amp;""</f>
        <v/>
      </c>
      <c r="CD414" s="5">
        <f>INDEX(Projects[Value (USD M)],413)</f>
        <v/>
      </c>
    </row>
    <row r="415" ht="15" customHeight="1" s="74">
      <c r="A415" s="66">
        <f>INDEX(Projects[Project ID *],414)&amp;""</f>
        <v/>
      </c>
      <c r="B415" s="66">
        <f>INDEX(Projects[Project Name *],414)&amp;""</f>
        <v/>
      </c>
      <c r="C415" s="66">
        <f>INDEX(Projects[MS Shuttles],414)</f>
        <v/>
      </c>
      <c r="D415" s="66">
        <f>INDEX(Projects[MS Tote Locations],414)</f>
        <v/>
      </c>
      <c r="E415" s="66">
        <f>INDEX(Projects[AS Robots],414)</f>
        <v/>
      </c>
      <c r="F415" s="66">
        <f>INDEX(Projects[AS Tote Locations],414)</f>
        <v/>
      </c>
      <c r="G415" s="66">
        <f>INDEX(Projects[PS Shuttles],414)</f>
        <v/>
      </c>
      <c r="H415" s="66">
        <f>INDEX(Projects[PS Pallet Locations],414)</f>
        <v/>
      </c>
      <c r="I415" s="66">
        <f>INDEX(Projects[SRM Cranes],414)</f>
        <v/>
      </c>
      <c r="J415" s="66">
        <f>INDEX(Projects[SRM Pallet Locations],414)</f>
        <v/>
      </c>
      <c r="K415" s="66">
        <f>INDEX(Projects[Case Conv (m)],414)</f>
        <v/>
      </c>
      <c r="L415" s="66">
        <f>INDEX(Projects[Pallet Conv (m)],414)</f>
        <v/>
      </c>
      <c r="M415" s="66">
        <f>INDEX(Projects[Mech Eng (wks)],414)</f>
        <v/>
      </c>
      <c r="N415" s="66">
        <f>INDEX(Projects[Controls Eng (wks)],414)</f>
        <v/>
      </c>
      <c r="O415" s="66">
        <f>INDEX(Projects[Systems Eng (wks)],414)</f>
        <v/>
      </c>
      <c r="P415" s="66">
        <f>INDEX(Projects[Software Eng (wks)],414)</f>
        <v/>
      </c>
      <c r="Q415" s="66">
        <f>INDEX(Projects[M&amp;E Installation (wks)],414)</f>
        <v/>
      </c>
      <c r="R415" s="66">
        <f>INDEX(Projects[Commissioning (wks)],414)</f>
        <v/>
      </c>
      <c r="S415" s="66">
        <f>INDEX(Projects[Total Timeline (wks)],414)</f>
        <v/>
      </c>
      <c r="T415" s="66">
        <f>INDEX(Projects[Currency],414)&amp;""</f>
        <v/>
      </c>
      <c r="U415" s="67">
        <f>INDEX(Projects[Value (M)],414)</f>
        <v/>
      </c>
      <c r="V415" s="66">
        <f>IF('Smart Search'!B13=1,IFERROR(1/'Smart Search'!H13,0),0)</f>
        <v/>
      </c>
      <c r="W415" s="66">
        <f>IF('Smart Search'!B13=1,IFERROR(1/'Smart Search'!H13,0),0)</f>
        <v/>
      </c>
      <c r="X415" s="66">
        <f>IF('Smart Search'!C13=1,IFERROR(1/'Smart Search'!H13,0),0)</f>
        <v/>
      </c>
      <c r="Y415" s="66">
        <f>IF('Smart Search'!C13=1,IFERROR(1/'Smart Search'!H13,0),0)</f>
        <v/>
      </c>
      <c r="Z415" s="66">
        <f>IF('Smart Search'!D13=1,IFERROR(1/'Smart Search'!H13,0),0)</f>
        <v/>
      </c>
      <c r="AA415" s="66">
        <f>IF('Smart Search'!D13=1,IFERROR(1/'Smart Search'!H13,0),0)</f>
        <v/>
      </c>
      <c r="AB415" s="66">
        <f>IF('Smart Search'!E13=1,IFERROR(1/'Smart Search'!H13,0),0)</f>
        <v/>
      </c>
      <c r="AC415" s="66">
        <f>IF('Smart Search'!E13=1,IFERROR(1/'Smart Search'!H13,0),0)</f>
        <v/>
      </c>
      <c r="AD415" s="66">
        <f>IF('Smart Search'!F13=1,IFERROR(1/'Smart Search'!H13,0),0)</f>
        <v/>
      </c>
      <c r="AE415" s="66">
        <f>IF('Smart Search'!F13=1,IFERROR(1/'Smart Search'!H13,0),0)</f>
        <v/>
      </c>
      <c r="AF415" s="66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66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66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66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66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66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66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66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66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66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66">
        <f>AF415*V415</f>
        <v/>
      </c>
      <c r="AQ415" s="66">
        <f>AG415*W415</f>
        <v/>
      </c>
      <c r="AR415" s="66">
        <f>AH415*X415</f>
        <v/>
      </c>
      <c r="AS415" s="66">
        <f>AI415*Y415</f>
        <v/>
      </c>
      <c r="AT415" s="66">
        <f>AJ415*Z415</f>
        <v/>
      </c>
      <c r="AU415" s="66">
        <f>AK415*AA415</f>
        <v/>
      </c>
      <c r="AV415" s="66">
        <f>AL415*AB415</f>
        <v/>
      </c>
      <c r="AW415" s="66">
        <f>AM415*AC415</f>
        <v/>
      </c>
      <c r="AX415" s="66">
        <f>AN415*AD415</f>
        <v/>
      </c>
      <c r="AY415" s="66">
        <f>AO415*AE415</f>
        <v/>
      </c>
      <c r="AZ415" s="66">
        <f>INDEX(Projects[Automation Equipment],414)&amp;""</f>
        <v/>
      </c>
      <c r="BA415" s="66">
        <f>IF(OR(A415="",'Smart Search'!H13=0),"",MAX(0,BE415*BF415*MAX(0,1-BG415)))</f>
        <v/>
      </c>
      <c r="BB415" s="66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66">
        <f>IF('Smart Search'!G13=1,IFERROR(1/'Smart Search'!H13,0),0)</f>
        <v/>
      </c>
      <c r="BD415" s="66">
        <f>BB415*BC415</f>
        <v/>
      </c>
      <c r="BE415" s="66">
        <f>AP415+AQ415+AR415+AS415+AT415+AU415+AV415+AW415+AX415+AY415+BD415</f>
        <v/>
      </c>
      <c r="BF415" s="5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5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5">
        <f>IF(AND(A415&lt;&gt;"",OR('Smart Search'!$L$5="",'Smart Search'!$L$5="All",TRIM(BZ415)=TRIM('Smart Search'!$L$5)),OR(TRIM('Smart Search'!$L$6)="",TRIM('Smart Search'!$L$6)="All",ISNUMBER(SEARCH(SUBSTITUTE(SUBSTITUTE(SUBSTITUTE(TRIM('Smart Search'!$L$6),"~","~~"),"*","~*"),"?","~?"),CA415))),OR('Smart Search'!$L$7="",AND(CB415&lt;&gt;0,CB415='Smart Search'!$L$7)),OR('Smart Search'!$L$8="",'Smart Search'!$L$8="All",TRIM(CC415)=TRIM('Smart Search'!$L$8))),IF(BA415="","",BA415+ROW()*0.0000000001),"")</f>
        <v/>
      </c>
      <c r="BI415" s="5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5">
        <f>IF(A415="","",N(INDEX(Projects[Mech Inst],414)))</f>
        <v/>
      </c>
      <c r="BK415" s="5">
        <f>IF(A415="","",N(INDEX(Projects[Elec Inst],414)))</f>
        <v/>
      </c>
      <c r="BL415" s="5">
        <f>IF(A415="","",N(INDEX(Projects[Project Management],414)))</f>
        <v/>
      </c>
      <c r="BM415" s="5">
        <f>IF(A415="","",N(INDEX(Projects[Systems Eng],414)))</f>
        <v/>
      </c>
      <c r="BN415" s="5">
        <f>IF(A415="","",N(INDEX(Projects[Mechanical Eng],414)))</f>
        <v/>
      </c>
      <c r="BO415" s="5">
        <f>IF(A415="","",N(INDEX(Projects[Structural Engineering],414)))</f>
        <v/>
      </c>
      <c r="BP415" s="5">
        <f>IF(A415="","",N(INDEX(Projects[Site Sup],414)))</f>
        <v/>
      </c>
      <c r="BQ415" s="5">
        <f>IF(A415="","",N(INDEX(Projects[Controls Commissioning],414)))</f>
        <v/>
      </c>
      <c r="BR415" s="5">
        <f>IF(A415="","",N(INDEX(Projects[Systems Commissioning],414)))</f>
        <v/>
      </c>
      <c r="BS415" s="5">
        <f>IF(A415="","",N(INDEX(Projects[Service Commissioning],414)))</f>
        <v/>
      </c>
      <c r="BT415" s="5">
        <f>IF(A415="","",N(INDEX(Projects[Controls Eng],414)))</f>
        <v/>
      </c>
      <c r="BU415" s="5">
        <f>IF(A415="","",N(INDEX(Projects[Controls Purchase],414)))</f>
        <v/>
      </c>
      <c r="BV415" s="5">
        <f>IF(A415="","",N(INDEX(Projects[Software Eng],414)))</f>
        <v/>
      </c>
      <c r="BW415" s="5">
        <f>IF(A415="","",N(INDEX(Projects[Misc],414)))</f>
        <v/>
      </c>
      <c r="BX415" s="5">
        <f>IF(A415="","",SUM(BJ415:BW415))</f>
        <v/>
      </c>
      <c r="BY415" s="5">
        <f>IF(A415="","",IFERROR(IF(ISNUMBER(U415),U415,VALUE(SUBSTITUTE(SUBSTITUTE(SUBSTITUTE(UPPER(TRIM(U415)),"M",""),",","")," ",""))),0))</f>
        <v/>
      </c>
      <c r="BZ415" s="5">
        <f>INDEX(Projects[Solution Type],414)&amp;""</f>
        <v/>
      </c>
      <c r="CA415" s="5">
        <f>INDEX(Projects[Client / Region],414)&amp;""</f>
        <v/>
      </c>
      <c r="CB415" s="5">
        <f>INDEX(Projects[Year],414)</f>
        <v/>
      </c>
      <c r="CC415" s="5">
        <f>INDEX(Projects[Won?],414)&amp;""</f>
        <v/>
      </c>
      <c r="CD415" s="5">
        <f>INDEX(Projects[Value (USD M)],414)</f>
        <v/>
      </c>
    </row>
    <row r="416" ht="15" customHeight="1" s="74">
      <c r="A416" s="66">
        <f>INDEX(Projects[Project ID *],415)&amp;""</f>
        <v/>
      </c>
      <c r="B416" s="66">
        <f>INDEX(Projects[Project Name *],415)&amp;""</f>
        <v/>
      </c>
      <c r="C416" s="66">
        <f>INDEX(Projects[MS Shuttles],415)</f>
        <v/>
      </c>
      <c r="D416" s="66">
        <f>INDEX(Projects[MS Tote Locations],415)</f>
        <v/>
      </c>
      <c r="E416" s="66">
        <f>INDEX(Projects[AS Robots],415)</f>
        <v/>
      </c>
      <c r="F416" s="66">
        <f>INDEX(Projects[AS Tote Locations],415)</f>
        <v/>
      </c>
      <c r="G416" s="66">
        <f>INDEX(Projects[PS Shuttles],415)</f>
        <v/>
      </c>
      <c r="H416" s="66">
        <f>INDEX(Projects[PS Pallet Locations],415)</f>
        <v/>
      </c>
      <c r="I416" s="66">
        <f>INDEX(Projects[SRM Cranes],415)</f>
        <v/>
      </c>
      <c r="J416" s="66">
        <f>INDEX(Projects[SRM Pallet Locations],415)</f>
        <v/>
      </c>
      <c r="K416" s="66">
        <f>INDEX(Projects[Case Conv (m)],415)</f>
        <v/>
      </c>
      <c r="L416" s="66">
        <f>INDEX(Projects[Pallet Conv (m)],415)</f>
        <v/>
      </c>
      <c r="M416" s="66">
        <f>INDEX(Projects[Mech Eng (wks)],415)</f>
        <v/>
      </c>
      <c r="N416" s="66">
        <f>INDEX(Projects[Controls Eng (wks)],415)</f>
        <v/>
      </c>
      <c r="O416" s="66">
        <f>INDEX(Projects[Systems Eng (wks)],415)</f>
        <v/>
      </c>
      <c r="P416" s="66">
        <f>INDEX(Projects[Software Eng (wks)],415)</f>
        <v/>
      </c>
      <c r="Q416" s="66">
        <f>INDEX(Projects[M&amp;E Installation (wks)],415)</f>
        <v/>
      </c>
      <c r="R416" s="66">
        <f>INDEX(Projects[Commissioning (wks)],415)</f>
        <v/>
      </c>
      <c r="S416" s="66">
        <f>INDEX(Projects[Total Timeline (wks)],415)</f>
        <v/>
      </c>
      <c r="T416" s="66">
        <f>INDEX(Projects[Currency],415)&amp;""</f>
        <v/>
      </c>
      <c r="U416" s="67">
        <f>INDEX(Projects[Value (M)],415)</f>
        <v/>
      </c>
      <c r="V416" s="66">
        <f>IF('Smart Search'!B13=1,IFERROR(1/'Smart Search'!H13,0),0)</f>
        <v/>
      </c>
      <c r="W416" s="66">
        <f>IF('Smart Search'!B13=1,IFERROR(1/'Smart Search'!H13,0),0)</f>
        <v/>
      </c>
      <c r="X416" s="66">
        <f>IF('Smart Search'!C13=1,IFERROR(1/'Smart Search'!H13,0),0)</f>
        <v/>
      </c>
      <c r="Y416" s="66">
        <f>IF('Smart Search'!C13=1,IFERROR(1/'Smart Search'!H13,0),0)</f>
        <v/>
      </c>
      <c r="Z416" s="66">
        <f>IF('Smart Search'!D13=1,IFERROR(1/'Smart Search'!H13,0),0)</f>
        <v/>
      </c>
      <c r="AA416" s="66">
        <f>IF('Smart Search'!D13=1,IFERROR(1/'Smart Search'!H13,0),0)</f>
        <v/>
      </c>
      <c r="AB416" s="66">
        <f>IF('Smart Search'!E13=1,IFERROR(1/'Smart Search'!H13,0),0)</f>
        <v/>
      </c>
      <c r="AC416" s="66">
        <f>IF('Smart Search'!E13=1,IFERROR(1/'Smart Search'!H13,0),0)</f>
        <v/>
      </c>
      <c r="AD416" s="66">
        <f>IF('Smart Search'!F13=1,IFERROR(1/'Smart Search'!H13,0),0)</f>
        <v/>
      </c>
      <c r="AE416" s="66">
        <f>IF('Smart Search'!F13=1,IFERROR(1/'Smart Search'!H13,0),0)</f>
        <v/>
      </c>
      <c r="AF416" s="66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66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66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66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66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66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66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66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66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66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66">
        <f>AF416*V416</f>
        <v/>
      </c>
      <c r="AQ416" s="66">
        <f>AG416*W416</f>
        <v/>
      </c>
      <c r="AR416" s="66">
        <f>AH416*X416</f>
        <v/>
      </c>
      <c r="AS416" s="66">
        <f>AI416*Y416</f>
        <v/>
      </c>
      <c r="AT416" s="66">
        <f>AJ416*Z416</f>
        <v/>
      </c>
      <c r="AU416" s="66">
        <f>AK416*AA416</f>
        <v/>
      </c>
      <c r="AV416" s="66">
        <f>AL416*AB416</f>
        <v/>
      </c>
      <c r="AW416" s="66">
        <f>AM416*AC416</f>
        <v/>
      </c>
      <c r="AX416" s="66">
        <f>AN416*AD416</f>
        <v/>
      </c>
      <c r="AY416" s="66">
        <f>AO416*AE416</f>
        <v/>
      </c>
      <c r="AZ416" s="66">
        <f>INDEX(Projects[Automation Equipment],415)&amp;""</f>
        <v/>
      </c>
      <c r="BA416" s="66">
        <f>IF(OR(A416="",'Smart Search'!H13=0),"",MAX(0,BE416*BF416*MAX(0,1-BG416)))</f>
        <v/>
      </c>
      <c r="BB416" s="66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66">
        <f>IF('Smart Search'!G13=1,IFERROR(1/'Smart Search'!H13,0),0)</f>
        <v/>
      </c>
      <c r="BD416" s="66">
        <f>BB416*BC416</f>
        <v/>
      </c>
      <c r="BE416" s="66">
        <f>AP416+AQ416+AR416+AS416+AT416+AU416+AV416+AW416+AX416+AY416+BD416</f>
        <v/>
      </c>
      <c r="BF416" s="5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5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5">
        <f>IF(AND(A416&lt;&gt;"",OR('Smart Search'!$L$5="",'Smart Search'!$L$5="All",TRIM(BZ416)=TRIM('Smart Search'!$L$5)),OR(TRIM('Smart Search'!$L$6)="",TRIM('Smart Search'!$L$6)="All",ISNUMBER(SEARCH(SUBSTITUTE(SUBSTITUTE(SUBSTITUTE(TRIM('Smart Search'!$L$6),"~","~~"),"*","~*"),"?","~?"),CA416))),OR('Smart Search'!$L$7="",AND(CB416&lt;&gt;0,CB416='Smart Search'!$L$7)),OR('Smart Search'!$L$8="",'Smart Search'!$L$8="All",TRIM(CC416)=TRIM('Smart Search'!$L$8))),IF(BA416="","",BA416+ROW()*0.0000000001),"")</f>
        <v/>
      </c>
      <c r="BI416" s="5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5">
        <f>IF(A416="","",N(INDEX(Projects[Mech Inst],415)))</f>
        <v/>
      </c>
      <c r="BK416" s="5">
        <f>IF(A416="","",N(INDEX(Projects[Elec Inst],415)))</f>
        <v/>
      </c>
      <c r="BL416" s="5">
        <f>IF(A416="","",N(INDEX(Projects[Project Management],415)))</f>
        <v/>
      </c>
      <c r="BM416" s="5">
        <f>IF(A416="","",N(INDEX(Projects[Systems Eng],415)))</f>
        <v/>
      </c>
      <c r="BN416" s="5">
        <f>IF(A416="","",N(INDEX(Projects[Mechanical Eng],415)))</f>
        <v/>
      </c>
      <c r="BO416" s="5">
        <f>IF(A416="","",N(INDEX(Projects[Structural Engineering],415)))</f>
        <v/>
      </c>
      <c r="BP416" s="5">
        <f>IF(A416="","",N(INDEX(Projects[Site Sup],415)))</f>
        <v/>
      </c>
      <c r="BQ416" s="5">
        <f>IF(A416="","",N(INDEX(Projects[Controls Commissioning],415)))</f>
        <v/>
      </c>
      <c r="BR416" s="5">
        <f>IF(A416="","",N(INDEX(Projects[Systems Commissioning],415)))</f>
        <v/>
      </c>
      <c r="BS416" s="5">
        <f>IF(A416="","",N(INDEX(Projects[Service Commissioning],415)))</f>
        <v/>
      </c>
      <c r="BT416" s="5">
        <f>IF(A416="","",N(INDEX(Projects[Controls Eng],415)))</f>
        <v/>
      </c>
      <c r="BU416" s="5">
        <f>IF(A416="","",N(INDEX(Projects[Controls Purchase],415)))</f>
        <v/>
      </c>
      <c r="BV416" s="5">
        <f>IF(A416="","",N(INDEX(Projects[Software Eng],415)))</f>
        <v/>
      </c>
      <c r="BW416" s="5">
        <f>IF(A416="","",N(INDEX(Projects[Misc],415)))</f>
        <v/>
      </c>
      <c r="BX416" s="5">
        <f>IF(A416="","",SUM(BJ416:BW416))</f>
        <v/>
      </c>
      <c r="BY416" s="5">
        <f>IF(A416="","",IFERROR(IF(ISNUMBER(U416),U416,VALUE(SUBSTITUTE(SUBSTITUTE(SUBSTITUTE(UPPER(TRIM(U416)),"M",""),",","")," ",""))),0))</f>
        <v/>
      </c>
      <c r="BZ416" s="5">
        <f>INDEX(Projects[Solution Type],415)&amp;""</f>
        <v/>
      </c>
      <c r="CA416" s="5">
        <f>INDEX(Projects[Client / Region],415)&amp;""</f>
        <v/>
      </c>
      <c r="CB416" s="5">
        <f>INDEX(Projects[Year],415)</f>
        <v/>
      </c>
      <c r="CC416" s="5">
        <f>INDEX(Projects[Won?],415)&amp;""</f>
        <v/>
      </c>
      <c r="CD416" s="5">
        <f>INDEX(Projects[Value (USD M)],415)</f>
        <v/>
      </c>
    </row>
    <row r="417" ht="15" customHeight="1" s="74">
      <c r="A417" s="66">
        <f>INDEX(Projects[Project ID *],416)&amp;""</f>
        <v/>
      </c>
      <c r="B417" s="66">
        <f>INDEX(Projects[Project Name *],416)&amp;""</f>
        <v/>
      </c>
      <c r="C417" s="66">
        <f>INDEX(Projects[MS Shuttles],416)</f>
        <v/>
      </c>
      <c r="D417" s="66">
        <f>INDEX(Projects[MS Tote Locations],416)</f>
        <v/>
      </c>
      <c r="E417" s="66">
        <f>INDEX(Projects[AS Robots],416)</f>
        <v/>
      </c>
      <c r="F417" s="66">
        <f>INDEX(Projects[AS Tote Locations],416)</f>
        <v/>
      </c>
      <c r="G417" s="66">
        <f>INDEX(Projects[PS Shuttles],416)</f>
        <v/>
      </c>
      <c r="H417" s="66">
        <f>INDEX(Projects[PS Pallet Locations],416)</f>
        <v/>
      </c>
      <c r="I417" s="66">
        <f>INDEX(Projects[SRM Cranes],416)</f>
        <v/>
      </c>
      <c r="J417" s="66">
        <f>INDEX(Projects[SRM Pallet Locations],416)</f>
        <v/>
      </c>
      <c r="K417" s="66">
        <f>INDEX(Projects[Case Conv (m)],416)</f>
        <v/>
      </c>
      <c r="L417" s="66">
        <f>INDEX(Projects[Pallet Conv (m)],416)</f>
        <v/>
      </c>
      <c r="M417" s="66">
        <f>INDEX(Projects[Mech Eng (wks)],416)</f>
        <v/>
      </c>
      <c r="N417" s="66">
        <f>INDEX(Projects[Controls Eng (wks)],416)</f>
        <v/>
      </c>
      <c r="O417" s="66">
        <f>INDEX(Projects[Systems Eng (wks)],416)</f>
        <v/>
      </c>
      <c r="P417" s="66">
        <f>INDEX(Projects[Software Eng (wks)],416)</f>
        <v/>
      </c>
      <c r="Q417" s="66">
        <f>INDEX(Projects[M&amp;E Installation (wks)],416)</f>
        <v/>
      </c>
      <c r="R417" s="66">
        <f>INDEX(Projects[Commissioning (wks)],416)</f>
        <v/>
      </c>
      <c r="S417" s="66">
        <f>INDEX(Projects[Total Timeline (wks)],416)</f>
        <v/>
      </c>
      <c r="T417" s="66">
        <f>INDEX(Projects[Currency],416)&amp;""</f>
        <v/>
      </c>
      <c r="U417" s="67">
        <f>INDEX(Projects[Value (M)],416)</f>
        <v/>
      </c>
      <c r="V417" s="66">
        <f>IF('Smart Search'!B13=1,IFERROR(1/'Smart Search'!H13,0),0)</f>
        <v/>
      </c>
      <c r="W417" s="66">
        <f>IF('Smart Search'!B13=1,IFERROR(1/'Smart Search'!H13,0),0)</f>
        <v/>
      </c>
      <c r="X417" s="66">
        <f>IF('Smart Search'!C13=1,IFERROR(1/'Smart Search'!H13,0),0)</f>
        <v/>
      </c>
      <c r="Y417" s="66">
        <f>IF('Smart Search'!C13=1,IFERROR(1/'Smart Search'!H13,0),0)</f>
        <v/>
      </c>
      <c r="Z417" s="66">
        <f>IF('Smart Search'!D13=1,IFERROR(1/'Smart Search'!H13,0),0)</f>
        <v/>
      </c>
      <c r="AA417" s="66">
        <f>IF('Smart Search'!D13=1,IFERROR(1/'Smart Search'!H13,0),0)</f>
        <v/>
      </c>
      <c r="AB417" s="66">
        <f>IF('Smart Search'!E13=1,IFERROR(1/'Smart Search'!H13,0),0)</f>
        <v/>
      </c>
      <c r="AC417" s="66">
        <f>IF('Smart Search'!E13=1,IFERROR(1/'Smart Search'!H13,0),0)</f>
        <v/>
      </c>
      <c r="AD417" s="66">
        <f>IF('Smart Search'!F13=1,IFERROR(1/'Smart Search'!H13,0),0)</f>
        <v/>
      </c>
      <c r="AE417" s="66">
        <f>IF('Smart Search'!F13=1,IFERROR(1/'Smart Search'!H13,0),0)</f>
        <v/>
      </c>
      <c r="AF417" s="66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66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66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66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66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66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66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66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66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66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66">
        <f>AF417*V417</f>
        <v/>
      </c>
      <c r="AQ417" s="66">
        <f>AG417*W417</f>
        <v/>
      </c>
      <c r="AR417" s="66">
        <f>AH417*X417</f>
        <v/>
      </c>
      <c r="AS417" s="66">
        <f>AI417*Y417</f>
        <v/>
      </c>
      <c r="AT417" s="66">
        <f>AJ417*Z417</f>
        <v/>
      </c>
      <c r="AU417" s="66">
        <f>AK417*AA417</f>
        <v/>
      </c>
      <c r="AV417" s="66">
        <f>AL417*AB417</f>
        <v/>
      </c>
      <c r="AW417" s="66">
        <f>AM417*AC417</f>
        <v/>
      </c>
      <c r="AX417" s="66">
        <f>AN417*AD417</f>
        <v/>
      </c>
      <c r="AY417" s="66">
        <f>AO417*AE417</f>
        <v/>
      </c>
      <c r="AZ417" s="66">
        <f>INDEX(Projects[Automation Equipment],416)&amp;""</f>
        <v/>
      </c>
      <c r="BA417" s="66">
        <f>IF(OR(A417="",'Smart Search'!H13=0),"",MAX(0,BE417*BF417*MAX(0,1-BG417)))</f>
        <v/>
      </c>
      <c r="BB417" s="66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66">
        <f>IF('Smart Search'!G13=1,IFERROR(1/'Smart Search'!H13,0),0)</f>
        <v/>
      </c>
      <c r="BD417" s="66">
        <f>BB417*BC417</f>
        <v/>
      </c>
      <c r="BE417" s="66">
        <f>AP417+AQ417+AR417+AS417+AT417+AU417+AV417+AW417+AX417+AY417+BD417</f>
        <v/>
      </c>
      <c r="BF417" s="5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5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5">
        <f>IF(AND(A417&lt;&gt;"",OR('Smart Search'!$L$5="",'Smart Search'!$L$5="All",TRIM(BZ417)=TRIM('Smart Search'!$L$5)),OR(TRIM('Smart Search'!$L$6)="",TRIM('Smart Search'!$L$6)="All",ISNUMBER(SEARCH(SUBSTITUTE(SUBSTITUTE(SUBSTITUTE(TRIM('Smart Search'!$L$6),"~","~~"),"*","~*"),"?","~?"),CA417))),OR('Smart Search'!$L$7="",AND(CB417&lt;&gt;0,CB417='Smart Search'!$L$7)),OR('Smart Search'!$L$8="",'Smart Search'!$L$8="All",TRIM(CC417)=TRIM('Smart Search'!$L$8))),IF(BA417="","",BA417+ROW()*0.0000000001),"")</f>
        <v/>
      </c>
      <c r="BI417" s="5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5">
        <f>IF(A417="","",N(INDEX(Projects[Mech Inst],416)))</f>
        <v/>
      </c>
      <c r="BK417" s="5">
        <f>IF(A417="","",N(INDEX(Projects[Elec Inst],416)))</f>
        <v/>
      </c>
      <c r="BL417" s="5">
        <f>IF(A417="","",N(INDEX(Projects[Project Management],416)))</f>
        <v/>
      </c>
      <c r="BM417" s="5">
        <f>IF(A417="","",N(INDEX(Projects[Systems Eng],416)))</f>
        <v/>
      </c>
      <c r="BN417" s="5">
        <f>IF(A417="","",N(INDEX(Projects[Mechanical Eng],416)))</f>
        <v/>
      </c>
      <c r="BO417" s="5">
        <f>IF(A417="","",N(INDEX(Projects[Structural Engineering],416)))</f>
        <v/>
      </c>
      <c r="BP417" s="5">
        <f>IF(A417="","",N(INDEX(Projects[Site Sup],416)))</f>
        <v/>
      </c>
      <c r="BQ417" s="5">
        <f>IF(A417="","",N(INDEX(Projects[Controls Commissioning],416)))</f>
        <v/>
      </c>
      <c r="BR417" s="5">
        <f>IF(A417="","",N(INDEX(Projects[Systems Commissioning],416)))</f>
        <v/>
      </c>
      <c r="BS417" s="5">
        <f>IF(A417="","",N(INDEX(Projects[Service Commissioning],416)))</f>
        <v/>
      </c>
      <c r="BT417" s="5">
        <f>IF(A417="","",N(INDEX(Projects[Controls Eng],416)))</f>
        <v/>
      </c>
      <c r="BU417" s="5">
        <f>IF(A417="","",N(INDEX(Projects[Controls Purchase],416)))</f>
        <v/>
      </c>
      <c r="BV417" s="5">
        <f>IF(A417="","",N(INDEX(Projects[Software Eng],416)))</f>
        <v/>
      </c>
      <c r="BW417" s="5">
        <f>IF(A417="","",N(INDEX(Projects[Misc],416)))</f>
        <v/>
      </c>
      <c r="BX417" s="5">
        <f>IF(A417="","",SUM(BJ417:BW417))</f>
        <v/>
      </c>
      <c r="BY417" s="5">
        <f>IF(A417="","",IFERROR(IF(ISNUMBER(U417),U417,VALUE(SUBSTITUTE(SUBSTITUTE(SUBSTITUTE(UPPER(TRIM(U417)),"M",""),",","")," ",""))),0))</f>
        <v/>
      </c>
      <c r="BZ417" s="5">
        <f>INDEX(Projects[Solution Type],416)&amp;""</f>
        <v/>
      </c>
      <c r="CA417" s="5">
        <f>INDEX(Projects[Client / Region],416)&amp;""</f>
        <v/>
      </c>
      <c r="CB417" s="5">
        <f>INDEX(Projects[Year],416)</f>
        <v/>
      </c>
      <c r="CC417" s="5">
        <f>INDEX(Projects[Won?],416)&amp;""</f>
        <v/>
      </c>
      <c r="CD417" s="5">
        <f>INDEX(Projects[Value (USD M)],416)</f>
        <v/>
      </c>
    </row>
    <row r="418" ht="15" customHeight="1" s="74">
      <c r="A418" s="66">
        <f>INDEX(Projects[Project ID *],417)&amp;""</f>
        <v/>
      </c>
      <c r="B418" s="66">
        <f>INDEX(Projects[Project Name *],417)&amp;""</f>
        <v/>
      </c>
      <c r="C418" s="66">
        <f>INDEX(Projects[MS Shuttles],417)</f>
        <v/>
      </c>
      <c r="D418" s="66">
        <f>INDEX(Projects[MS Tote Locations],417)</f>
        <v/>
      </c>
      <c r="E418" s="66">
        <f>INDEX(Projects[AS Robots],417)</f>
        <v/>
      </c>
      <c r="F418" s="66">
        <f>INDEX(Projects[AS Tote Locations],417)</f>
        <v/>
      </c>
      <c r="G418" s="66">
        <f>INDEX(Projects[PS Shuttles],417)</f>
        <v/>
      </c>
      <c r="H418" s="66">
        <f>INDEX(Projects[PS Pallet Locations],417)</f>
        <v/>
      </c>
      <c r="I418" s="66">
        <f>INDEX(Projects[SRM Cranes],417)</f>
        <v/>
      </c>
      <c r="J418" s="66">
        <f>INDEX(Projects[SRM Pallet Locations],417)</f>
        <v/>
      </c>
      <c r="K418" s="66">
        <f>INDEX(Projects[Case Conv (m)],417)</f>
        <v/>
      </c>
      <c r="L418" s="66">
        <f>INDEX(Projects[Pallet Conv (m)],417)</f>
        <v/>
      </c>
      <c r="M418" s="66">
        <f>INDEX(Projects[Mech Eng (wks)],417)</f>
        <v/>
      </c>
      <c r="N418" s="66">
        <f>INDEX(Projects[Controls Eng (wks)],417)</f>
        <v/>
      </c>
      <c r="O418" s="66">
        <f>INDEX(Projects[Systems Eng (wks)],417)</f>
        <v/>
      </c>
      <c r="P418" s="66">
        <f>INDEX(Projects[Software Eng (wks)],417)</f>
        <v/>
      </c>
      <c r="Q418" s="66">
        <f>INDEX(Projects[M&amp;E Installation (wks)],417)</f>
        <v/>
      </c>
      <c r="R418" s="66">
        <f>INDEX(Projects[Commissioning (wks)],417)</f>
        <v/>
      </c>
      <c r="S418" s="66">
        <f>INDEX(Projects[Total Timeline (wks)],417)</f>
        <v/>
      </c>
      <c r="T418" s="66">
        <f>INDEX(Projects[Currency],417)&amp;""</f>
        <v/>
      </c>
      <c r="U418" s="67">
        <f>INDEX(Projects[Value (M)],417)</f>
        <v/>
      </c>
      <c r="V418" s="66">
        <f>IF('Smart Search'!B13=1,IFERROR(1/'Smart Search'!H13,0),0)</f>
        <v/>
      </c>
      <c r="W418" s="66">
        <f>IF('Smart Search'!B13=1,IFERROR(1/'Smart Search'!H13,0),0)</f>
        <v/>
      </c>
      <c r="X418" s="66">
        <f>IF('Smart Search'!C13=1,IFERROR(1/'Smart Search'!H13,0),0)</f>
        <v/>
      </c>
      <c r="Y418" s="66">
        <f>IF('Smart Search'!C13=1,IFERROR(1/'Smart Search'!H13,0),0)</f>
        <v/>
      </c>
      <c r="Z418" s="66">
        <f>IF('Smart Search'!D13=1,IFERROR(1/'Smart Search'!H13,0),0)</f>
        <v/>
      </c>
      <c r="AA418" s="66">
        <f>IF('Smart Search'!D13=1,IFERROR(1/'Smart Search'!H13,0),0)</f>
        <v/>
      </c>
      <c r="AB418" s="66">
        <f>IF('Smart Search'!E13=1,IFERROR(1/'Smart Search'!H13,0),0)</f>
        <v/>
      </c>
      <c r="AC418" s="66">
        <f>IF('Smart Search'!E13=1,IFERROR(1/'Smart Search'!H13,0),0)</f>
        <v/>
      </c>
      <c r="AD418" s="66">
        <f>IF('Smart Search'!F13=1,IFERROR(1/'Smart Search'!H13,0),0)</f>
        <v/>
      </c>
      <c r="AE418" s="66">
        <f>IF('Smart Search'!F13=1,IFERROR(1/'Smart Search'!H13,0),0)</f>
        <v/>
      </c>
      <c r="AF418" s="66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66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66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66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66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66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66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66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66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66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66">
        <f>AF418*V418</f>
        <v/>
      </c>
      <c r="AQ418" s="66">
        <f>AG418*W418</f>
        <v/>
      </c>
      <c r="AR418" s="66">
        <f>AH418*X418</f>
        <v/>
      </c>
      <c r="AS418" s="66">
        <f>AI418*Y418</f>
        <v/>
      </c>
      <c r="AT418" s="66">
        <f>AJ418*Z418</f>
        <v/>
      </c>
      <c r="AU418" s="66">
        <f>AK418*AA418</f>
        <v/>
      </c>
      <c r="AV418" s="66">
        <f>AL418*AB418</f>
        <v/>
      </c>
      <c r="AW418" s="66">
        <f>AM418*AC418</f>
        <v/>
      </c>
      <c r="AX418" s="66">
        <f>AN418*AD418</f>
        <v/>
      </c>
      <c r="AY418" s="66">
        <f>AO418*AE418</f>
        <v/>
      </c>
      <c r="AZ418" s="66">
        <f>INDEX(Projects[Automation Equipment],417)&amp;""</f>
        <v/>
      </c>
      <c r="BA418" s="66">
        <f>IF(OR(A418="",'Smart Search'!H13=0),"",MAX(0,BE418*BF418*MAX(0,1-BG418)))</f>
        <v/>
      </c>
      <c r="BB418" s="66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66">
        <f>IF('Smart Search'!G13=1,IFERROR(1/'Smart Search'!H13,0),0)</f>
        <v/>
      </c>
      <c r="BD418" s="66">
        <f>BB418*BC418</f>
        <v/>
      </c>
      <c r="BE418" s="66">
        <f>AP418+AQ418+AR418+AS418+AT418+AU418+AV418+AW418+AX418+AY418+BD418</f>
        <v/>
      </c>
      <c r="BF418" s="5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5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5">
        <f>IF(AND(A418&lt;&gt;"",OR('Smart Search'!$L$5="",'Smart Search'!$L$5="All",TRIM(BZ418)=TRIM('Smart Search'!$L$5)),OR(TRIM('Smart Search'!$L$6)="",TRIM('Smart Search'!$L$6)="All",ISNUMBER(SEARCH(SUBSTITUTE(SUBSTITUTE(SUBSTITUTE(TRIM('Smart Search'!$L$6),"~","~~"),"*","~*"),"?","~?"),CA418))),OR('Smart Search'!$L$7="",AND(CB418&lt;&gt;0,CB418='Smart Search'!$L$7)),OR('Smart Search'!$L$8="",'Smart Search'!$L$8="All",TRIM(CC418)=TRIM('Smart Search'!$L$8))),IF(BA418="","",BA418+ROW()*0.0000000001),"")</f>
        <v/>
      </c>
      <c r="BI418" s="5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5">
        <f>IF(A418="","",N(INDEX(Projects[Mech Inst],417)))</f>
        <v/>
      </c>
      <c r="BK418" s="5">
        <f>IF(A418="","",N(INDEX(Projects[Elec Inst],417)))</f>
        <v/>
      </c>
      <c r="BL418" s="5">
        <f>IF(A418="","",N(INDEX(Projects[Project Management],417)))</f>
        <v/>
      </c>
      <c r="BM418" s="5">
        <f>IF(A418="","",N(INDEX(Projects[Systems Eng],417)))</f>
        <v/>
      </c>
      <c r="BN418" s="5">
        <f>IF(A418="","",N(INDEX(Projects[Mechanical Eng],417)))</f>
        <v/>
      </c>
      <c r="BO418" s="5">
        <f>IF(A418="","",N(INDEX(Projects[Structural Engineering],417)))</f>
        <v/>
      </c>
      <c r="BP418" s="5">
        <f>IF(A418="","",N(INDEX(Projects[Site Sup],417)))</f>
        <v/>
      </c>
      <c r="BQ418" s="5">
        <f>IF(A418="","",N(INDEX(Projects[Controls Commissioning],417)))</f>
        <v/>
      </c>
      <c r="BR418" s="5">
        <f>IF(A418="","",N(INDEX(Projects[Systems Commissioning],417)))</f>
        <v/>
      </c>
      <c r="BS418" s="5">
        <f>IF(A418="","",N(INDEX(Projects[Service Commissioning],417)))</f>
        <v/>
      </c>
      <c r="BT418" s="5">
        <f>IF(A418="","",N(INDEX(Projects[Controls Eng],417)))</f>
        <v/>
      </c>
      <c r="BU418" s="5">
        <f>IF(A418="","",N(INDEX(Projects[Controls Purchase],417)))</f>
        <v/>
      </c>
      <c r="BV418" s="5">
        <f>IF(A418="","",N(INDEX(Projects[Software Eng],417)))</f>
        <v/>
      </c>
      <c r="BW418" s="5">
        <f>IF(A418="","",N(INDEX(Projects[Misc],417)))</f>
        <v/>
      </c>
      <c r="BX418" s="5">
        <f>IF(A418="","",SUM(BJ418:BW418))</f>
        <v/>
      </c>
      <c r="BY418" s="5">
        <f>IF(A418="","",IFERROR(IF(ISNUMBER(U418),U418,VALUE(SUBSTITUTE(SUBSTITUTE(SUBSTITUTE(UPPER(TRIM(U418)),"M",""),",","")," ",""))),0))</f>
        <v/>
      </c>
      <c r="BZ418" s="5">
        <f>INDEX(Projects[Solution Type],417)&amp;""</f>
        <v/>
      </c>
      <c r="CA418" s="5">
        <f>INDEX(Projects[Client / Region],417)&amp;""</f>
        <v/>
      </c>
      <c r="CB418" s="5">
        <f>INDEX(Projects[Year],417)</f>
        <v/>
      </c>
      <c r="CC418" s="5">
        <f>INDEX(Projects[Won?],417)&amp;""</f>
        <v/>
      </c>
      <c r="CD418" s="5">
        <f>INDEX(Projects[Value (USD M)],417)</f>
        <v/>
      </c>
    </row>
    <row r="419" ht="15" customHeight="1" s="74">
      <c r="A419" s="66">
        <f>INDEX(Projects[Project ID *],418)&amp;""</f>
        <v/>
      </c>
      <c r="B419" s="66">
        <f>INDEX(Projects[Project Name *],418)&amp;""</f>
        <v/>
      </c>
      <c r="C419" s="66">
        <f>INDEX(Projects[MS Shuttles],418)</f>
        <v/>
      </c>
      <c r="D419" s="66">
        <f>INDEX(Projects[MS Tote Locations],418)</f>
        <v/>
      </c>
      <c r="E419" s="66">
        <f>INDEX(Projects[AS Robots],418)</f>
        <v/>
      </c>
      <c r="F419" s="66">
        <f>INDEX(Projects[AS Tote Locations],418)</f>
        <v/>
      </c>
      <c r="G419" s="66">
        <f>INDEX(Projects[PS Shuttles],418)</f>
        <v/>
      </c>
      <c r="H419" s="66">
        <f>INDEX(Projects[PS Pallet Locations],418)</f>
        <v/>
      </c>
      <c r="I419" s="66">
        <f>INDEX(Projects[SRM Cranes],418)</f>
        <v/>
      </c>
      <c r="J419" s="66">
        <f>INDEX(Projects[SRM Pallet Locations],418)</f>
        <v/>
      </c>
      <c r="K419" s="66">
        <f>INDEX(Projects[Case Conv (m)],418)</f>
        <v/>
      </c>
      <c r="L419" s="66">
        <f>INDEX(Projects[Pallet Conv (m)],418)</f>
        <v/>
      </c>
      <c r="M419" s="66">
        <f>INDEX(Projects[Mech Eng (wks)],418)</f>
        <v/>
      </c>
      <c r="N419" s="66">
        <f>INDEX(Projects[Controls Eng (wks)],418)</f>
        <v/>
      </c>
      <c r="O419" s="66">
        <f>INDEX(Projects[Systems Eng (wks)],418)</f>
        <v/>
      </c>
      <c r="P419" s="66">
        <f>INDEX(Projects[Software Eng (wks)],418)</f>
        <v/>
      </c>
      <c r="Q419" s="66">
        <f>INDEX(Projects[M&amp;E Installation (wks)],418)</f>
        <v/>
      </c>
      <c r="R419" s="66">
        <f>INDEX(Projects[Commissioning (wks)],418)</f>
        <v/>
      </c>
      <c r="S419" s="66">
        <f>INDEX(Projects[Total Timeline (wks)],418)</f>
        <v/>
      </c>
      <c r="T419" s="66">
        <f>INDEX(Projects[Currency],418)&amp;""</f>
        <v/>
      </c>
      <c r="U419" s="67">
        <f>INDEX(Projects[Value (M)],418)</f>
        <v/>
      </c>
      <c r="V419" s="66">
        <f>IF('Smart Search'!B13=1,IFERROR(1/'Smart Search'!H13,0),0)</f>
        <v/>
      </c>
      <c r="W419" s="66">
        <f>IF('Smart Search'!B13=1,IFERROR(1/'Smart Search'!H13,0),0)</f>
        <v/>
      </c>
      <c r="X419" s="66">
        <f>IF('Smart Search'!C13=1,IFERROR(1/'Smart Search'!H13,0),0)</f>
        <v/>
      </c>
      <c r="Y419" s="66">
        <f>IF('Smart Search'!C13=1,IFERROR(1/'Smart Search'!H13,0),0)</f>
        <v/>
      </c>
      <c r="Z419" s="66">
        <f>IF('Smart Search'!D13=1,IFERROR(1/'Smart Search'!H13,0),0)</f>
        <v/>
      </c>
      <c r="AA419" s="66">
        <f>IF('Smart Search'!D13=1,IFERROR(1/'Smart Search'!H13,0),0)</f>
        <v/>
      </c>
      <c r="AB419" s="66">
        <f>IF('Smart Search'!E13=1,IFERROR(1/'Smart Search'!H13,0),0)</f>
        <v/>
      </c>
      <c r="AC419" s="66">
        <f>IF('Smart Search'!E13=1,IFERROR(1/'Smart Search'!H13,0),0)</f>
        <v/>
      </c>
      <c r="AD419" s="66">
        <f>IF('Smart Search'!F13=1,IFERROR(1/'Smart Search'!H13,0),0)</f>
        <v/>
      </c>
      <c r="AE419" s="66">
        <f>IF('Smart Search'!F13=1,IFERROR(1/'Smart Search'!H13,0),0)</f>
        <v/>
      </c>
      <c r="AF419" s="66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66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66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66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66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66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66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66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66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66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66">
        <f>AF419*V419</f>
        <v/>
      </c>
      <c r="AQ419" s="66">
        <f>AG419*W419</f>
        <v/>
      </c>
      <c r="AR419" s="66">
        <f>AH419*X419</f>
        <v/>
      </c>
      <c r="AS419" s="66">
        <f>AI419*Y419</f>
        <v/>
      </c>
      <c r="AT419" s="66">
        <f>AJ419*Z419</f>
        <v/>
      </c>
      <c r="AU419" s="66">
        <f>AK419*AA419</f>
        <v/>
      </c>
      <c r="AV419" s="66">
        <f>AL419*AB419</f>
        <v/>
      </c>
      <c r="AW419" s="66">
        <f>AM419*AC419</f>
        <v/>
      </c>
      <c r="AX419" s="66">
        <f>AN419*AD419</f>
        <v/>
      </c>
      <c r="AY419" s="66">
        <f>AO419*AE419</f>
        <v/>
      </c>
      <c r="AZ419" s="66">
        <f>INDEX(Projects[Automation Equipment],418)&amp;""</f>
        <v/>
      </c>
      <c r="BA419" s="66">
        <f>IF(OR(A419="",'Smart Search'!H13=0),"",MAX(0,BE419*BF419*MAX(0,1-BG419)))</f>
        <v/>
      </c>
      <c r="BB419" s="66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66">
        <f>IF('Smart Search'!G13=1,IFERROR(1/'Smart Search'!H13,0),0)</f>
        <v/>
      </c>
      <c r="BD419" s="66">
        <f>BB419*BC419</f>
        <v/>
      </c>
      <c r="BE419" s="66">
        <f>AP419+AQ419+AR419+AS419+AT419+AU419+AV419+AW419+AX419+AY419+BD419</f>
        <v/>
      </c>
      <c r="BF419" s="5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5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5">
        <f>IF(AND(A419&lt;&gt;"",OR('Smart Search'!$L$5="",'Smart Search'!$L$5="All",TRIM(BZ419)=TRIM('Smart Search'!$L$5)),OR(TRIM('Smart Search'!$L$6)="",TRIM('Smart Search'!$L$6)="All",ISNUMBER(SEARCH(SUBSTITUTE(SUBSTITUTE(SUBSTITUTE(TRIM('Smart Search'!$L$6),"~","~~"),"*","~*"),"?","~?"),CA419))),OR('Smart Search'!$L$7="",AND(CB419&lt;&gt;0,CB419='Smart Search'!$L$7)),OR('Smart Search'!$L$8="",'Smart Search'!$L$8="All",TRIM(CC419)=TRIM('Smart Search'!$L$8))),IF(BA419="","",BA419+ROW()*0.0000000001),"")</f>
        <v/>
      </c>
      <c r="BI419" s="5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5">
        <f>IF(A419="","",N(INDEX(Projects[Mech Inst],418)))</f>
        <v/>
      </c>
      <c r="BK419" s="5">
        <f>IF(A419="","",N(INDEX(Projects[Elec Inst],418)))</f>
        <v/>
      </c>
      <c r="BL419" s="5">
        <f>IF(A419="","",N(INDEX(Projects[Project Management],418)))</f>
        <v/>
      </c>
      <c r="BM419" s="5">
        <f>IF(A419="","",N(INDEX(Projects[Systems Eng],418)))</f>
        <v/>
      </c>
      <c r="BN419" s="5">
        <f>IF(A419="","",N(INDEX(Projects[Mechanical Eng],418)))</f>
        <v/>
      </c>
      <c r="BO419" s="5">
        <f>IF(A419="","",N(INDEX(Projects[Structural Engineering],418)))</f>
        <v/>
      </c>
      <c r="BP419" s="5">
        <f>IF(A419="","",N(INDEX(Projects[Site Sup],418)))</f>
        <v/>
      </c>
      <c r="BQ419" s="5">
        <f>IF(A419="","",N(INDEX(Projects[Controls Commissioning],418)))</f>
        <v/>
      </c>
      <c r="BR419" s="5">
        <f>IF(A419="","",N(INDEX(Projects[Systems Commissioning],418)))</f>
        <v/>
      </c>
      <c r="BS419" s="5">
        <f>IF(A419="","",N(INDEX(Projects[Service Commissioning],418)))</f>
        <v/>
      </c>
      <c r="BT419" s="5">
        <f>IF(A419="","",N(INDEX(Projects[Controls Eng],418)))</f>
        <v/>
      </c>
      <c r="BU419" s="5">
        <f>IF(A419="","",N(INDEX(Projects[Controls Purchase],418)))</f>
        <v/>
      </c>
      <c r="BV419" s="5">
        <f>IF(A419="","",N(INDEX(Projects[Software Eng],418)))</f>
        <v/>
      </c>
      <c r="BW419" s="5">
        <f>IF(A419="","",N(INDEX(Projects[Misc],418)))</f>
        <v/>
      </c>
      <c r="BX419" s="5">
        <f>IF(A419="","",SUM(BJ419:BW419))</f>
        <v/>
      </c>
      <c r="BY419" s="5">
        <f>IF(A419="","",IFERROR(IF(ISNUMBER(U419),U419,VALUE(SUBSTITUTE(SUBSTITUTE(SUBSTITUTE(UPPER(TRIM(U419)),"M",""),",","")," ",""))),0))</f>
        <v/>
      </c>
      <c r="BZ419" s="5">
        <f>INDEX(Projects[Solution Type],418)&amp;""</f>
        <v/>
      </c>
      <c r="CA419" s="5">
        <f>INDEX(Projects[Client / Region],418)&amp;""</f>
        <v/>
      </c>
      <c r="CB419" s="5">
        <f>INDEX(Projects[Year],418)</f>
        <v/>
      </c>
      <c r="CC419" s="5">
        <f>INDEX(Projects[Won?],418)&amp;""</f>
        <v/>
      </c>
      <c r="CD419" s="5">
        <f>INDEX(Projects[Value (USD M)],418)</f>
        <v/>
      </c>
    </row>
    <row r="420" ht="15" customHeight="1" s="74">
      <c r="A420" s="66">
        <f>INDEX(Projects[Project ID *],419)&amp;""</f>
        <v/>
      </c>
      <c r="B420" s="66">
        <f>INDEX(Projects[Project Name *],419)&amp;""</f>
        <v/>
      </c>
      <c r="C420" s="66">
        <f>INDEX(Projects[MS Shuttles],419)</f>
        <v/>
      </c>
      <c r="D420" s="66">
        <f>INDEX(Projects[MS Tote Locations],419)</f>
        <v/>
      </c>
      <c r="E420" s="66">
        <f>INDEX(Projects[AS Robots],419)</f>
        <v/>
      </c>
      <c r="F420" s="66">
        <f>INDEX(Projects[AS Tote Locations],419)</f>
        <v/>
      </c>
      <c r="G420" s="66">
        <f>INDEX(Projects[PS Shuttles],419)</f>
        <v/>
      </c>
      <c r="H420" s="66">
        <f>INDEX(Projects[PS Pallet Locations],419)</f>
        <v/>
      </c>
      <c r="I420" s="66">
        <f>INDEX(Projects[SRM Cranes],419)</f>
        <v/>
      </c>
      <c r="J420" s="66">
        <f>INDEX(Projects[SRM Pallet Locations],419)</f>
        <v/>
      </c>
      <c r="K420" s="66">
        <f>INDEX(Projects[Case Conv (m)],419)</f>
        <v/>
      </c>
      <c r="L420" s="66">
        <f>INDEX(Projects[Pallet Conv (m)],419)</f>
        <v/>
      </c>
      <c r="M420" s="66">
        <f>INDEX(Projects[Mech Eng (wks)],419)</f>
        <v/>
      </c>
      <c r="N420" s="66">
        <f>INDEX(Projects[Controls Eng (wks)],419)</f>
        <v/>
      </c>
      <c r="O420" s="66">
        <f>INDEX(Projects[Systems Eng (wks)],419)</f>
        <v/>
      </c>
      <c r="P420" s="66">
        <f>INDEX(Projects[Software Eng (wks)],419)</f>
        <v/>
      </c>
      <c r="Q420" s="66">
        <f>INDEX(Projects[M&amp;E Installation (wks)],419)</f>
        <v/>
      </c>
      <c r="R420" s="66">
        <f>INDEX(Projects[Commissioning (wks)],419)</f>
        <v/>
      </c>
      <c r="S420" s="66">
        <f>INDEX(Projects[Total Timeline (wks)],419)</f>
        <v/>
      </c>
      <c r="T420" s="66">
        <f>INDEX(Projects[Currency],419)&amp;""</f>
        <v/>
      </c>
      <c r="U420" s="67">
        <f>INDEX(Projects[Value (M)],419)</f>
        <v/>
      </c>
      <c r="V420" s="66">
        <f>IF('Smart Search'!B13=1,IFERROR(1/'Smart Search'!H13,0),0)</f>
        <v/>
      </c>
      <c r="W420" s="66">
        <f>IF('Smart Search'!B13=1,IFERROR(1/'Smart Search'!H13,0),0)</f>
        <v/>
      </c>
      <c r="X420" s="66">
        <f>IF('Smart Search'!C13=1,IFERROR(1/'Smart Search'!H13,0),0)</f>
        <v/>
      </c>
      <c r="Y420" s="66">
        <f>IF('Smart Search'!C13=1,IFERROR(1/'Smart Search'!H13,0),0)</f>
        <v/>
      </c>
      <c r="Z420" s="66">
        <f>IF('Smart Search'!D13=1,IFERROR(1/'Smart Search'!H13,0),0)</f>
        <v/>
      </c>
      <c r="AA420" s="66">
        <f>IF('Smart Search'!D13=1,IFERROR(1/'Smart Search'!H13,0),0)</f>
        <v/>
      </c>
      <c r="AB420" s="66">
        <f>IF('Smart Search'!E13=1,IFERROR(1/'Smart Search'!H13,0),0)</f>
        <v/>
      </c>
      <c r="AC420" s="66">
        <f>IF('Smart Search'!E13=1,IFERROR(1/'Smart Search'!H13,0),0)</f>
        <v/>
      </c>
      <c r="AD420" s="66">
        <f>IF('Smart Search'!F13=1,IFERROR(1/'Smart Search'!H13,0),0)</f>
        <v/>
      </c>
      <c r="AE420" s="66">
        <f>IF('Smart Search'!F13=1,IFERROR(1/'Smart Search'!H13,0),0)</f>
        <v/>
      </c>
      <c r="AF420" s="66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66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66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66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66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66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66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66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66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66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66">
        <f>AF420*V420</f>
        <v/>
      </c>
      <c r="AQ420" s="66">
        <f>AG420*W420</f>
        <v/>
      </c>
      <c r="AR420" s="66">
        <f>AH420*X420</f>
        <v/>
      </c>
      <c r="AS420" s="66">
        <f>AI420*Y420</f>
        <v/>
      </c>
      <c r="AT420" s="66">
        <f>AJ420*Z420</f>
        <v/>
      </c>
      <c r="AU420" s="66">
        <f>AK420*AA420</f>
        <v/>
      </c>
      <c r="AV420" s="66">
        <f>AL420*AB420</f>
        <v/>
      </c>
      <c r="AW420" s="66">
        <f>AM420*AC420</f>
        <v/>
      </c>
      <c r="AX420" s="66">
        <f>AN420*AD420</f>
        <v/>
      </c>
      <c r="AY420" s="66">
        <f>AO420*AE420</f>
        <v/>
      </c>
      <c r="AZ420" s="66">
        <f>INDEX(Projects[Automation Equipment],419)&amp;""</f>
        <v/>
      </c>
      <c r="BA420" s="66">
        <f>IF(OR(A420="",'Smart Search'!H13=0),"",MAX(0,BE420*BF420*MAX(0,1-BG420)))</f>
        <v/>
      </c>
      <c r="BB420" s="66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66">
        <f>IF('Smart Search'!G13=1,IFERROR(1/'Smart Search'!H13,0),0)</f>
        <v/>
      </c>
      <c r="BD420" s="66">
        <f>BB420*BC420</f>
        <v/>
      </c>
      <c r="BE420" s="66">
        <f>AP420+AQ420+AR420+AS420+AT420+AU420+AV420+AW420+AX420+AY420+BD420</f>
        <v/>
      </c>
      <c r="BF420" s="5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5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5">
        <f>IF(AND(A420&lt;&gt;"",OR('Smart Search'!$L$5="",'Smart Search'!$L$5="All",TRIM(BZ420)=TRIM('Smart Search'!$L$5)),OR(TRIM('Smart Search'!$L$6)="",TRIM('Smart Search'!$L$6)="All",ISNUMBER(SEARCH(SUBSTITUTE(SUBSTITUTE(SUBSTITUTE(TRIM('Smart Search'!$L$6),"~","~~"),"*","~*"),"?","~?"),CA420))),OR('Smart Search'!$L$7="",AND(CB420&lt;&gt;0,CB420='Smart Search'!$L$7)),OR('Smart Search'!$L$8="",'Smart Search'!$L$8="All",TRIM(CC420)=TRIM('Smart Search'!$L$8))),IF(BA420="","",BA420+ROW()*0.0000000001),"")</f>
        <v/>
      </c>
      <c r="BI420" s="5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5">
        <f>IF(A420="","",N(INDEX(Projects[Mech Inst],419)))</f>
        <v/>
      </c>
      <c r="BK420" s="5">
        <f>IF(A420="","",N(INDEX(Projects[Elec Inst],419)))</f>
        <v/>
      </c>
      <c r="BL420" s="5">
        <f>IF(A420="","",N(INDEX(Projects[Project Management],419)))</f>
        <v/>
      </c>
      <c r="BM420" s="5">
        <f>IF(A420="","",N(INDEX(Projects[Systems Eng],419)))</f>
        <v/>
      </c>
      <c r="BN420" s="5">
        <f>IF(A420="","",N(INDEX(Projects[Mechanical Eng],419)))</f>
        <v/>
      </c>
      <c r="BO420" s="5">
        <f>IF(A420="","",N(INDEX(Projects[Structural Engineering],419)))</f>
        <v/>
      </c>
      <c r="BP420" s="5">
        <f>IF(A420="","",N(INDEX(Projects[Site Sup],419)))</f>
        <v/>
      </c>
      <c r="BQ420" s="5">
        <f>IF(A420="","",N(INDEX(Projects[Controls Commissioning],419)))</f>
        <v/>
      </c>
      <c r="BR420" s="5">
        <f>IF(A420="","",N(INDEX(Projects[Systems Commissioning],419)))</f>
        <v/>
      </c>
      <c r="BS420" s="5">
        <f>IF(A420="","",N(INDEX(Projects[Service Commissioning],419)))</f>
        <v/>
      </c>
      <c r="BT420" s="5">
        <f>IF(A420="","",N(INDEX(Projects[Controls Eng],419)))</f>
        <v/>
      </c>
      <c r="BU420" s="5">
        <f>IF(A420="","",N(INDEX(Projects[Controls Purchase],419)))</f>
        <v/>
      </c>
      <c r="BV420" s="5">
        <f>IF(A420="","",N(INDEX(Projects[Software Eng],419)))</f>
        <v/>
      </c>
      <c r="BW420" s="5">
        <f>IF(A420="","",N(INDEX(Projects[Misc],419)))</f>
        <v/>
      </c>
      <c r="BX420" s="5">
        <f>IF(A420="","",SUM(BJ420:BW420))</f>
        <v/>
      </c>
      <c r="BY420" s="5">
        <f>IF(A420="","",IFERROR(IF(ISNUMBER(U420),U420,VALUE(SUBSTITUTE(SUBSTITUTE(SUBSTITUTE(UPPER(TRIM(U420)),"M",""),",","")," ",""))),0))</f>
        <v/>
      </c>
      <c r="BZ420" s="5">
        <f>INDEX(Projects[Solution Type],419)&amp;""</f>
        <v/>
      </c>
      <c r="CA420" s="5">
        <f>INDEX(Projects[Client / Region],419)&amp;""</f>
        <v/>
      </c>
      <c r="CB420" s="5">
        <f>INDEX(Projects[Year],419)</f>
        <v/>
      </c>
      <c r="CC420" s="5">
        <f>INDEX(Projects[Won?],419)&amp;""</f>
        <v/>
      </c>
      <c r="CD420" s="5">
        <f>INDEX(Projects[Value (USD M)],419)</f>
        <v/>
      </c>
    </row>
    <row r="421" ht="15" customHeight="1" s="74">
      <c r="A421" s="66">
        <f>INDEX(Projects[Project ID *],420)&amp;""</f>
        <v/>
      </c>
      <c r="B421" s="66">
        <f>INDEX(Projects[Project Name *],420)&amp;""</f>
        <v/>
      </c>
      <c r="C421" s="66">
        <f>INDEX(Projects[MS Shuttles],420)</f>
        <v/>
      </c>
      <c r="D421" s="66">
        <f>INDEX(Projects[MS Tote Locations],420)</f>
        <v/>
      </c>
      <c r="E421" s="66">
        <f>INDEX(Projects[AS Robots],420)</f>
        <v/>
      </c>
      <c r="F421" s="66">
        <f>INDEX(Projects[AS Tote Locations],420)</f>
        <v/>
      </c>
      <c r="G421" s="66">
        <f>INDEX(Projects[PS Shuttles],420)</f>
        <v/>
      </c>
      <c r="H421" s="66">
        <f>INDEX(Projects[PS Pallet Locations],420)</f>
        <v/>
      </c>
      <c r="I421" s="66">
        <f>INDEX(Projects[SRM Cranes],420)</f>
        <v/>
      </c>
      <c r="J421" s="66">
        <f>INDEX(Projects[SRM Pallet Locations],420)</f>
        <v/>
      </c>
      <c r="K421" s="66">
        <f>INDEX(Projects[Case Conv (m)],420)</f>
        <v/>
      </c>
      <c r="L421" s="66">
        <f>INDEX(Projects[Pallet Conv (m)],420)</f>
        <v/>
      </c>
      <c r="M421" s="66">
        <f>INDEX(Projects[Mech Eng (wks)],420)</f>
        <v/>
      </c>
      <c r="N421" s="66">
        <f>INDEX(Projects[Controls Eng (wks)],420)</f>
        <v/>
      </c>
      <c r="O421" s="66">
        <f>INDEX(Projects[Systems Eng (wks)],420)</f>
        <v/>
      </c>
      <c r="P421" s="66">
        <f>INDEX(Projects[Software Eng (wks)],420)</f>
        <v/>
      </c>
      <c r="Q421" s="66">
        <f>INDEX(Projects[M&amp;E Installation (wks)],420)</f>
        <v/>
      </c>
      <c r="R421" s="66">
        <f>INDEX(Projects[Commissioning (wks)],420)</f>
        <v/>
      </c>
      <c r="S421" s="66">
        <f>INDEX(Projects[Total Timeline (wks)],420)</f>
        <v/>
      </c>
      <c r="T421" s="66">
        <f>INDEX(Projects[Currency],420)&amp;""</f>
        <v/>
      </c>
      <c r="U421" s="67">
        <f>INDEX(Projects[Value (M)],420)</f>
        <v/>
      </c>
      <c r="V421" s="66">
        <f>IF('Smart Search'!B13=1,IFERROR(1/'Smart Search'!H13,0),0)</f>
        <v/>
      </c>
      <c r="W421" s="66">
        <f>IF('Smart Search'!B13=1,IFERROR(1/'Smart Search'!H13,0),0)</f>
        <v/>
      </c>
      <c r="X421" s="66">
        <f>IF('Smart Search'!C13=1,IFERROR(1/'Smart Search'!H13,0),0)</f>
        <v/>
      </c>
      <c r="Y421" s="66">
        <f>IF('Smart Search'!C13=1,IFERROR(1/'Smart Search'!H13,0),0)</f>
        <v/>
      </c>
      <c r="Z421" s="66">
        <f>IF('Smart Search'!D13=1,IFERROR(1/'Smart Search'!H13,0),0)</f>
        <v/>
      </c>
      <c r="AA421" s="66">
        <f>IF('Smart Search'!D13=1,IFERROR(1/'Smart Search'!H13,0),0)</f>
        <v/>
      </c>
      <c r="AB421" s="66">
        <f>IF('Smart Search'!E13=1,IFERROR(1/'Smart Search'!H13,0),0)</f>
        <v/>
      </c>
      <c r="AC421" s="66">
        <f>IF('Smart Search'!E13=1,IFERROR(1/'Smart Search'!H13,0),0)</f>
        <v/>
      </c>
      <c r="AD421" s="66">
        <f>IF('Smart Search'!F13=1,IFERROR(1/'Smart Search'!H13,0),0)</f>
        <v/>
      </c>
      <c r="AE421" s="66">
        <f>IF('Smart Search'!F13=1,IFERROR(1/'Smart Search'!H13,0),0)</f>
        <v/>
      </c>
      <c r="AF421" s="66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66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66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66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66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66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66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66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66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66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66">
        <f>AF421*V421</f>
        <v/>
      </c>
      <c r="AQ421" s="66">
        <f>AG421*W421</f>
        <v/>
      </c>
      <c r="AR421" s="66">
        <f>AH421*X421</f>
        <v/>
      </c>
      <c r="AS421" s="66">
        <f>AI421*Y421</f>
        <v/>
      </c>
      <c r="AT421" s="66">
        <f>AJ421*Z421</f>
        <v/>
      </c>
      <c r="AU421" s="66">
        <f>AK421*AA421</f>
        <v/>
      </c>
      <c r="AV421" s="66">
        <f>AL421*AB421</f>
        <v/>
      </c>
      <c r="AW421" s="66">
        <f>AM421*AC421</f>
        <v/>
      </c>
      <c r="AX421" s="66">
        <f>AN421*AD421</f>
        <v/>
      </c>
      <c r="AY421" s="66">
        <f>AO421*AE421</f>
        <v/>
      </c>
      <c r="AZ421" s="66">
        <f>INDEX(Projects[Automation Equipment],420)&amp;""</f>
        <v/>
      </c>
      <c r="BA421" s="66">
        <f>IF(OR(A421="",'Smart Search'!H13=0),"",MAX(0,BE421*BF421*MAX(0,1-BG421)))</f>
        <v/>
      </c>
      <c r="BB421" s="66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66">
        <f>IF('Smart Search'!G13=1,IFERROR(1/'Smart Search'!H13,0),0)</f>
        <v/>
      </c>
      <c r="BD421" s="66">
        <f>BB421*BC421</f>
        <v/>
      </c>
      <c r="BE421" s="66">
        <f>AP421+AQ421+AR421+AS421+AT421+AU421+AV421+AW421+AX421+AY421+BD421</f>
        <v/>
      </c>
      <c r="BF421" s="5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5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5">
        <f>IF(AND(A421&lt;&gt;"",OR('Smart Search'!$L$5="",'Smart Search'!$L$5="All",TRIM(BZ421)=TRIM('Smart Search'!$L$5)),OR(TRIM('Smart Search'!$L$6)="",TRIM('Smart Search'!$L$6)="All",ISNUMBER(SEARCH(SUBSTITUTE(SUBSTITUTE(SUBSTITUTE(TRIM('Smart Search'!$L$6),"~","~~"),"*","~*"),"?","~?"),CA421))),OR('Smart Search'!$L$7="",AND(CB421&lt;&gt;0,CB421='Smart Search'!$L$7)),OR('Smart Search'!$L$8="",'Smart Search'!$L$8="All",TRIM(CC421)=TRIM('Smart Search'!$L$8))),IF(BA421="","",BA421+ROW()*0.0000000001),"")</f>
        <v/>
      </c>
      <c r="BI421" s="5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5">
        <f>IF(A421="","",N(INDEX(Projects[Mech Inst],420)))</f>
        <v/>
      </c>
      <c r="BK421" s="5">
        <f>IF(A421="","",N(INDEX(Projects[Elec Inst],420)))</f>
        <v/>
      </c>
      <c r="BL421" s="5">
        <f>IF(A421="","",N(INDEX(Projects[Project Management],420)))</f>
        <v/>
      </c>
      <c r="BM421" s="5">
        <f>IF(A421="","",N(INDEX(Projects[Systems Eng],420)))</f>
        <v/>
      </c>
      <c r="BN421" s="5">
        <f>IF(A421="","",N(INDEX(Projects[Mechanical Eng],420)))</f>
        <v/>
      </c>
      <c r="BO421" s="5">
        <f>IF(A421="","",N(INDEX(Projects[Structural Engineering],420)))</f>
        <v/>
      </c>
      <c r="BP421" s="5">
        <f>IF(A421="","",N(INDEX(Projects[Site Sup],420)))</f>
        <v/>
      </c>
      <c r="BQ421" s="5">
        <f>IF(A421="","",N(INDEX(Projects[Controls Commissioning],420)))</f>
        <v/>
      </c>
      <c r="BR421" s="5">
        <f>IF(A421="","",N(INDEX(Projects[Systems Commissioning],420)))</f>
        <v/>
      </c>
      <c r="BS421" s="5">
        <f>IF(A421="","",N(INDEX(Projects[Service Commissioning],420)))</f>
        <v/>
      </c>
      <c r="BT421" s="5">
        <f>IF(A421="","",N(INDEX(Projects[Controls Eng],420)))</f>
        <v/>
      </c>
      <c r="BU421" s="5">
        <f>IF(A421="","",N(INDEX(Projects[Controls Purchase],420)))</f>
        <v/>
      </c>
      <c r="BV421" s="5">
        <f>IF(A421="","",N(INDEX(Projects[Software Eng],420)))</f>
        <v/>
      </c>
      <c r="BW421" s="5">
        <f>IF(A421="","",N(INDEX(Projects[Misc],420)))</f>
        <v/>
      </c>
      <c r="BX421" s="5">
        <f>IF(A421="","",SUM(BJ421:BW421))</f>
        <v/>
      </c>
      <c r="BY421" s="5">
        <f>IF(A421="","",IFERROR(IF(ISNUMBER(U421),U421,VALUE(SUBSTITUTE(SUBSTITUTE(SUBSTITUTE(UPPER(TRIM(U421)),"M",""),",","")," ",""))),0))</f>
        <v/>
      </c>
      <c r="BZ421" s="5">
        <f>INDEX(Projects[Solution Type],420)&amp;""</f>
        <v/>
      </c>
      <c r="CA421" s="5">
        <f>INDEX(Projects[Client / Region],420)&amp;""</f>
        <v/>
      </c>
      <c r="CB421" s="5">
        <f>INDEX(Projects[Year],420)</f>
        <v/>
      </c>
      <c r="CC421" s="5">
        <f>INDEX(Projects[Won?],420)&amp;""</f>
        <v/>
      </c>
      <c r="CD421" s="5">
        <f>INDEX(Projects[Value (USD M)],420)</f>
        <v/>
      </c>
    </row>
    <row r="422" ht="15" customHeight="1" s="74">
      <c r="A422" s="66">
        <f>INDEX(Projects[Project ID *],421)&amp;""</f>
        <v/>
      </c>
      <c r="B422" s="66">
        <f>INDEX(Projects[Project Name *],421)&amp;""</f>
        <v/>
      </c>
      <c r="C422" s="66">
        <f>INDEX(Projects[MS Shuttles],421)</f>
        <v/>
      </c>
      <c r="D422" s="66">
        <f>INDEX(Projects[MS Tote Locations],421)</f>
        <v/>
      </c>
      <c r="E422" s="66">
        <f>INDEX(Projects[AS Robots],421)</f>
        <v/>
      </c>
      <c r="F422" s="66">
        <f>INDEX(Projects[AS Tote Locations],421)</f>
        <v/>
      </c>
      <c r="G422" s="66">
        <f>INDEX(Projects[PS Shuttles],421)</f>
        <v/>
      </c>
      <c r="H422" s="66">
        <f>INDEX(Projects[PS Pallet Locations],421)</f>
        <v/>
      </c>
      <c r="I422" s="66">
        <f>INDEX(Projects[SRM Cranes],421)</f>
        <v/>
      </c>
      <c r="J422" s="66">
        <f>INDEX(Projects[SRM Pallet Locations],421)</f>
        <v/>
      </c>
      <c r="K422" s="66">
        <f>INDEX(Projects[Case Conv (m)],421)</f>
        <v/>
      </c>
      <c r="L422" s="66">
        <f>INDEX(Projects[Pallet Conv (m)],421)</f>
        <v/>
      </c>
      <c r="M422" s="66">
        <f>INDEX(Projects[Mech Eng (wks)],421)</f>
        <v/>
      </c>
      <c r="N422" s="66">
        <f>INDEX(Projects[Controls Eng (wks)],421)</f>
        <v/>
      </c>
      <c r="O422" s="66">
        <f>INDEX(Projects[Systems Eng (wks)],421)</f>
        <v/>
      </c>
      <c r="P422" s="66">
        <f>INDEX(Projects[Software Eng (wks)],421)</f>
        <v/>
      </c>
      <c r="Q422" s="66">
        <f>INDEX(Projects[M&amp;E Installation (wks)],421)</f>
        <v/>
      </c>
      <c r="R422" s="66">
        <f>INDEX(Projects[Commissioning (wks)],421)</f>
        <v/>
      </c>
      <c r="S422" s="66">
        <f>INDEX(Projects[Total Timeline (wks)],421)</f>
        <v/>
      </c>
      <c r="T422" s="66">
        <f>INDEX(Projects[Currency],421)&amp;""</f>
        <v/>
      </c>
      <c r="U422" s="67">
        <f>INDEX(Projects[Value (M)],421)</f>
        <v/>
      </c>
      <c r="V422" s="66">
        <f>IF('Smart Search'!B13=1,IFERROR(1/'Smart Search'!H13,0),0)</f>
        <v/>
      </c>
      <c r="W422" s="66">
        <f>IF('Smart Search'!B13=1,IFERROR(1/'Smart Search'!H13,0),0)</f>
        <v/>
      </c>
      <c r="X422" s="66">
        <f>IF('Smart Search'!C13=1,IFERROR(1/'Smart Search'!H13,0),0)</f>
        <v/>
      </c>
      <c r="Y422" s="66">
        <f>IF('Smart Search'!C13=1,IFERROR(1/'Smart Search'!H13,0),0)</f>
        <v/>
      </c>
      <c r="Z422" s="66">
        <f>IF('Smart Search'!D13=1,IFERROR(1/'Smart Search'!H13,0),0)</f>
        <v/>
      </c>
      <c r="AA422" s="66">
        <f>IF('Smart Search'!D13=1,IFERROR(1/'Smart Search'!H13,0),0)</f>
        <v/>
      </c>
      <c r="AB422" s="66">
        <f>IF('Smart Search'!E13=1,IFERROR(1/'Smart Search'!H13,0),0)</f>
        <v/>
      </c>
      <c r="AC422" s="66">
        <f>IF('Smart Search'!E13=1,IFERROR(1/'Smart Search'!H13,0),0)</f>
        <v/>
      </c>
      <c r="AD422" s="66">
        <f>IF('Smart Search'!F13=1,IFERROR(1/'Smart Search'!H13,0),0)</f>
        <v/>
      </c>
      <c r="AE422" s="66">
        <f>IF('Smart Search'!F13=1,IFERROR(1/'Smart Search'!H13,0),0)</f>
        <v/>
      </c>
      <c r="AF422" s="66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66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66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66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66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66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66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66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66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66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66">
        <f>AF422*V422</f>
        <v/>
      </c>
      <c r="AQ422" s="66">
        <f>AG422*W422</f>
        <v/>
      </c>
      <c r="AR422" s="66">
        <f>AH422*X422</f>
        <v/>
      </c>
      <c r="AS422" s="66">
        <f>AI422*Y422</f>
        <v/>
      </c>
      <c r="AT422" s="66">
        <f>AJ422*Z422</f>
        <v/>
      </c>
      <c r="AU422" s="66">
        <f>AK422*AA422</f>
        <v/>
      </c>
      <c r="AV422" s="66">
        <f>AL422*AB422</f>
        <v/>
      </c>
      <c r="AW422" s="66">
        <f>AM422*AC422</f>
        <v/>
      </c>
      <c r="AX422" s="66">
        <f>AN422*AD422</f>
        <v/>
      </c>
      <c r="AY422" s="66">
        <f>AO422*AE422</f>
        <v/>
      </c>
      <c r="AZ422" s="66">
        <f>INDEX(Projects[Automation Equipment],421)&amp;""</f>
        <v/>
      </c>
      <c r="BA422" s="66">
        <f>IF(OR(A422="",'Smart Search'!H13=0),"",MAX(0,BE422*BF422*MAX(0,1-BG422)))</f>
        <v/>
      </c>
      <c r="BB422" s="66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66">
        <f>IF('Smart Search'!G13=1,IFERROR(1/'Smart Search'!H13,0),0)</f>
        <v/>
      </c>
      <c r="BD422" s="66">
        <f>BB422*BC422</f>
        <v/>
      </c>
      <c r="BE422" s="66">
        <f>AP422+AQ422+AR422+AS422+AT422+AU422+AV422+AW422+AX422+AY422+BD422</f>
        <v/>
      </c>
      <c r="BF422" s="5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5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5">
        <f>IF(AND(A422&lt;&gt;"",OR('Smart Search'!$L$5="",'Smart Search'!$L$5="All",TRIM(BZ422)=TRIM('Smart Search'!$L$5)),OR(TRIM('Smart Search'!$L$6)="",TRIM('Smart Search'!$L$6)="All",ISNUMBER(SEARCH(SUBSTITUTE(SUBSTITUTE(SUBSTITUTE(TRIM('Smart Search'!$L$6),"~","~~"),"*","~*"),"?","~?"),CA422))),OR('Smart Search'!$L$7="",AND(CB422&lt;&gt;0,CB422='Smart Search'!$L$7)),OR('Smart Search'!$L$8="",'Smart Search'!$L$8="All",TRIM(CC422)=TRIM('Smart Search'!$L$8))),IF(BA422="","",BA422+ROW()*0.0000000001),"")</f>
        <v/>
      </c>
      <c r="BI422" s="5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5">
        <f>IF(A422="","",N(INDEX(Projects[Mech Inst],421)))</f>
        <v/>
      </c>
      <c r="BK422" s="5">
        <f>IF(A422="","",N(INDEX(Projects[Elec Inst],421)))</f>
        <v/>
      </c>
      <c r="BL422" s="5">
        <f>IF(A422="","",N(INDEX(Projects[Project Management],421)))</f>
        <v/>
      </c>
      <c r="BM422" s="5">
        <f>IF(A422="","",N(INDEX(Projects[Systems Eng],421)))</f>
        <v/>
      </c>
      <c r="BN422" s="5">
        <f>IF(A422="","",N(INDEX(Projects[Mechanical Eng],421)))</f>
        <v/>
      </c>
      <c r="BO422" s="5">
        <f>IF(A422="","",N(INDEX(Projects[Structural Engineering],421)))</f>
        <v/>
      </c>
      <c r="BP422" s="5">
        <f>IF(A422="","",N(INDEX(Projects[Site Sup],421)))</f>
        <v/>
      </c>
      <c r="BQ422" s="5">
        <f>IF(A422="","",N(INDEX(Projects[Controls Commissioning],421)))</f>
        <v/>
      </c>
      <c r="BR422" s="5">
        <f>IF(A422="","",N(INDEX(Projects[Systems Commissioning],421)))</f>
        <v/>
      </c>
      <c r="BS422" s="5">
        <f>IF(A422="","",N(INDEX(Projects[Service Commissioning],421)))</f>
        <v/>
      </c>
      <c r="BT422" s="5">
        <f>IF(A422="","",N(INDEX(Projects[Controls Eng],421)))</f>
        <v/>
      </c>
      <c r="BU422" s="5">
        <f>IF(A422="","",N(INDEX(Projects[Controls Purchase],421)))</f>
        <v/>
      </c>
      <c r="BV422" s="5">
        <f>IF(A422="","",N(INDEX(Projects[Software Eng],421)))</f>
        <v/>
      </c>
      <c r="BW422" s="5">
        <f>IF(A422="","",N(INDEX(Projects[Misc],421)))</f>
        <v/>
      </c>
      <c r="BX422" s="5">
        <f>IF(A422="","",SUM(BJ422:BW422))</f>
        <v/>
      </c>
      <c r="BY422" s="5">
        <f>IF(A422="","",IFERROR(IF(ISNUMBER(U422),U422,VALUE(SUBSTITUTE(SUBSTITUTE(SUBSTITUTE(UPPER(TRIM(U422)),"M",""),",","")," ",""))),0))</f>
        <v/>
      </c>
      <c r="BZ422" s="5">
        <f>INDEX(Projects[Solution Type],421)&amp;""</f>
        <v/>
      </c>
      <c r="CA422" s="5">
        <f>INDEX(Projects[Client / Region],421)&amp;""</f>
        <v/>
      </c>
      <c r="CB422" s="5">
        <f>INDEX(Projects[Year],421)</f>
        <v/>
      </c>
      <c r="CC422" s="5">
        <f>INDEX(Projects[Won?],421)&amp;""</f>
        <v/>
      </c>
      <c r="CD422" s="5">
        <f>INDEX(Projects[Value (USD M)],421)</f>
        <v/>
      </c>
    </row>
    <row r="423" ht="15" customHeight="1" s="74">
      <c r="A423" s="66">
        <f>INDEX(Projects[Project ID *],422)&amp;""</f>
        <v/>
      </c>
      <c r="B423" s="66">
        <f>INDEX(Projects[Project Name *],422)&amp;""</f>
        <v/>
      </c>
      <c r="C423" s="66">
        <f>INDEX(Projects[MS Shuttles],422)</f>
        <v/>
      </c>
      <c r="D423" s="66">
        <f>INDEX(Projects[MS Tote Locations],422)</f>
        <v/>
      </c>
      <c r="E423" s="66">
        <f>INDEX(Projects[AS Robots],422)</f>
        <v/>
      </c>
      <c r="F423" s="66">
        <f>INDEX(Projects[AS Tote Locations],422)</f>
        <v/>
      </c>
      <c r="G423" s="66">
        <f>INDEX(Projects[PS Shuttles],422)</f>
        <v/>
      </c>
      <c r="H423" s="66">
        <f>INDEX(Projects[PS Pallet Locations],422)</f>
        <v/>
      </c>
      <c r="I423" s="66">
        <f>INDEX(Projects[SRM Cranes],422)</f>
        <v/>
      </c>
      <c r="J423" s="66">
        <f>INDEX(Projects[SRM Pallet Locations],422)</f>
        <v/>
      </c>
      <c r="K423" s="66">
        <f>INDEX(Projects[Case Conv (m)],422)</f>
        <v/>
      </c>
      <c r="L423" s="66">
        <f>INDEX(Projects[Pallet Conv (m)],422)</f>
        <v/>
      </c>
      <c r="M423" s="66">
        <f>INDEX(Projects[Mech Eng (wks)],422)</f>
        <v/>
      </c>
      <c r="N423" s="66">
        <f>INDEX(Projects[Controls Eng (wks)],422)</f>
        <v/>
      </c>
      <c r="O423" s="66">
        <f>INDEX(Projects[Systems Eng (wks)],422)</f>
        <v/>
      </c>
      <c r="P423" s="66">
        <f>INDEX(Projects[Software Eng (wks)],422)</f>
        <v/>
      </c>
      <c r="Q423" s="66">
        <f>INDEX(Projects[M&amp;E Installation (wks)],422)</f>
        <v/>
      </c>
      <c r="R423" s="66">
        <f>INDEX(Projects[Commissioning (wks)],422)</f>
        <v/>
      </c>
      <c r="S423" s="66">
        <f>INDEX(Projects[Total Timeline (wks)],422)</f>
        <v/>
      </c>
      <c r="T423" s="66">
        <f>INDEX(Projects[Currency],422)&amp;""</f>
        <v/>
      </c>
      <c r="U423" s="67">
        <f>INDEX(Projects[Value (M)],422)</f>
        <v/>
      </c>
      <c r="V423" s="66">
        <f>IF('Smart Search'!B13=1,IFERROR(1/'Smart Search'!H13,0),0)</f>
        <v/>
      </c>
      <c r="W423" s="66">
        <f>IF('Smart Search'!B13=1,IFERROR(1/'Smart Search'!H13,0),0)</f>
        <v/>
      </c>
      <c r="X423" s="66">
        <f>IF('Smart Search'!C13=1,IFERROR(1/'Smart Search'!H13,0),0)</f>
        <v/>
      </c>
      <c r="Y423" s="66">
        <f>IF('Smart Search'!C13=1,IFERROR(1/'Smart Search'!H13,0),0)</f>
        <v/>
      </c>
      <c r="Z423" s="66">
        <f>IF('Smart Search'!D13=1,IFERROR(1/'Smart Search'!H13,0),0)</f>
        <v/>
      </c>
      <c r="AA423" s="66">
        <f>IF('Smart Search'!D13=1,IFERROR(1/'Smart Search'!H13,0),0)</f>
        <v/>
      </c>
      <c r="AB423" s="66">
        <f>IF('Smart Search'!E13=1,IFERROR(1/'Smart Search'!H13,0),0)</f>
        <v/>
      </c>
      <c r="AC423" s="66">
        <f>IF('Smart Search'!E13=1,IFERROR(1/'Smart Search'!H13,0),0)</f>
        <v/>
      </c>
      <c r="AD423" s="66">
        <f>IF('Smart Search'!F13=1,IFERROR(1/'Smart Search'!H13,0),0)</f>
        <v/>
      </c>
      <c r="AE423" s="66">
        <f>IF('Smart Search'!F13=1,IFERROR(1/'Smart Search'!H13,0),0)</f>
        <v/>
      </c>
      <c r="AF423" s="66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66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66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66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66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66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66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66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66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66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66">
        <f>AF423*V423</f>
        <v/>
      </c>
      <c r="AQ423" s="66">
        <f>AG423*W423</f>
        <v/>
      </c>
      <c r="AR423" s="66">
        <f>AH423*X423</f>
        <v/>
      </c>
      <c r="AS423" s="66">
        <f>AI423*Y423</f>
        <v/>
      </c>
      <c r="AT423" s="66">
        <f>AJ423*Z423</f>
        <v/>
      </c>
      <c r="AU423" s="66">
        <f>AK423*AA423</f>
        <v/>
      </c>
      <c r="AV423" s="66">
        <f>AL423*AB423</f>
        <v/>
      </c>
      <c r="AW423" s="66">
        <f>AM423*AC423</f>
        <v/>
      </c>
      <c r="AX423" s="66">
        <f>AN423*AD423</f>
        <v/>
      </c>
      <c r="AY423" s="66">
        <f>AO423*AE423</f>
        <v/>
      </c>
      <c r="AZ423" s="66">
        <f>INDEX(Projects[Automation Equipment],422)&amp;""</f>
        <v/>
      </c>
      <c r="BA423" s="66">
        <f>IF(OR(A423="",'Smart Search'!H13=0),"",MAX(0,BE423*BF423*MAX(0,1-BG423)))</f>
        <v/>
      </c>
      <c r="BB423" s="66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66">
        <f>IF('Smart Search'!G13=1,IFERROR(1/'Smart Search'!H13,0),0)</f>
        <v/>
      </c>
      <c r="BD423" s="66">
        <f>BB423*BC423</f>
        <v/>
      </c>
      <c r="BE423" s="66">
        <f>AP423+AQ423+AR423+AS423+AT423+AU423+AV423+AW423+AX423+AY423+BD423</f>
        <v/>
      </c>
      <c r="BF423" s="5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5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5">
        <f>IF(AND(A423&lt;&gt;"",OR('Smart Search'!$L$5="",'Smart Search'!$L$5="All",TRIM(BZ423)=TRIM('Smart Search'!$L$5)),OR(TRIM('Smart Search'!$L$6)="",TRIM('Smart Search'!$L$6)="All",ISNUMBER(SEARCH(SUBSTITUTE(SUBSTITUTE(SUBSTITUTE(TRIM('Smart Search'!$L$6),"~","~~"),"*","~*"),"?","~?"),CA423))),OR('Smart Search'!$L$7="",AND(CB423&lt;&gt;0,CB423='Smart Search'!$L$7)),OR('Smart Search'!$L$8="",'Smart Search'!$L$8="All",TRIM(CC423)=TRIM('Smart Search'!$L$8))),IF(BA423="","",BA423+ROW()*0.0000000001),"")</f>
        <v/>
      </c>
      <c r="BI423" s="5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5">
        <f>IF(A423="","",N(INDEX(Projects[Mech Inst],422)))</f>
        <v/>
      </c>
      <c r="BK423" s="5">
        <f>IF(A423="","",N(INDEX(Projects[Elec Inst],422)))</f>
        <v/>
      </c>
      <c r="BL423" s="5">
        <f>IF(A423="","",N(INDEX(Projects[Project Management],422)))</f>
        <v/>
      </c>
      <c r="BM423" s="5">
        <f>IF(A423="","",N(INDEX(Projects[Systems Eng],422)))</f>
        <v/>
      </c>
      <c r="BN423" s="5">
        <f>IF(A423="","",N(INDEX(Projects[Mechanical Eng],422)))</f>
        <v/>
      </c>
      <c r="BO423" s="5">
        <f>IF(A423="","",N(INDEX(Projects[Structural Engineering],422)))</f>
        <v/>
      </c>
      <c r="BP423" s="5">
        <f>IF(A423="","",N(INDEX(Projects[Site Sup],422)))</f>
        <v/>
      </c>
      <c r="BQ423" s="5">
        <f>IF(A423="","",N(INDEX(Projects[Controls Commissioning],422)))</f>
        <v/>
      </c>
      <c r="BR423" s="5">
        <f>IF(A423="","",N(INDEX(Projects[Systems Commissioning],422)))</f>
        <v/>
      </c>
      <c r="BS423" s="5">
        <f>IF(A423="","",N(INDEX(Projects[Service Commissioning],422)))</f>
        <v/>
      </c>
      <c r="BT423" s="5">
        <f>IF(A423="","",N(INDEX(Projects[Controls Eng],422)))</f>
        <v/>
      </c>
      <c r="BU423" s="5">
        <f>IF(A423="","",N(INDEX(Projects[Controls Purchase],422)))</f>
        <v/>
      </c>
      <c r="BV423" s="5">
        <f>IF(A423="","",N(INDEX(Projects[Software Eng],422)))</f>
        <v/>
      </c>
      <c r="BW423" s="5">
        <f>IF(A423="","",N(INDEX(Projects[Misc],422)))</f>
        <v/>
      </c>
      <c r="BX423" s="5">
        <f>IF(A423="","",SUM(BJ423:BW423))</f>
        <v/>
      </c>
      <c r="BY423" s="5">
        <f>IF(A423="","",IFERROR(IF(ISNUMBER(U423),U423,VALUE(SUBSTITUTE(SUBSTITUTE(SUBSTITUTE(UPPER(TRIM(U423)),"M",""),",","")," ",""))),0))</f>
        <v/>
      </c>
      <c r="BZ423" s="5">
        <f>INDEX(Projects[Solution Type],422)&amp;""</f>
        <v/>
      </c>
      <c r="CA423" s="5">
        <f>INDEX(Projects[Client / Region],422)&amp;""</f>
        <v/>
      </c>
      <c r="CB423" s="5">
        <f>INDEX(Projects[Year],422)</f>
        <v/>
      </c>
      <c r="CC423" s="5">
        <f>INDEX(Projects[Won?],422)&amp;""</f>
        <v/>
      </c>
      <c r="CD423" s="5">
        <f>INDEX(Projects[Value (USD M)],422)</f>
        <v/>
      </c>
    </row>
    <row r="424" ht="15" customHeight="1" s="74">
      <c r="A424" s="66">
        <f>INDEX(Projects[Project ID *],423)&amp;""</f>
        <v/>
      </c>
      <c r="B424" s="66">
        <f>INDEX(Projects[Project Name *],423)&amp;""</f>
        <v/>
      </c>
      <c r="C424" s="66">
        <f>INDEX(Projects[MS Shuttles],423)</f>
        <v/>
      </c>
      <c r="D424" s="66">
        <f>INDEX(Projects[MS Tote Locations],423)</f>
        <v/>
      </c>
      <c r="E424" s="66">
        <f>INDEX(Projects[AS Robots],423)</f>
        <v/>
      </c>
      <c r="F424" s="66">
        <f>INDEX(Projects[AS Tote Locations],423)</f>
        <v/>
      </c>
      <c r="G424" s="66">
        <f>INDEX(Projects[PS Shuttles],423)</f>
        <v/>
      </c>
      <c r="H424" s="66">
        <f>INDEX(Projects[PS Pallet Locations],423)</f>
        <v/>
      </c>
      <c r="I424" s="66">
        <f>INDEX(Projects[SRM Cranes],423)</f>
        <v/>
      </c>
      <c r="J424" s="66">
        <f>INDEX(Projects[SRM Pallet Locations],423)</f>
        <v/>
      </c>
      <c r="K424" s="66">
        <f>INDEX(Projects[Case Conv (m)],423)</f>
        <v/>
      </c>
      <c r="L424" s="66">
        <f>INDEX(Projects[Pallet Conv (m)],423)</f>
        <v/>
      </c>
      <c r="M424" s="66">
        <f>INDEX(Projects[Mech Eng (wks)],423)</f>
        <v/>
      </c>
      <c r="N424" s="66">
        <f>INDEX(Projects[Controls Eng (wks)],423)</f>
        <v/>
      </c>
      <c r="O424" s="66">
        <f>INDEX(Projects[Systems Eng (wks)],423)</f>
        <v/>
      </c>
      <c r="P424" s="66">
        <f>INDEX(Projects[Software Eng (wks)],423)</f>
        <v/>
      </c>
      <c r="Q424" s="66">
        <f>INDEX(Projects[M&amp;E Installation (wks)],423)</f>
        <v/>
      </c>
      <c r="R424" s="66">
        <f>INDEX(Projects[Commissioning (wks)],423)</f>
        <v/>
      </c>
      <c r="S424" s="66">
        <f>INDEX(Projects[Total Timeline (wks)],423)</f>
        <v/>
      </c>
      <c r="T424" s="66">
        <f>INDEX(Projects[Currency],423)&amp;""</f>
        <v/>
      </c>
      <c r="U424" s="67">
        <f>INDEX(Projects[Value (M)],423)</f>
        <v/>
      </c>
      <c r="V424" s="66">
        <f>IF('Smart Search'!B13=1,IFERROR(1/'Smart Search'!H13,0),0)</f>
        <v/>
      </c>
      <c r="W424" s="66">
        <f>IF('Smart Search'!B13=1,IFERROR(1/'Smart Search'!H13,0),0)</f>
        <v/>
      </c>
      <c r="X424" s="66">
        <f>IF('Smart Search'!C13=1,IFERROR(1/'Smart Search'!H13,0),0)</f>
        <v/>
      </c>
      <c r="Y424" s="66">
        <f>IF('Smart Search'!C13=1,IFERROR(1/'Smart Search'!H13,0),0)</f>
        <v/>
      </c>
      <c r="Z424" s="66">
        <f>IF('Smart Search'!D13=1,IFERROR(1/'Smart Search'!H13,0),0)</f>
        <v/>
      </c>
      <c r="AA424" s="66">
        <f>IF('Smart Search'!D13=1,IFERROR(1/'Smart Search'!H13,0),0)</f>
        <v/>
      </c>
      <c r="AB424" s="66">
        <f>IF('Smart Search'!E13=1,IFERROR(1/'Smart Search'!H13,0),0)</f>
        <v/>
      </c>
      <c r="AC424" s="66">
        <f>IF('Smart Search'!E13=1,IFERROR(1/'Smart Search'!H13,0),0)</f>
        <v/>
      </c>
      <c r="AD424" s="66">
        <f>IF('Smart Search'!F13=1,IFERROR(1/'Smart Search'!H13,0),0)</f>
        <v/>
      </c>
      <c r="AE424" s="66">
        <f>IF('Smart Search'!F13=1,IFERROR(1/'Smart Search'!H13,0),0)</f>
        <v/>
      </c>
      <c r="AF424" s="66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66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66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66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66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66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66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66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66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66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66">
        <f>AF424*V424</f>
        <v/>
      </c>
      <c r="AQ424" s="66">
        <f>AG424*W424</f>
        <v/>
      </c>
      <c r="AR424" s="66">
        <f>AH424*X424</f>
        <v/>
      </c>
      <c r="AS424" s="66">
        <f>AI424*Y424</f>
        <v/>
      </c>
      <c r="AT424" s="66">
        <f>AJ424*Z424</f>
        <v/>
      </c>
      <c r="AU424" s="66">
        <f>AK424*AA424</f>
        <v/>
      </c>
      <c r="AV424" s="66">
        <f>AL424*AB424</f>
        <v/>
      </c>
      <c r="AW424" s="66">
        <f>AM424*AC424</f>
        <v/>
      </c>
      <c r="AX424" s="66">
        <f>AN424*AD424</f>
        <v/>
      </c>
      <c r="AY424" s="66">
        <f>AO424*AE424</f>
        <v/>
      </c>
      <c r="AZ424" s="66">
        <f>INDEX(Projects[Automation Equipment],423)&amp;""</f>
        <v/>
      </c>
      <c r="BA424" s="66">
        <f>IF(OR(A424="",'Smart Search'!H13=0),"",MAX(0,BE424*BF424*MAX(0,1-BG424)))</f>
        <v/>
      </c>
      <c r="BB424" s="66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66">
        <f>IF('Smart Search'!G13=1,IFERROR(1/'Smart Search'!H13,0),0)</f>
        <v/>
      </c>
      <c r="BD424" s="66">
        <f>BB424*BC424</f>
        <v/>
      </c>
      <c r="BE424" s="66">
        <f>AP424+AQ424+AR424+AS424+AT424+AU424+AV424+AW424+AX424+AY424+BD424</f>
        <v/>
      </c>
      <c r="BF424" s="5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5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5">
        <f>IF(AND(A424&lt;&gt;"",OR('Smart Search'!$L$5="",'Smart Search'!$L$5="All",TRIM(BZ424)=TRIM('Smart Search'!$L$5)),OR(TRIM('Smart Search'!$L$6)="",TRIM('Smart Search'!$L$6)="All",ISNUMBER(SEARCH(SUBSTITUTE(SUBSTITUTE(SUBSTITUTE(TRIM('Smart Search'!$L$6),"~","~~"),"*","~*"),"?","~?"),CA424))),OR('Smart Search'!$L$7="",AND(CB424&lt;&gt;0,CB424='Smart Search'!$L$7)),OR('Smart Search'!$L$8="",'Smart Search'!$L$8="All",TRIM(CC424)=TRIM('Smart Search'!$L$8))),IF(BA424="","",BA424+ROW()*0.0000000001),"")</f>
        <v/>
      </c>
      <c r="BI424" s="5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5">
        <f>IF(A424="","",N(INDEX(Projects[Mech Inst],423)))</f>
        <v/>
      </c>
      <c r="BK424" s="5">
        <f>IF(A424="","",N(INDEX(Projects[Elec Inst],423)))</f>
        <v/>
      </c>
      <c r="BL424" s="5">
        <f>IF(A424="","",N(INDEX(Projects[Project Management],423)))</f>
        <v/>
      </c>
      <c r="BM424" s="5">
        <f>IF(A424="","",N(INDEX(Projects[Systems Eng],423)))</f>
        <v/>
      </c>
      <c r="BN424" s="5">
        <f>IF(A424="","",N(INDEX(Projects[Mechanical Eng],423)))</f>
        <v/>
      </c>
      <c r="BO424" s="5">
        <f>IF(A424="","",N(INDEX(Projects[Structural Engineering],423)))</f>
        <v/>
      </c>
      <c r="BP424" s="5">
        <f>IF(A424="","",N(INDEX(Projects[Site Sup],423)))</f>
        <v/>
      </c>
      <c r="BQ424" s="5">
        <f>IF(A424="","",N(INDEX(Projects[Controls Commissioning],423)))</f>
        <v/>
      </c>
      <c r="BR424" s="5">
        <f>IF(A424="","",N(INDEX(Projects[Systems Commissioning],423)))</f>
        <v/>
      </c>
      <c r="BS424" s="5">
        <f>IF(A424="","",N(INDEX(Projects[Service Commissioning],423)))</f>
        <v/>
      </c>
      <c r="BT424" s="5">
        <f>IF(A424="","",N(INDEX(Projects[Controls Eng],423)))</f>
        <v/>
      </c>
      <c r="BU424" s="5">
        <f>IF(A424="","",N(INDEX(Projects[Controls Purchase],423)))</f>
        <v/>
      </c>
      <c r="BV424" s="5">
        <f>IF(A424="","",N(INDEX(Projects[Software Eng],423)))</f>
        <v/>
      </c>
      <c r="BW424" s="5">
        <f>IF(A424="","",N(INDEX(Projects[Misc],423)))</f>
        <v/>
      </c>
      <c r="BX424" s="5">
        <f>IF(A424="","",SUM(BJ424:BW424))</f>
        <v/>
      </c>
      <c r="BY424" s="5">
        <f>IF(A424="","",IFERROR(IF(ISNUMBER(U424),U424,VALUE(SUBSTITUTE(SUBSTITUTE(SUBSTITUTE(UPPER(TRIM(U424)),"M",""),",","")," ",""))),0))</f>
        <v/>
      </c>
      <c r="BZ424" s="5">
        <f>INDEX(Projects[Solution Type],423)&amp;""</f>
        <v/>
      </c>
      <c r="CA424" s="5">
        <f>INDEX(Projects[Client / Region],423)&amp;""</f>
        <v/>
      </c>
      <c r="CB424" s="5">
        <f>INDEX(Projects[Year],423)</f>
        <v/>
      </c>
      <c r="CC424" s="5">
        <f>INDEX(Projects[Won?],423)&amp;""</f>
        <v/>
      </c>
      <c r="CD424" s="5">
        <f>INDEX(Projects[Value (USD M)],423)</f>
        <v/>
      </c>
    </row>
    <row r="425" ht="15" customHeight="1" s="74">
      <c r="A425" s="66">
        <f>INDEX(Projects[Project ID *],424)&amp;""</f>
        <v/>
      </c>
      <c r="B425" s="66">
        <f>INDEX(Projects[Project Name *],424)&amp;""</f>
        <v/>
      </c>
      <c r="C425" s="66">
        <f>INDEX(Projects[MS Shuttles],424)</f>
        <v/>
      </c>
      <c r="D425" s="66">
        <f>INDEX(Projects[MS Tote Locations],424)</f>
        <v/>
      </c>
      <c r="E425" s="66">
        <f>INDEX(Projects[AS Robots],424)</f>
        <v/>
      </c>
      <c r="F425" s="66">
        <f>INDEX(Projects[AS Tote Locations],424)</f>
        <v/>
      </c>
      <c r="G425" s="66">
        <f>INDEX(Projects[PS Shuttles],424)</f>
        <v/>
      </c>
      <c r="H425" s="66">
        <f>INDEX(Projects[PS Pallet Locations],424)</f>
        <v/>
      </c>
      <c r="I425" s="66">
        <f>INDEX(Projects[SRM Cranes],424)</f>
        <v/>
      </c>
      <c r="J425" s="66">
        <f>INDEX(Projects[SRM Pallet Locations],424)</f>
        <v/>
      </c>
      <c r="K425" s="66">
        <f>INDEX(Projects[Case Conv (m)],424)</f>
        <v/>
      </c>
      <c r="L425" s="66">
        <f>INDEX(Projects[Pallet Conv (m)],424)</f>
        <v/>
      </c>
      <c r="M425" s="66">
        <f>INDEX(Projects[Mech Eng (wks)],424)</f>
        <v/>
      </c>
      <c r="N425" s="66">
        <f>INDEX(Projects[Controls Eng (wks)],424)</f>
        <v/>
      </c>
      <c r="O425" s="66">
        <f>INDEX(Projects[Systems Eng (wks)],424)</f>
        <v/>
      </c>
      <c r="P425" s="66">
        <f>INDEX(Projects[Software Eng (wks)],424)</f>
        <v/>
      </c>
      <c r="Q425" s="66">
        <f>INDEX(Projects[M&amp;E Installation (wks)],424)</f>
        <v/>
      </c>
      <c r="R425" s="66">
        <f>INDEX(Projects[Commissioning (wks)],424)</f>
        <v/>
      </c>
      <c r="S425" s="66">
        <f>INDEX(Projects[Total Timeline (wks)],424)</f>
        <v/>
      </c>
      <c r="T425" s="66">
        <f>INDEX(Projects[Currency],424)&amp;""</f>
        <v/>
      </c>
      <c r="U425" s="67">
        <f>INDEX(Projects[Value (M)],424)</f>
        <v/>
      </c>
      <c r="V425" s="66">
        <f>IF('Smart Search'!B13=1,IFERROR(1/'Smart Search'!H13,0),0)</f>
        <v/>
      </c>
      <c r="W425" s="66">
        <f>IF('Smart Search'!B13=1,IFERROR(1/'Smart Search'!H13,0),0)</f>
        <v/>
      </c>
      <c r="X425" s="66">
        <f>IF('Smart Search'!C13=1,IFERROR(1/'Smart Search'!H13,0),0)</f>
        <v/>
      </c>
      <c r="Y425" s="66">
        <f>IF('Smart Search'!C13=1,IFERROR(1/'Smart Search'!H13,0),0)</f>
        <v/>
      </c>
      <c r="Z425" s="66">
        <f>IF('Smart Search'!D13=1,IFERROR(1/'Smart Search'!H13,0),0)</f>
        <v/>
      </c>
      <c r="AA425" s="66">
        <f>IF('Smart Search'!D13=1,IFERROR(1/'Smart Search'!H13,0),0)</f>
        <v/>
      </c>
      <c r="AB425" s="66">
        <f>IF('Smart Search'!E13=1,IFERROR(1/'Smart Search'!H13,0),0)</f>
        <v/>
      </c>
      <c r="AC425" s="66">
        <f>IF('Smart Search'!E13=1,IFERROR(1/'Smart Search'!H13,0),0)</f>
        <v/>
      </c>
      <c r="AD425" s="66">
        <f>IF('Smart Search'!F13=1,IFERROR(1/'Smart Search'!H13,0),0)</f>
        <v/>
      </c>
      <c r="AE425" s="66">
        <f>IF('Smart Search'!F13=1,IFERROR(1/'Smart Search'!H13,0),0)</f>
        <v/>
      </c>
      <c r="AF425" s="66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66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66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66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66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66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66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66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66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66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66">
        <f>AF425*V425</f>
        <v/>
      </c>
      <c r="AQ425" s="66">
        <f>AG425*W425</f>
        <v/>
      </c>
      <c r="AR425" s="66">
        <f>AH425*X425</f>
        <v/>
      </c>
      <c r="AS425" s="66">
        <f>AI425*Y425</f>
        <v/>
      </c>
      <c r="AT425" s="66">
        <f>AJ425*Z425</f>
        <v/>
      </c>
      <c r="AU425" s="66">
        <f>AK425*AA425</f>
        <v/>
      </c>
      <c r="AV425" s="66">
        <f>AL425*AB425</f>
        <v/>
      </c>
      <c r="AW425" s="66">
        <f>AM425*AC425</f>
        <v/>
      </c>
      <c r="AX425" s="66">
        <f>AN425*AD425</f>
        <v/>
      </c>
      <c r="AY425" s="66">
        <f>AO425*AE425</f>
        <v/>
      </c>
      <c r="AZ425" s="66">
        <f>INDEX(Projects[Automation Equipment],424)&amp;""</f>
        <v/>
      </c>
      <c r="BA425" s="66">
        <f>IF(OR(A425="",'Smart Search'!H13=0),"",MAX(0,BE425*BF425*MAX(0,1-BG425)))</f>
        <v/>
      </c>
      <c r="BB425" s="66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66">
        <f>IF('Smart Search'!G13=1,IFERROR(1/'Smart Search'!H13,0),0)</f>
        <v/>
      </c>
      <c r="BD425" s="66">
        <f>BB425*BC425</f>
        <v/>
      </c>
      <c r="BE425" s="66">
        <f>AP425+AQ425+AR425+AS425+AT425+AU425+AV425+AW425+AX425+AY425+BD425</f>
        <v/>
      </c>
      <c r="BF425" s="5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5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5">
        <f>IF(AND(A425&lt;&gt;"",OR('Smart Search'!$L$5="",'Smart Search'!$L$5="All",TRIM(BZ425)=TRIM('Smart Search'!$L$5)),OR(TRIM('Smart Search'!$L$6)="",TRIM('Smart Search'!$L$6)="All",ISNUMBER(SEARCH(SUBSTITUTE(SUBSTITUTE(SUBSTITUTE(TRIM('Smart Search'!$L$6),"~","~~"),"*","~*"),"?","~?"),CA425))),OR('Smart Search'!$L$7="",AND(CB425&lt;&gt;0,CB425='Smart Search'!$L$7)),OR('Smart Search'!$L$8="",'Smart Search'!$L$8="All",TRIM(CC425)=TRIM('Smart Search'!$L$8))),IF(BA425="","",BA425+ROW()*0.0000000001),"")</f>
        <v/>
      </c>
      <c r="BI425" s="5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5">
        <f>IF(A425="","",N(INDEX(Projects[Mech Inst],424)))</f>
        <v/>
      </c>
      <c r="BK425" s="5">
        <f>IF(A425="","",N(INDEX(Projects[Elec Inst],424)))</f>
        <v/>
      </c>
      <c r="BL425" s="5">
        <f>IF(A425="","",N(INDEX(Projects[Project Management],424)))</f>
        <v/>
      </c>
      <c r="BM425" s="5">
        <f>IF(A425="","",N(INDEX(Projects[Systems Eng],424)))</f>
        <v/>
      </c>
      <c r="BN425" s="5">
        <f>IF(A425="","",N(INDEX(Projects[Mechanical Eng],424)))</f>
        <v/>
      </c>
      <c r="BO425" s="5">
        <f>IF(A425="","",N(INDEX(Projects[Structural Engineering],424)))</f>
        <v/>
      </c>
      <c r="BP425" s="5">
        <f>IF(A425="","",N(INDEX(Projects[Site Sup],424)))</f>
        <v/>
      </c>
      <c r="BQ425" s="5">
        <f>IF(A425="","",N(INDEX(Projects[Controls Commissioning],424)))</f>
        <v/>
      </c>
      <c r="BR425" s="5">
        <f>IF(A425="","",N(INDEX(Projects[Systems Commissioning],424)))</f>
        <v/>
      </c>
      <c r="BS425" s="5">
        <f>IF(A425="","",N(INDEX(Projects[Service Commissioning],424)))</f>
        <v/>
      </c>
      <c r="BT425" s="5">
        <f>IF(A425="","",N(INDEX(Projects[Controls Eng],424)))</f>
        <v/>
      </c>
      <c r="BU425" s="5">
        <f>IF(A425="","",N(INDEX(Projects[Controls Purchase],424)))</f>
        <v/>
      </c>
      <c r="BV425" s="5">
        <f>IF(A425="","",N(INDEX(Projects[Software Eng],424)))</f>
        <v/>
      </c>
      <c r="BW425" s="5">
        <f>IF(A425="","",N(INDEX(Projects[Misc],424)))</f>
        <v/>
      </c>
      <c r="BX425" s="5">
        <f>IF(A425="","",SUM(BJ425:BW425))</f>
        <v/>
      </c>
      <c r="BY425" s="5">
        <f>IF(A425="","",IFERROR(IF(ISNUMBER(U425),U425,VALUE(SUBSTITUTE(SUBSTITUTE(SUBSTITUTE(UPPER(TRIM(U425)),"M",""),",","")," ",""))),0))</f>
        <v/>
      </c>
      <c r="BZ425" s="5">
        <f>INDEX(Projects[Solution Type],424)&amp;""</f>
        <v/>
      </c>
      <c r="CA425" s="5">
        <f>INDEX(Projects[Client / Region],424)&amp;""</f>
        <v/>
      </c>
      <c r="CB425" s="5">
        <f>INDEX(Projects[Year],424)</f>
        <v/>
      </c>
      <c r="CC425" s="5">
        <f>INDEX(Projects[Won?],424)&amp;""</f>
        <v/>
      </c>
      <c r="CD425" s="5">
        <f>INDEX(Projects[Value (USD M)],424)</f>
        <v/>
      </c>
    </row>
    <row r="426" ht="15" customHeight="1" s="74">
      <c r="A426" s="66">
        <f>INDEX(Projects[Project ID *],425)&amp;""</f>
        <v/>
      </c>
      <c r="B426" s="66">
        <f>INDEX(Projects[Project Name *],425)&amp;""</f>
        <v/>
      </c>
      <c r="C426" s="66">
        <f>INDEX(Projects[MS Shuttles],425)</f>
        <v/>
      </c>
      <c r="D426" s="66">
        <f>INDEX(Projects[MS Tote Locations],425)</f>
        <v/>
      </c>
      <c r="E426" s="66">
        <f>INDEX(Projects[AS Robots],425)</f>
        <v/>
      </c>
      <c r="F426" s="66">
        <f>INDEX(Projects[AS Tote Locations],425)</f>
        <v/>
      </c>
      <c r="G426" s="66">
        <f>INDEX(Projects[PS Shuttles],425)</f>
        <v/>
      </c>
      <c r="H426" s="66">
        <f>INDEX(Projects[PS Pallet Locations],425)</f>
        <v/>
      </c>
      <c r="I426" s="66">
        <f>INDEX(Projects[SRM Cranes],425)</f>
        <v/>
      </c>
      <c r="J426" s="66">
        <f>INDEX(Projects[SRM Pallet Locations],425)</f>
        <v/>
      </c>
      <c r="K426" s="66">
        <f>INDEX(Projects[Case Conv (m)],425)</f>
        <v/>
      </c>
      <c r="L426" s="66">
        <f>INDEX(Projects[Pallet Conv (m)],425)</f>
        <v/>
      </c>
      <c r="M426" s="66">
        <f>INDEX(Projects[Mech Eng (wks)],425)</f>
        <v/>
      </c>
      <c r="N426" s="66">
        <f>INDEX(Projects[Controls Eng (wks)],425)</f>
        <v/>
      </c>
      <c r="O426" s="66">
        <f>INDEX(Projects[Systems Eng (wks)],425)</f>
        <v/>
      </c>
      <c r="P426" s="66">
        <f>INDEX(Projects[Software Eng (wks)],425)</f>
        <v/>
      </c>
      <c r="Q426" s="66">
        <f>INDEX(Projects[M&amp;E Installation (wks)],425)</f>
        <v/>
      </c>
      <c r="R426" s="66">
        <f>INDEX(Projects[Commissioning (wks)],425)</f>
        <v/>
      </c>
      <c r="S426" s="66">
        <f>INDEX(Projects[Total Timeline (wks)],425)</f>
        <v/>
      </c>
      <c r="T426" s="66">
        <f>INDEX(Projects[Currency],425)&amp;""</f>
        <v/>
      </c>
      <c r="U426" s="67">
        <f>INDEX(Projects[Value (M)],425)</f>
        <v/>
      </c>
      <c r="V426" s="66">
        <f>IF('Smart Search'!B13=1,IFERROR(1/'Smart Search'!H13,0),0)</f>
        <v/>
      </c>
      <c r="W426" s="66">
        <f>IF('Smart Search'!B13=1,IFERROR(1/'Smart Search'!H13,0),0)</f>
        <v/>
      </c>
      <c r="X426" s="66">
        <f>IF('Smart Search'!C13=1,IFERROR(1/'Smart Search'!H13,0),0)</f>
        <v/>
      </c>
      <c r="Y426" s="66">
        <f>IF('Smart Search'!C13=1,IFERROR(1/'Smart Search'!H13,0),0)</f>
        <v/>
      </c>
      <c r="Z426" s="66">
        <f>IF('Smart Search'!D13=1,IFERROR(1/'Smart Search'!H13,0),0)</f>
        <v/>
      </c>
      <c r="AA426" s="66">
        <f>IF('Smart Search'!D13=1,IFERROR(1/'Smart Search'!H13,0),0)</f>
        <v/>
      </c>
      <c r="AB426" s="66">
        <f>IF('Smart Search'!E13=1,IFERROR(1/'Smart Search'!H13,0),0)</f>
        <v/>
      </c>
      <c r="AC426" s="66">
        <f>IF('Smart Search'!E13=1,IFERROR(1/'Smart Search'!H13,0),0)</f>
        <v/>
      </c>
      <c r="AD426" s="66">
        <f>IF('Smart Search'!F13=1,IFERROR(1/'Smart Search'!H13,0),0)</f>
        <v/>
      </c>
      <c r="AE426" s="66">
        <f>IF('Smart Search'!F13=1,IFERROR(1/'Smart Search'!H13,0),0)</f>
        <v/>
      </c>
      <c r="AF426" s="66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66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66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66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66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66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66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66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66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66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66">
        <f>AF426*V426</f>
        <v/>
      </c>
      <c r="AQ426" s="66">
        <f>AG426*W426</f>
        <v/>
      </c>
      <c r="AR426" s="66">
        <f>AH426*X426</f>
        <v/>
      </c>
      <c r="AS426" s="66">
        <f>AI426*Y426</f>
        <v/>
      </c>
      <c r="AT426" s="66">
        <f>AJ426*Z426</f>
        <v/>
      </c>
      <c r="AU426" s="66">
        <f>AK426*AA426</f>
        <v/>
      </c>
      <c r="AV426" s="66">
        <f>AL426*AB426</f>
        <v/>
      </c>
      <c r="AW426" s="66">
        <f>AM426*AC426</f>
        <v/>
      </c>
      <c r="AX426" s="66">
        <f>AN426*AD426</f>
        <v/>
      </c>
      <c r="AY426" s="66">
        <f>AO426*AE426</f>
        <v/>
      </c>
      <c r="AZ426" s="66">
        <f>INDEX(Projects[Automation Equipment],425)&amp;""</f>
        <v/>
      </c>
      <c r="BA426" s="66">
        <f>IF(OR(A426="",'Smart Search'!H13=0),"",MAX(0,BE426*BF426*MAX(0,1-BG426)))</f>
        <v/>
      </c>
      <c r="BB426" s="66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66">
        <f>IF('Smart Search'!G13=1,IFERROR(1/'Smart Search'!H13,0),0)</f>
        <v/>
      </c>
      <c r="BD426" s="66">
        <f>BB426*BC426</f>
        <v/>
      </c>
      <c r="BE426" s="66">
        <f>AP426+AQ426+AR426+AS426+AT426+AU426+AV426+AW426+AX426+AY426+BD426</f>
        <v/>
      </c>
      <c r="BF426" s="5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5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5">
        <f>IF(AND(A426&lt;&gt;"",OR('Smart Search'!$L$5="",'Smart Search'!$L$5="All",TRIM(BZ426)=TRIM('Smart Search'!$L$5)),OR(TRIM('Smart Search'!$L$6)="",TRIM('Smart Search'!$L$6)="All",ISNUMBER(SEARCH(SUBSTITUTE(SUBSTITUTE(SUBSTITUTE(TRIM('Smart Search'!$L$6),"~","~~"),"*","~*"),"?","~?"),CA426))),OR('Smart Search'!$L$7="",AND(CB426&lt;&gt;0,CB426='Smart Search'!$L$7)),OR('Smart Search'!$L$8="",'Smart Search'!$L$8="All",TRIM(CC426)=TRIM('Smart Search'!$L$8))),IF(BA426="","",BA426+ROW()*0.0000000001),"")</f>
        <v/>
      </c>
      <c r="BI426" s="5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5">
        <f>IF(A426="","",N(INDEX(Projects[Mech Inst],425)))</f>
        <v/>
      </c>
      <c r="BK426" s="5">
        <f>IF(A426="","",N(INDEX(Projects[Elec Inst],425)))</f>
        <v/>
      </c>
      <c r="BL426" s="5">
        <f>IF(A426="","",N(INDEX(Projects[Project Management],425)))</f>
        <v/>
      </c>
      <c r="BM426" s="5">
        <f>IF(A426="","",N(INDEX(Projects[Systems Eng],425)))</f>
        <v/>
      </c>
      <c r="BN426" s="5">
        <f>IF(A426="","",N(INDEX(Projects[Mechanical Eng],425)))</f>
        <v/>
      </c>
      <c r="BO426" s="5">
        <f>IF(A426="","",N(INDEX(Projects[Structural Engineering],425)))</f>
        <v/>
      </c>
      <c r="BP426" s="5">
        <f>IF(A426="","",N(INDEX(Projects[Site Sup],425)))</f>
        <v/>
      </c>
      <c r="BQ426" s="5">
        <f>IF(A426="","",N(INDEX(Projects[Controls Commissioning],425)))</f>
        <v/>
      </c>
      <c r="BR426" s="5">
        <f>IF(A426="","",N(INDEX(Projects[Systems Commissioning],425)))</f>
        <v/>
      </c>
      <c r="BS426" s="5">
        <f>IF(A426="","",N(INDEX(Projects[Service Commissioning],425)))</f>
        <v/>
      </c>
      <c r="BT426" s="5">
        <f>IF(A426="","",N(INDEX(Projects[Controls Eng],425)))</f>
        <v/>
      </c>
      <c r="BU426" s="5">
        <f>IF(A426="","",N(INDEX(Projects[Controls Purchase],425)))</f>
        <v/>
      </c>
      <c r="BV426" s="5">
        <f>IF(A426="","",N(INDEX(Projects[Software Eng],425)))</f>
        <v/>
      </c>
      <c r="BW426" s="5">
        <f>IF(A426="","",N(INDEX(Projects[Misc],425)))</f>
        <v/>
      </c>
      <c r="BX426" s="5">
        <f>IF(A426="","",SUM(BJ426:BW426))</f>
        <v/>
      </c>
      <c r="BY426" s="5">
        <f>IF(A426="","",IFERROR(IF(ISNUMBER(U426),U426,VALUE(SUBSTITUTE(SUBSTITUTE(SUBSTITUTE(UPPER(TRIM(U426)),"M",""),",","")," ",""))),0))</f>
        <v/>
      </c>
      <c r="BZ426" s="5">
        <f>INDEX(Projects[Solution Type],425)&amp;""</f>
        <v/>
      </c>
      <c r="CA426" s="5">
        <f>INDEX(Projects[Client / Region],425)&amp;""</f>
        <v/>
      </c>
      <c r="CB426" s="5">
        <f>INDEX(Projects[Year],425)</f>
        <v/>
      </c>
      <c r="CC426" s="5">
        <f>INDEX(Projects[Won?],425)&amp;""</f>
        <v/>
      </c>
      <c r="CD426" s="5">
        <f>INDEX(Projects[Value (USD M)],425)</f>
        <v/>
      </c>
    </row>
    <row r="427" ht="15" customHeight="1" s="74">
      <c r="A427" s="66">
        <f>INDEX(Projects[Project ID *],426)&amp;""</f>
        <v/>
      </c>
      <c r="B427" s="66">
        <f>INDEX(Projects[Project Name *],426)&amp;""</f>
        <v/>
      </c>
      <c r="C427" s="66">
        <f>INDEX(Projects[MS Shuttles],426)</f>
        <v/>
      </c>
      <c r="D427" s="66">
        <f>INDEX(Projects[MS Tote Locations],426)</f>
        <v/>
      </c>
      <c r="E427" s="66">
        <f>INDEX(Projects[AS Robots],426)</f>
        <v/>
      </c>
      <c r="F427" s="66">
        <f>INDEX(Projects[AS Tote Locations],426)</f>
        <v/>
      </c>
      <c r="G427" s="66">
        <f>INDEX(Projects[PS Shuttles],426)</f>
        <v/>
      </c>
      <c r="H427" s="66">
        <f>INDEX(Projects[PS Pallet Locations],426)</f>
        <v/>
      </c>
      <c r="I427" s="66">
        <f>INDEX(Projects[SRM Cranes],426)</f>
        <v/>
      </c>
      <c r="J427" s="66">
        <f>INDEX(Projects[SRM Pallet Locations],426)</f>
        <v/>
      </c>
      <c r="K427" s="66">
        <f>INDEX(Projects[Case Conv (m)],426)</f>
        <v/>
      </c>
      <c r="L427" s="66">
        <f>INDEX(Projects[Pallet Conv (m)],426)</f>
        <v/>
      </c>
      <c r="M427" s="66">
        <f>INDEX(Projects[Mech Eng (wks)],426)</f>
        <v/>
      </c>
      <c r="N427" s="66">
        <f>INDEX(Projects[Controls Eng (wks)],426)</f>
        <v/>
      </c>
      <c r="O427" s="66">
        <f>INDEX(Projects[Systems Eng (wks)],426)</f>
        <v/>
      </c>
      <c r="P427" s="66">
        <f>INDEX(Projects[Software Eng (wks)],426)</f>
        <v/>
      </c>
      <c r="Q427" s="66">
        <f>INDEX(Projects[M&amp;E Installation (wks)],426)</f>
        <v/>
      </c>
      <c r="R427" s="66">
        <f>INDEX(Projects[Commissioning (wks)],426)</f>
        <v/>
      </c>
      <c r="S427" s="66">
        <f>INDEX(Projects[Total Timeline (wks)],426)</f>
        <v/>
      </c>
      <c r="T427" s="66">
        <f>INDEX(Projects[Currency],426)&amp;""</f>
        <v/>
      </c>
      <c r="U427" s="67">
        <f>INDEX(Projects[Value (M)],426)</f>
        <v/>
      </c>
      <c r="V427" s="66">
        <f>IF('Smart Search'!B13=1,IFERROR(1/'Smart Search'!H13,0),0)</f>
        <v/>
      </c>
      <c r="W427" s="66">
        <f>IF('Smart Search'!B13=1,IFERROR(1/'Smart Search'!H13,0),0)</f>
        <v/>
      </c>
      <c r="X427" s="66">
        <f>IF('Smart Search'!C13=1,IFERROR(1/'Smart Search'!H13,0),0)</f>
        <v/>
      </c>
      <c r="Y427" s="66">
        <f>IF('Smart Search'!C13=1,IFERROR(1/'Smart Search'!H13,0),0)</f>
        <v/>
      </c>
      <c r="Z427" s="66">
        <f>IF('Smart Search'!D13=1,IFERROR(1/'Smart Search'!H13,0),0)</f>
        <v/>
      </c>
      <c r="AA427" s="66">
        <f>IF('Smart Search'!D13=1,IFERROR(1/'Smart Search'!H13,0),0)</f>
        <v/>
      </c>
      <c r="AB427" s="66">
        <f>IF('Smart Search'!E13=1,IFERROR(1/'Smart Search'!H13,0),0)</f>
        <v/>
      </c>
      <c r="AC427" s="66">
        <f>IF('Smart Search'!E13=1,IFERROR(1/'Smart Search'!H13,0),0)</f>
        <v/>
      </c>
      <c r="AD427" s="66">
        <f>IF('Smart Search'!F13=1,IFERROR(1/'Smart Search'!H13,0),0)</f>
        <v/>
      </c>
      <c r="AE427" s="66">
        <f>IF('Smart Search'!F13=1,IFERROR(1/'Smart Search'!H13,0),0)</f>
        <v/>
      </c>
      <c r="AF427" s="66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66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66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66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66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66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66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66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66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66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66">
        <f>AF427*V427</f>
        <v/>
      </c>
      <c r="AQ427" s="66">
        <f>AG427*W427</f>
        <v/>
      </c>
      <c r="AR427" s="66">
        <f>AH427*X427</f>
        <v/>
      </c>
      <c r="AS427" s="66">
        <f>AI427*Y427</f>
        <v/>
      </c>
      <c r="AT427" s="66">
        <f>AJ427*Z427</f>
        <v/>
      </c>
      <c r="AU427" s="66">
        <f>AK427*AA427</f>
        <v/>
      </c>
      <c r="AV427" s="66">
        <f>AL427*AB427</f>
        <v/>
      </c>
      <c r="AW427" s="66">
        <f>AM427*AC427</f>
        <v/>
      </c>
      <c r="AX427" s="66">
        <f>AN427*AD427</f>
        <v/>
      </c>
      <c r="AY427" s="66">
        <f>AO427*AE427</f>
        <v/>
      </c>
      <c r="AZ427" s="66">
        <f>INDEX(Projects[Automation Equipment],426)&amp;""</f>
        <v/>
      </c>
      <c r="BA427" s="66">
        <f>IF(OR(A427="",'Smart Search'!H13=0),"",MAX(0,BE427*BF427*MAX(0,1-BG427)))</f>
        <v/>
      </c>
      <c r="BB427" s="66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66">
        <f>IF('Smart Search'!G13=1,IFERROR(1/'Smart Search'!H13,0),0)</f>
        <v/>
      </c>
      <c r="BD427" s="66">
        <f>BB427*BC427</f>
        <v/>
      </c>
      <c r="BE427" s="66">
        <f>AP427+AQ427+AR427+AS427+AT427+AU427+AV427+AW427+AX427+AY427+BD427</f>
        <v/>
      </c>
      <c r="BF427" s="5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5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5">
        <f>IF(AND(A427&lt;&gt;"",OR('Smart Search'!$L$5="",'Smart Search'!$L$5="All",TRIM(BZ427)=TRIM('Smart Search'!$L$5)),OR(TRIM('Smart Search'!$L$6)="",TRIM('Smart Search'!$L$6)="All",ISNUMBER(SEARCH(SUBSTITUTE(SUBSTITUTE(SUBSTITUTE(TRIM('Smart Search'!$L$6),"~","~~"),"*","~*"),"?","~?"),CA427))),OR('Smart Search'!$L$7="",AND(CB427&lt;&gt;0,CB427='Smart Search'!$L$7)),OR('Smart Search'!$L$8="",'Smart Search'!$L$8="All",TRIM(CC427)=TRIM('Smart Search'!$L$8))),IF(BA427="","",BA427+ROW()*0.0000000001),"")</f>
        <v/>
      </c>
      <c r="BI427" s="5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5">
        <f>IF(A427="","",N(INDEX(Projects[Mech Inst],426)))</f>
        <v/>
      </c>
      <c r="BK427" s="5">
        <f>IF(A427="","",N(INDEX(Projects[Elec Inst],426)))</f>
        <v/>
      </c>
      <c r="BL427" s="5">
        <f>IF(A427="","",N(INDEX(Projects[Project Management],426)))</f>
        <v/>
      </c>
      <c r="BM427" s="5">
        <f>IF(A427="","",N(INDEX(Projects[Systems Eng],426)))</f>
        <v/>
      </c>
      <c r="BN427" s="5">
        <f>IF(A427="","",N(INDEX(Projects[Mechanical Eng],426)))</f>
        <v/>
      </c>
      <c r="BO427" s="5">
        <f>IF(A427="","",N(INDEX(Projects[Structural Engineering],426)))</f>
        <v/>
      </c>
      <c r="BP427" s="5">
        <f>IF(A427="","",N(INDEX(Projects[Site Sup],426)))</f>
        <v/>
      </c>
      <c r="BQ427" s="5">
        <f>IF(A427="","",N(INDEX(Projects[Controls Commissioning],426)))</f>
        <v/>
      </c>
      <c r="BR427" s="5">
        <f>IF(A427="","",N(INDEX(Projects[Systems Commissioning],426)))</f>
        <v/>
      </c>
      <c r="BS427" s="5">
        <f>IF(A427="","",N(INDEX(Projects[Service Commissioning],426)))</f>
        <v/>
      </c>
      <c r="BT427" s="5">
        <f>IF(A427="","",N(INDEX(Projects[Controls Eng],426)))</f>
        <v/>
      </c>
      <c r="BU427" s="5">
        <f>IF(A427="","",N(INDEX(Projects[Controls Purchase],426)))</f>
        <v/>
      </c>
      <c r="BV427" s="5">
        <f>IF(A427="","",N(INDEX(Projects[Software Eng],426)))</f>
        <v/>
      </c>
      <c r="BW427" s="5">
        <f>IF(A427="","",N(INDEX(Projects[Misc],426)))</f>
        <v/>
      </c>
      <c r="BX427" s="5">
        <f>IF(A427="","",SUM(BJ427:BW427))</f>
        <v/>
      </c>
      <c r="BY427" s="5">
        <f>IF(A427="","",IFERROR(IF(ISNUMBER(U427),U427,VALUE(SUBSTITUTE(SUBSTITUTE(SUBSTITUTE(UPPER(TRIM(U427)),"M",""),",","")," ",""))),0))</f>
        <v/>
      </c>
      <c r="BZ427" s="5">
        <f>INDEX(Projects[Solution Type],426)&amp;""</f>
        <v/>
      </c>
      <c r="CA427" s="5">
        <f>INDEX(Projects[Client / Region],426)&amp;""</f>
        <v/>
      </c>
      <c r="CB427" s="5">
        <f>INDEX(Projects[Year],426)</f>
        <v/>
      </c>
      <c r="CC427" s="5">
        <f>INDEX(Projects[Won?],426)&amp;""</f>
        <v/>
      </c>
      <c r="CD427" s="5">
        <f>INDEX(Projects[Value (USD M)],426)</f>
        <v/>
      </c>
    </row>
    <row r="428" ht="15" customHeight="1" s="74">
      <c r="A428" s="66">
        <f>INDEX(Projects[Project ID *],427)&amp;""</f>
        <v/>
      </c>
      <c r="B428" s="66">
        <f>INDEX(Projects[Project Name *],427)&amp;""</f>
        <v/>
      </c>
      <c r="C428" s="66">
        <f>INDEX(Projects[MS Shuttles],427)</f>
        <v/>
      </c>
      <c r="D428" s="66">
        <f>INDEX(Projects[MS Tote Locations],427)</f>
        <v/>
      </c>
      <c r="E428" s="66">
        <f>INDEX(Projects[AS Robots],427)</f>
        <v/>
      </c>
      <c r="F428" s="66">
        <f>INDEX(Projects[AS Tote Locations],427)</f>
        <v/>
      </c>
      <c r="G428" s="66">
        <f>INDEX(Projects[PS Shuttles],427)</f>
        <v/>
      </c>
      <c r="H428" s="66">
        <f>INDEX(Projects[PS Pallet Locations],427)</f>
        <v/>
      </c>
      <c r="I428" s="66">
        <f>INDEX(Projects[SRM Cranes],427)</f>
        <v/>
      </c>
      <c r="J428" s="66">
        <f>INDEX(Projects[SRM Pallet Locations],427)</f>
        <v/>
      </c>
      <c r="K428" s="66">
        <f>INDEX(Projects[Case Conv (m)],427)</f>
        <v/>
      </c>
      <c r="L428" s="66">
        <f>INDEX(Projects[Pallet Conv (m)],427)</f>
        <v/>
      </c>
      <c r="M428" s="66">
        <f>INDEX(Projects[Mech Eng (wks)],427)</f>
        <v/>
      </c>
      <c r="N428" s="66">
        <f>INDEX(Projects[Controls Eng (wks)],427)</f>
        <v/>
      </c>
      <c r="O428" s="66">
        <f>INDEX(Projects[Systems Eng (wks)],427)</f>
        <v/>
      </c>
      <c r="P428" s="66">
        <f>INDEX(Projects[Software Eng (wks)],427)</f>
        <v/>
      </c>
      <c r="Q428" s="66">
        <f>INDEX(Projects[M&amp;E Installation (wks)],427)</f>
        <v/>
      </c>
      <c r="R428" s="66">
        <f>INDEX(Projects[Commissioning (wks)],427)</f>
        <v/>
      </c>
      <c r="S428" s="66">
        <f>INDEX(Projects[Total Timeline (wks)],427)</f>
        <v/>
      </c>
      <c r="T428" s="66">
        <f>INDEX(Projects[Currency],427)&amp;""</f>
        <v/>
      </c>
      <c r="U428" s="67">
        <f>INDEX(Projects[Value (M)],427)</f>
        <v/>
      </c>
      <c r="V428" s="66">
        <f>IF('Smart Search'!B13=1,IFERROR(1/'Smart Search'!H13,0),0)</f>
        <v/>
      </c>
      <c r="W428" s="66">
        <f>IF('Smart Search'!B13=1,IFERROR(1/'Smart Search'!H13,0),0)</f>
        <v/>
      </c>
      <c r="X428" s="66">
        <f>IF('Smart Search'!C13=1,IFERROR(1/'Smart Search'!H13,0),0)</f>
        <v/>
      </c>
      <c r="Y428" s="66">
        <f>IF('Smart Search'!C13=1,IFERROR(1/'Smart Search'!H13,0),0)</f>
        <v/>
      </c>
      <c r="Z428" s="66">
        <f>IF('Smart Search'!D13=1,IFERROR(1/'Smart Search'!H13,0),0)</f>
        <v/>
      </c>
      <c r="AA428" s="66">
        <f>IF('Smart Search'!D13=1,IFERROR(1/'Smart Search'!H13,0),0)</f>
        <v/>
      </c>
      <c r="AB428" s="66">
        <f>IF('Smart Search'!E13=1,IFERROR(1/'Smart Search'!H13,0),0)</f>
        <v/>
      </c>
      <c r="AC428" s="66">
        <f>IF('Smart Search'!E13=1,IFERROR(1/'Smart Search'!H13,0),0)</f>
        <v/>
      </c>
      <c r="AD428" s="66">
        <f>IF('Smart Search'!F13=1,IFERROR(1/'Smart Search'!H13,0),0)</f>
        <v/>
      </c>
      <c r="AE428" s="66">
        <f>IF('Smart Search'!F13=1,IFERROR(1/'Smart Search'!H13,0),0)</f>
        <v/>
      </c>
      <c r="AF428" s="66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66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66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66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66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66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66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66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66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66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66">
        <f>AF428*V428</f>
        <v/>
      </c>
      <c r="AQ428" s="66">
        <f>AG428*W428</f>
        <v/>
      </c>
      <c r="AR428" s="66">
        <f>AH428*X428</f>
        <v/>
      </c>
      <c r="AS428" s="66">
        <f>AI428*Y428</f>
        <v/>
      </c>
      <c r="AT428" s="66">
        <f>AJ428*Z428</f>
        <v/>
      </c>
      <c r="AU428" s="66">
        <f>AK428*AA428</f>
        <v/>
      </c>
      <c r="AV428" s="66">
        <f>AL428*AB428</f>
        <v/>
      </c>
      <c r="AW428" s="66">
        <f>AM428*AC428</f>
        <v/>
      </c>
      <c r="AX428" s="66">
        <f>AN428*AD428</f>
        <v/>
      </c>
      <c r="AY428" s="66">
        <f>AO428*AE428</f>
        <v/>
      </c>
      <c r="AZ428" s="66">
        <f>INDEX(Projects[Automation Equipment],427)&amp;""</f>
        <v/>
      </c>
      <c r="BA428" s="66">
        <f>IF(OR(A428="",'Smart Search'!H13=0),"",MAX(0,BE428*BF428*MAX(0,1-BG428)))</f>
        <v/>
      </c>
      <c r="BB428" s="66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66">
        <f>IF('Smart Search'!G13=1,IFERROR(1/'Smart Search'!H13,0),0)</f>
        <v/>
      </c>
      <c r="BD428" s="66">
        <f>BB428*BC428</f>
        <v/>
      </c>
      <c r="BE428" s="66">
        <f>AP428+AQ428+AR428+AS428+AT428+AU428+AV428+AW428+AX428+AY428+BD428</f>
        <v/>
      </c>
      <c r="BF428" s="5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5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5">
        <f>IF(AND(A428&lt;&gt;"",OR('Smart Search'!$L$5="",'Smart Search'!$L$5="All",TRIM(BZ428)=TRIM('Smart Search'!$L$5)),OR(TRIM('Smart Search'!$L$6)="",TRIM('Smart Search'!$L$6)="All",ISNUMBER(SEARCH(SUBSTITUTE(SUBSTITUTE(SUBSTITUTE(TRIM('Smart Search'!$L$6),"~","~~"),"*","~*"),"?","~?"),CA428))),OR('Smart Search'!$L$7="",AND(CB428&lt;&gt;0,CB428='Smart Search'!$L$7)),OR('Smart Search'!$L$8="",'Smart Search'!$L$8="All",TRIM(CC428)=TRIM('Smart Search'!$L$8))),IF(BA428="","",BA428+ROW()*0.0000000001),"")</f>
        <v/>
      </c>
      <c r="BI428" s="5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5">
        <f>IF(A428="","",N(INDEX(Projects[Mech Inst],427)))</f>
        <v/>
      </c>
      <c r="BK428" s="5">
        <f>IF(A428="","",N(INDEX(Projects[Elec Inst],427)))</f>
        <v/>
      </c>
      <c r="BL428" s="5">
        <f>IF(A428="","",N(INDEX(Projects[Project Management],427)))</f>
        <v/>
      </c>
      <c r="BM428" s="5">
        <f>IF(A428="","",N(INDEX(Projects[Systems Eng],427)))</f>
        <v/>
      </c>
      <c r="BN428" s="5">
        <f>IF(A428="","",N(INDEX(Projects[Mechanical Eng],427)))</f>
        <v/>
      </c>
      <c r="BO428" s="5">
        <f>IF(A428="","",N(INDEX(Projects[Structural Engineering],427)))</f>
        <v/>
      </c>
      <c r="BP428" s="5">
        <f>IF(A428="","",N(INDEX(Projects[Site Sup],427)))</f>
        <v/>
      </c>
      <c r="BQ428" s="5">
        <f>IF(A428="","",N(INDEX(Projects[Controls Commissioning],427)))</f>
        <v/>
      </c>
      <c r="BR428" s="5">
        <f>IF(A428="","",N(INDEX(Projects[Systems Commissioning],427)))</f>
        <v/>
      </c>
      <c r="BS428" s="5">
        <f>IF(A428="","",N(INDEX(Projects[Service Commissioning],427)))</f>
        <v/>
      </c>
      <c r="BT428" s="5">
        <f>IF(A428="","",N(INDEX(Projects[Controls Eng],427)))</f>
        <v/>
      </c>
      <c r="BU428" s="5">
        <f>IF(A428="","",N(INDEX(Projects[Controls Purchase],427)))</f>
        <v/>
      </c>
      <c r="BV428" s="5">
        <f>IF(A428="","",N(INDEX(Projects[Software Eng],427)))</f>
        <v/>
      </c>
      <c r="BW428" s="5">
        <f>IF(A428="","",N(INDEX(Projects[Misc],427)))</f>
        <v/>
      </c>
      <c r="BX428" s="5">
        <f>IF(A428="","",SUM(BJ428:BW428))</f>
        <v/>
      </c>
      <c r="BY428" s="5">
        <f>IF(A428="","",IFERROR(IF(ISNUMBER(U428),U428,VALUE(SUBSTITUTE(SUBSTITUTE(SUBSTITUTE(UPPER(TRIM(U428)),"M",""),",","")," ",""))),0))</f>
        <v/>
      </c>
      <c r="BZ428" s="5">
        <f>INDEX(Projects[Solution Type],427)&amp;""</f>
        <v/>
      </c>
      <c r="CA428" s="5">
        <f>INDEX(Projects[Client / Region],427)&amp;""</f>
        <v/>
      </c>
      <c r="CB428" s="5">
        <f>INDEX(Projects[Year],427)</f>
        <v/>
      </c>
      <c r="CC428" s="5">
        <f>INDEX(Projects[Won?],427)&amp;""</f>
        <v/>
      </c>
      <c r="CD428" s="5">
        <f>INDEX(Projects[Value (USD M)],427)</f>
        <v/>
      </c>
    </row>
    <row r="429" ht="15" customHeight="1" s="74">
      <c r="A429" s="66">
        <f>INDEX(Projects[Project ID *],428)&amp;""</f>
        <v/>
      </c>
      <c r="B429" s="66">
        <f>INDEX(Projects[Project Name *],428)&amp;""</f>
        <v/>
      </c>
      <c r="C429" s="66">
        <f>INDEX(Projects[MS Shuttles],428)</f>
        <v/>
      </c>
      <c r="D429" s="66">
        <f>INDEX(Projects[MS Tote Locations],428)</f>
        <v/>
      </c>
      <c r="E429" s="66">
        <f>INDEX(Projects[AS Robots],428)</f>
        <v/>
      </c>
      <c r="F429" s="66">
        <f>INDEX(Projects[AS Tote Locations],428)</f>
        <v/>
      </c>
      <c r="G429" s="66">
        <f>INDEX(Projects[PS Shuttles],428)</f>
        <v/>
      </c>
      <c r="H429" s="66">
        <f>INDEX(Projects[PS Pallet Locations],428)</f>
        <v/>
      </c>
      <c r="I429" s="66">
        <f>INDEX(Projects[SRM Cranes],428)</f>
        <v/>
      </c>
      <c r="J429" s="66">
        <f>INDEX(Projects[SRM Pallet Locations],428)</f>
        <v/>
      </c>
      <c r="K429" s="66">
        <f>INDEX(Projects[Case Conv (m)],428)</f>
        <v/>
      </c>
      <c r="L429" s="66">
        <f>INDEX(Projects[Pallet Conv (m)],428)</f>
        <v/>
      </c>
      <c r="M429" s="66">
        <f>INDEX(Projects[Mech Eng (wks)],428)</f>
        <v/>
      </c>
      <c r="N429" s="66">
        <f>INDEX(Projects[Controls Eng (wks)],428)</f>
        <v/>
      </c>
      <c r="O429" s="66">
        <f>INDEX(Projects[Systems Eng (wks)],428)</f>
        <v/>
      </c>
      <c r="P429" s="66">
        <f>INDEX(Projects[Software Eng (wks)],428)</f>
        <v/>
      </c>
      <c r="Q429" s="66">
        <f>INDEX(Projects[M&amp;E Installation (wks)],428)</f>
        <v/>
      </c>
      <c r="R429" s="66">
        <f>INDEX(Projects[Commissioning (wks)],428)</f>
        <v/>
      </c>
      <c r="S429" s="66">
        <f>INDEX(Projects[Total Timeline (wks)],428)</f>
        <v/>
      </c>
      <c r="T429" s="66">
        <f>INDEX(Projects[Currency],428)&amp;""</f>
        <v/>
      </c>
      <c r="U429" s="67">
        <f>INDEX(Projects[Value (M)],428)</f>
        <v/>
      </c>
      <c r="V429" s="66">
        <f>IF('Smart Search'!B13=1,IFERROR(1/'Smart Search'!H13,0),0)</f>
        <v/>
      </c>
      <c r="W429" s="66">
        <f>IF('Smart Search'!B13=1,IFERROR(1/'Smart Search'!H13,0),0)</f>
        <v/>
      </c>
      <c r="X429" s="66">
        <f>IF('Smart Search'!C13=1,IFERROR(1/'Smart Search'!H13,0),0)</f>
        <v/>
      </c>
      <c r="Y429" s="66">
        <f>IF('Smart Search'!C13=1,IFERROR(1/'Smart Search'!H13,0),0)</f>
        <v/>
      </c>
      <c r="Z429" s="66">
        <f>IF('Smart Search'!D13=1,IFERROR(1/'Smart Search'!H13,0),0)</f>
        <v/>
      </c>
      <c r="AA429" s="66">
        <f>IF('Smart Search'!D13=1,IFERROR(1/'Smart Search'!H13,0),0)</f>
        <v/>
      </c>
      <c r="AB429" s="66">
        <f>IF('Smart Search'!E13=1,IFERROR(1/'Smart Search'!H13,0),0)</f>
        <v/>
      </c>
      <c r="AC429" s="66">
        <f>IF('Smart Search'!E13=1,IFERROR(1/'Smart Search'!H13,0),0)</f>
        <v/>
      </c>
      <c r="AD429" s="66">
        <f>IF('Smart Search'!F13=1,IFERROR(1/'Smart Search'!H13,0),0)</f>
        <v/>
      </c>
      <c r="AE429" s="66">
        <f>IF('Smart Search'!F13=1,IFERROR(1/'Smart Search'!H13,0),0)</f>
        <v/>
      </c>
      <c r="AF429" s="66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66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66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66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66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66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66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66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66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66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66">
        <f>AF429*V429</f>
        <v/>
      </c>
      <c r="AQ429" s="66">
        <f>AG429*W429</f>
        <v/>
      </c>
      <c r="AR429" s="66">
        <f>AH429*X429</f>
        <v/>
      </c>
      <c r="AS429" s="66">
        <f>AI429*Y429</f>
        <v/>
      </c>
      <c r="AT429" s="66">
        <f>AJ429*Z429</f>
        <v/>
      </c>
      <c r="AU429" s="66">
        <f>AK429*AA429</f>
        <v/>
      </c>
      <c r="AV429" s="66">
        <f>AL429*AB429</f>
        <v/>
      </c>
      <c r="AW429" s="66">
        <f>AM429*AC429</f>
        <v/>
      </c>
      <c r="AX429" s="66">
        <f>AN429*AD429</f>
        <v/>
      </c>
      <c r="AY429" s="66">
        <f>AO429*AE429</f>
        <v/>
      </c>
      <c r="AZ429" s="66">
        <f>INDEX(Projects[Automation Equipment],428)&amp;""</f>
        <v/>
      </c>
      <c r="BA429" s="66">
        <f>IF(OR(A429="",'Smart Search'!H13=0),"",MAX(0,BE429*BF429*MAX(0,1-BG429)))</f>
        <v/>
      </c>
      <c r="BB429" s="66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66">
        <f>IF('Smart Search'!G13=1,IFERROR(1/'Smart Search'!H13,0),0)</f>
        <v/>
      </c>
      <c r="BD429" s="66">
        <f>BB429*BC429</f>
        <v/>
      </c>
      <c r="BE429" s="66">
        <f>AP429+AQ429+AR429+AS429+AT429+AU429+AV429+AW429+AX429+AY429+BD429</f>
        <v/>
      </c>
      <c r="BF429" s="5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5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5">
        <f>IF(AND(A429&lt;&gt;"",OR('Smart Search'!$L$5="",'Smart Search'!$L$5="All",TRIM(BZ429)=TRIM('Smart Search'!$L$5)),OR(TRIM('Smart Search'!$L$6)="",TRIM('Smart Search'!$L$6)="All",ISNUMBER(SEARCH(SUBSTITUTE(SUBSTITUTE(SUBSTITUTE(TRIM('Smart Search'!$L$6),"~","~~"),"*","~*"),"?","~?"),CA429))),OR('Smart Search'!$L$7="",AND(CB429&lt;&gt;0,CB429='Smart Search'!$L$7)),OR('Smart Search'!$L$8="",'Smart Search'!$L$8="All",TRIM(CC429)=TRIM('Smart Search'!$L$8))),IF(BA429="","",BA429+ROW()*0.0000000001),"")</f>
        <v/>
      </c>
      <c r="BI429" s="5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5">
        <f>IF(A429="","",N(INDEX(Projects[Mech Inst],428)))</f>
        <v/>
      </c>
      <c r="BK429" s="5">
        <f>IF(A429="","",N(INDEX(Projects[Elec Inst],428)))</f>
        <v/>
      </c>
      <c r="BL429" s="5">
        <f>IF(A429="","",N(INDEX(Projects[Project Management],428)))</f>
        <v/>
      </c>
      <c r="BM429" s="5">
        <f>IF(A429="","",N(INDEX(Projects[Systems Eng],428)))</f>
        <v/>
      </c>
      <c r="BN429" s="5">
        <f>IF(A429="","",N(INDEX(Projects[Mechanical Eng],428)))</f>
        <v/>
      </c>
      <c r="BO429" s="5">
        <f>IF(A429="","",N(INDEX(Projects[Structural Engineering],428)))</f>
        <v/>
      </c>
      <c r="BP429" s="5">
        <f>IF(A429="","",N(INDEX(Projects[Site Sup],428)))</f>
        <v/>
      </c>
      <c r="BQ429" s="5">
        <f>IF(A429="","",N(INDEX(Projects[Controls Commissioning],428)))</f>
        <v/>
      </c>
      <c r="BR429" s="5">
        <f>IF(A429="","",N(INDEX(Projects[Systems Commissioning],428)))</f>
        <v/>
      </c>
      <c r="BS429" s="5">
        <f>IF(A429="","",N(INDEX(Projects[Service Commissioning],428)))</f>
        <v/>
      </c>
      <c r="BT429" s="5">
        <f>IF(A429="","",N(INDEX(Projects[Controls Eng],428)))</f>
        <v/>
      </c>
      <c r="BU429" s="5">
        <f>IF(A429="","",N(INDEX(Projects[Controls Purchase],428)))</f>
        <v/>
      </c>
      <c r="BV429" s="5">
        <f>IF(A429="","",N(INDEX(Projects[Software Eng],428)))</f>
        <v/>
      </c>
      <c r="BW429" s="5">
        <f>IF(A429="","",N(INDEX(Projects[Misc],428)))</f>
        <v/>
      </c>
      <c r="BX429" s="5">
        <f>IF(A429="","",SUM(BJ429:BW429))</f>
        <v/>
      </c>
      <c r="BY429" s="5">
        <f>IF(A429="","",IFERROR(IF(ISNUMBER(U429),U429,VALUE(SUBSTITUTE(SUBSTITUTE(SUBSTITUTE(UPPER(TRIM(U429)),"M",""),",","")," ",""))),0))</f>
        <v/>
      </c>
      <c r="BZ429" s="5">
        <f>INDEX(Projects[Solution Type],428)&amp;""</f>
        <v/>
      </c>
      <c r="CA429" s="5">
        <f>INDEX(Projects[Client / Region],428)&amp;""</f>
        <v/>
      </c>
      <c r="CB429" s="5">
        <f>INDEX(Projects[Year],428)</f>
        <v/>
      </c>
      <c r="CC429" s="5">
        <f>INDEX(Projects[Won?],428)&amp;""</f>
        <v/>
      </c>
      <c r="CD429" s="5">
        <f>INDEX(Projects[Value (USD M)],428)</f>
        <v/>
      </c>
    </row>
    <row r="430" ht="15" customHeight="1" s="74">
      <c r="A430" s="66">
        <f>INDEX(Projects[Project ID *],429)&amp;""</f>
        <v/>
      </c>
      <c r="B430" s="66">
        <f>INDEX(Projects[Project Name *],429)&amp;""</f>
        <v/>
      </c>
      <c r="C430" s="66">
        <f>INDEX(Projects[MS Shuttles],429)</f>
        <v/>
      </c>
      <c r="D430" s="66">
        <f>INDEX(Projects[MS Tote Locations],429)</f>
        <v/>
      </c>
      <c r="E430" s="66">
        <f>INDEX(Projects[AS Robots],429)</f>
        <v/>
      </c>
      <c r="F430" s="66">
        <f>INDEX(Projects[AS Tote Locations],429)</f>
        <v/>
      </c>
      <c r="G430" s="66">
        <f>INDEX(Projects[PS Shuttles],429)</f>
        <v/>
      </c>
      <c r="H430" s="66">
        <f>INDEX(Projects[PS Pallet Locations],429)</f>
        <v/>
      </c>
      <c r="I430" s="66">
        <f>INDEX(Projects[SRM Cranes],429)</f>
        <v/>
      </c>
      <c r="J430" s="66">
        <f>INDEX(Projects[SRM Pallet Locations],429)</f>
        <v/>
      </c>
      <c r="K430" s="66">
        <f>INDEX(Projects[Case Conv (m)],429)</f>
        <v/>
      </c>
      <c r="L430" s="66">
        <f>INDEX(Projects[Pallet Conv (m)],429)</f>
        <v/>
      </c>
      <c r="M430" s="66">
        <f>INDEX(Projects[Mech Eng (wks)],429)</f>
        <v/>
      </c>
      <c r="N430" s="66">
        <f>INDEX(Projects[Controls Eng (wks)],429)</f>
        <v/>
      </c>
      <c r="O430" s="66">
        <f>INDEX(Projects[Systems Eng (wks)],429)</f>
        <v/>
      </c>
      <c r="P430" s="66">
        <f>INDEX(Projects[Software Eng (wks)],429)</f>
        <v/>
      </c>
      <c r="Q430" s="66">
        <f>INDEX(Projects[M&amp;E Installation (wks)],429)</f>
        <v/>
      </c>
      <c r="R430" s="66">
        <f>INDEX(Projects[Commissioning (wks)],429)</f>
        <v/>
      </c>
      <c r="S430" s="66">
        <f>INDEX(Projects[Total Timeline (wks)],429)</f>
        <v/>
      </c>
      <c r="T430" s="66">
        <f>INDEX(Projects[Currency],429)&amp;""</f>
        <v/>
      </c>
      <c r="U430" s="67">
        <f>INDEX(Projects[Value (M)],429)</f>
        <v/>
      </c>
      <c r="V430" s="66">
        <f>IF('Smart Search'!B13=1,IFERROR(1/'Smart Search'!H13,0),0)</f>
        <v/>
      </c>
      <c r="W430" s="66">
        <f>IF('Smart Search'!B13=1,IFERROR(1/'Smart Search'!H13,0),0)</f>
        <v/>
      </c>
      <c r="X430" s="66">
        <f>IF('Smart Search'!C13=1,IFERROR(1/'Smart Search'!H13,0),0)</f>
        <v/>
      </c>
      <c r="Y430" s="66">
        <f>IF('Smart Search'!C13=1,IFERROR(1/'Smart Search'!H13,0),0)</f>
        <v/>
      </c>
      <c r="Z430" s="66">
        <f>IF('Smart Search'!D13=1,IFERROR(1/'Smart Search'!H13,0),0)</f>
        <v/>
      </c>
      <c r="AA430" s="66">
        <f>IF('Smart Search'!D13=1,IFERROR(1/'Smart Search'!H13,0),0)</f>
        <v/>
      </c>
      <c r="AB430" s="66">
        <f>IF('Smart Search'!E13=1,IFERROR(1/'Smart Search'!H13,0),0)</f>
        <v/>
      </c>
      <c r="AC430" s="66">
        <f>IF('Smart Search'!E13=1,IFERROR(1/'Smart Search'!H13,0),0)</f>
        <v/>
      </c>
      <c r="AD430" s="66">
        <f>IF('Smart Search'!F13=1,IFERROR(1/'Smart Search'!H13,0),0)</f>
        <v/>
      </c>
      <c r="AE430" s="66">
        <f>IF('Smart Search'!F13=1,IFERROR(1/'Smart Search'!H13,0),0)</f>
        <v/>
      </c>
      <c r="AF430" s="66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66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66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66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66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66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66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66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66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66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66">
        <f>AF430*V430</f>
        <v/>
      </c>
      <c r="AQ430" s="66">
        <f>AG430*W430</f>
        <v/>
      </c>
      <c r="AR430" s="66">
        <f>AH430*X430</f>
        <v/>
      </c>
      <c r="AS430" s="66">
        <f>AI430*Y430</f>
        <v/>
      </c>
      <c r="AT430" s="66">
        <f>AJ430*Z430</f>
        <v/>
      </c>
      <c r="AU430" s="66">
        <f>AK430*AA430</f>
        <v/>
      </c>
      <c r="AV430" s="66">
        <f>AL430*AB430</f>
        <v/>
      </c>
      <c r="AW430" s="66">
        <f>AM430*AC430</f>
        <v/>
      </c>
      <c r="AX430" s="66">
        <f>AN430*AD430</f>
        <v/>
      </c>
      <c r="AY430" s="66">
        <f>AO430*AE430</f>
        <v/>
      </c>
      <c r="AZ430" s="66">
        <f>INDEX(Projects[Automation Equipment],429)&amp;""</f>
        <v/>
      </c>
      <c r="BA430" s="66">
        <f>IF(OR(A430="",'Smart Search'!H13=0),"",MAX(0,BE430*BF430*MAX(0,1-BG430)))</f>
        <v/>
      </c>
      <c r="BB430" s="66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66">
        <f>IF('Smart Search'!G13=1,IFERROR(1/'Smart Search'!H13,0),0)</f>
        <v/>
      </c>
      <c r="BD430" s="66">
        <f>BB430*BC430</f>
        <v/>
      </c>
      <c r="BE430" s="66">
        <f>AP430+AQ430+AR430+AS430+AT430+AU430+AV430+AW430+AX430+AY430+BD430</f>
        <v/>
      </c>
      <c r="BF430" s="5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5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5">
        <f>IF(AND(A430&lt;&gt;"",OR('Smart Search'!$L$5="",'Smart Search'!$L$5="All",TRIM(BZ430)=TRIM('Smart Search'!$L$5)),OR(TRIM('Smart Search'!$L$6)="",TRIM('Smart Search'!$L$6)="All",ISNUMBER(SEARCH(SUBSTITUTE(SUBSTITUTE(SUBSTITUTE(TRIM('Smart Search'!$L$6),"~","~~"),"*","~*"),"?","~?"),CA430))),OR('Smart Search'!$L$7="",AND(CB430&lt;&gt;0,CB430='Smart Search'!$L$7)),OR('Smart Search'!$L$8="",'Smart Search'!$L$8="All",TRIM(CC430)=TRIM('Smart Search'!$L$8))),IF(BA430="","",BA430+ROW()*0.0000000001),"")</f>
        <v/>
      </c>
      <c r="BI430" s="5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5">
        <f>IF(A430="","",N(INDEX(Projects[Mech Inst],429)))</f>
        <v/>
      </c>
      <c r="BK430" s="5">
        <f>IF(A430="","",N(INDEX(Projects[Elec Inst],429)))</f>
        <v/>
      </c>
      <c r="BL430" s="5">
        <f>IF(A430="","",N(INDEX(Projects[Project Management],429)))</f>
        <v/>
      </c>
      <c r="BM430" s="5">
        <f>IF(A430="","",N(INDEX(Projects[Systems Eng],429)))</f>
        <v/>
      </c>
      <c r="BN430" s="5">
        <f>IF(A430="","",N(INDEX(Projects[Mechanical Eng],429)))</f>
        <v/>
      </c>
      <c r="BO430" s="5">
        <f>IF(A430="","",N(INDEX(Projects[Structural Engineering],429)))</f>
        <v/>
      </c>
      <c r="BP430" s="5">
        <f>IF(A430="","",N(INDEX(Projects[Site Sup],429)))</f>
        <v/>
      </c>
      <c r="BQ430" s="5">
        <f>IF(A430="","",N(INDEX(Projects[Controls Commissioning],429)))</f>
        <v/>
      </c>
      <c r="BR430" s="5">
        <f>IF(A430="","",N(INDEX(Projects[Systems Commissioning],429)))</f>
        <v/>
      </c>
      <c r="BS430" s="5">
        <f>IF(A430="","",N(INDEX(Projects[Service Commissioning],429)))</f>
        <v/>
      </c>
      <c r="BT430" s="5">
        <f>IF(A430="","",N(INDEX(Projects[Controls Eng],429)))</f>
        <v/>
      </c>
      <c r="BU430" s="5">
        <f>IF(A430="","",N(INDEX(Projects[Controls Purchase],429)))</f>
        <v/>
      </c>
      <c r="BV430" s="5">
        <f>IF(A430="","",N(INDEX(Projects[Software Eng],429)))</f>
        <v/>
      </c>
      <c r="BW430" s="5">
        <f>IF(A430="","",N(INDEX(Projects[Misc],429)))</f>
        <v/>
      </c>
      <c r="BX430" s="5">
        <f>IF(A430="","",SUM(BJ430:BW430))</f>
        <v/>
      </c>
      <c r="BY430" s="5">
        <f>IF(A430="","",IFERROR(IF(ISNUMBER(U430),U430,VALUE(SUBSTITUTE(SUBSTITUTE(SUBSTITUTE(UPPER(TRIM(U430)),"M",""),",","")," ",""))),0))</f>
        <v/>
      </c>
      <c r="BZ430" s="5">
        <f>INDEX(Projects[Solution Type],429)&amp;""</f>
        <v/>
      </c>
      <c r="CA430" s="5">
        <f>INDEX(Projects[Client / Region],429)&amp;""</f>
        <v/>
      </c>
      <c r="CB430" s="5">
        <f>INDEX(Projects[Year],429)</f>
        <v/>
      </c>
      <c r="CC430" s="5">
        <f>INDEX(Projects[Won?],429)&amp;""</f>
        <v/>
      </c>
      <c r="CD430" s="5">
        <f>INDEX(Projects[Value (USD M)],429)</f>
        <v/>
      </c>
    </row>
    <row r="431" ht="15" customHeight="1" s="74">
      <c r="A431" s="66">
        <f>INDEX(Projects[Project ID *],430)&amp;""</f>
        <v/>
      </c>
      <c r="B431" s="66">
        <f>INDEX(Projects[Project Name *],430)&amp;""</f>
        <v/>
      </c>
      <c r="C431" s="66">
        <f>INDEX(Projects[MS Shuttles],430)</f>
        <v/>
      </c>
      <c r="D431" s="66">
        <f>INDEX(Projects[MS Tote Locations],430)</f>
        <v/>
      </c>
      <c r="E431" s="66">
        <f>INDEX(Projects[AS Robots],430)</f>
        <v/>
      </c>
      <c r="F431" s="66">
        <f>INDEX(Projects[AS Tote Locations],430)</f>
        <v/>
      </c>
      <c r="G431" s="66">
        <f>INDEX(Projects[PS Shuttles],430)</f>
        <v/>
      </c>
      <c r="H431" s="66">
        <f>INDEX(Projects[PS Pallet Locations],430)</f>
        <v/>
      </c>
      <c r="I431" s="66">
        <f>INDEX(Projects[SRM Cranes],430)</f>
        <v/>
      </c>
      <c r="J431" s="66">
        <f>INDEX(Projects[SRM Pallet Locations],430)</f>
        <v/>
      </c>
      <c r="K431" s="66">
        <f>INDEX(Projects[Case Conv (m)],430)</f>
        <v/>
      </c>
      <c r="L431" s="66">
        <f>INDEX(Projects[Pallet Conv (m)],430)</f>
        <v/>
      </c>
      <c r="M431" s="66">
        <f>INDEX(Projects[Mech Eng (wks)],430)</f>
        <v/>
      </c>
      <c r="N431" s="66">
        <f>INDEX(Projects[Controls Eng (wks)],430)</f>
        <v/>
      </c>
      <c r="O431" s="66">
        <f>INDEX(Projects[Systems Eng (wks)],430)</f>
        <v/>
      </c>
      <c r="P431" s="66">
        <f>INDEX(Projects[Software Eng (wks)],430)</f>
        <v/>
      </c>
      <c r="Q431" s="66">
        <f>INDEX(Projects[M&amp;E Installation (wks)],430)</f>
        <v/>
      </c>
      <c r="R431" s="66">
        <f>INDEX(Projects[Commissioning (wks)],430)</f>
        <v/>
      </c>
      <c r="S431" s="66">
        <f>INDEX(Projects[Total Timeline (wks)],430)</f>
        <v/>
      </c>
      <c r="T431" s="66">
        <f>INDEX(Projects[Currency],430)&amp;""</f>
        <v/>
      </c>
      <c r="U431" s="67">
        <f>INDEX(Projects[Value (M)],430)</f>
        <v/>
      </c>
      <c r="V431" s="66">
        <f>IF('Smart Search'!B13=1,IFERROR(1/'Smart Search'!H13,0),0)</f>
        <v/>
      </c>
      <c r="W431" s="66">
        <f>IF('Smart Search'!B13=1,IFERROR(1/'Smart Search'!H13,0),0)</f>
        <v/>
      </c>
      <c r="X431" s="66">
        <f>IF('Smart Search'!C13=1,IFERROR(1/'Smart Search'!H13,0),0)</f>
        <v/>
      </c>
      <c r="Y431" s="66">
        <f>IF('Smart Search'!C13=1,IFERROR(1/'Smart Search'!H13,0),0)</f>
        <v/>
      </c>
      <c r="Z431" s="66">
        <f>IF('Smart Search'!D13=1,IFERROR(1/'Smart Search'!H13,0),0)</f>
        <v/>
      </c>
      <c r="AA431" s="66">
        <f>IF('Smart Search'!D13=1,IFERROR(1/'Smart Search'!H13,0),0)</f>
        <v/>
      </c>
      <c r="AB431" s="66">
        <f>IF('Smart Search'!E13=1,IFERROR(1/'Smart Search'!H13,0),0)</f>
        <v/>
      </c>
      <c r="AC431" s="66">
        <f>IF('Smart Search'!E13=1,IFERROR(1/'Smart Search'!H13,0),0)</f>
        <v/>
      </c>
      <c r="AD431" s="66">
        <f>IF('Smart Search'!F13=1,IFERROR(1/'Smart Search'!H13,0),0)</f>
        <v/>
      </c>
      <c r="AE431" s="66">
        <f>IF('Smart Search'!F13=1,IFERROR(1/'Smart Search'!H13,0),0)</f>
        <v/>
      </c>
      <c r="AF431" s="66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66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66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66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66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66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66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66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66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66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66">
        <f>AF431*V431</f>
        <v/>
      </c>
      <c r="AQ431" s="66">
        <f>AG431*W431</f>
        <v/>
      </c>
      <c r="AR431" s="66">
        <f>AH431*X431</f>
        <v/>
      </c>
      <c r="AS431" s="66">
        <f>AI431*Y431</f>
        <v/>
      </c>
      <c r="AT431" s="66">
        <f>AJ431*Z431</f>
        <v/>
      </c>
      <c r="AU431" s="66">
        <f>AK431*AA431</f>
        <v/>
      </c>
      <c r="AV431" s="66">
        <f>AL431*AB431</f>
        <v/>
      </c>
      <c r="AW431" s="66">
        <f>AM431*AC431</f>
        <v/>
      </c>
      <c r="AX431" s="66">
        <f>AN431*AD431</f>
        <v/>
      </c>
      <c r="AY431" s="66">
        <f>AO431*AE431</f>
        <v/>
      </c>
      <c r="AZ431" s="66">
        <f>INDEX(Projects[Automation Equipment],430)&amp;""</f>
        <v/>
      </c>
      <c r="BA431" s="66">
        <f>IF(OR(A431="",'Smart Search'!H13=0),"",MAX(0,BE431*BF431*MAX(0,1-BG431)))</f>
        <v/>
      </c>
      <c r="BB431" s="66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66">
        <f>IF('Smart Search'!G13=1,IFERROR(1/'Smart Search'!H13,0),0)</f>
        <v/>
      </c>
      <c r="BD431" s="66">
        <f>BB431*BC431</f>
        <v/>
      </c>
      <c r="BE431" s="66">
        <f>AP431+AQ431+AR431+AS431+AT431+AU431+AV431+AW431+AX431+AY431+BD431</f>
        <v/>
      </c>
      <c r="BF431" s="5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5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5">
        <f>IF(AND(A431&lt;&gt;"",OR('Smart Search'!$L$5="",'Smart Search'!$L$5="All",TRIM(BZ431)=TRIM('Smart Search'!$L$5)),OR(TRIM('Smart Search'!$L$6)="",TRIM('Smart Search'!$L$6)="All",ISNUMBER(SEARCH(SUBSTITUTE(SUBSTITUTE(SUBSTITUTE(TRIM('Smart Search'!$L$6),"~","~~"),"*","~*"),"?","~?"),CA431))),OR('Smart Search'!$L$7="",AND(CB431&lt;&gt;0,CB431='Smart Search'!$L$7)),OR('Smart Search'!$L$8="",'Smart Search'!$L$8="All",TRIM(CC431)=TRIM('Smart Search'!$L$8))),IF(BA431="","",BA431+ROW()*0.0000000001),"")</f>
        <v/>
      </c>
      <c r="BI431" s="5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5">
        <f>IF(A431="","",N(INDEX(Projects[Mech Inst],430)))</f>
        <v/>
      </c>
      <c r="BK431" s="5">
        <f>IF(A431="","",N(INDEX(Projects[Elec Inst],430)))</f>
        <v/>
      </c>
      <c r="BL431" s="5">
        <f>IF(A431="","",N(INDEX(Projects[Project Management],430)))</f>
        <v/>
      </c>
      <c r="BM431" s="5">
        <f>IF(A431="","",N(INDEX(Projects[Systems Eng],430)))</f>
        <v/>
      </c>
      <c r="BN431" s="5">
        <f>IF(A431="","",N(INDEX(Projects[Mechanical Eng],430)))</f>
        <v/>
      </c>
      <c r="BO431" s="5">
        <f>IF(A431="","",N(INDEX(Projects[Structural Engineering],430)))</f>
        <v/>
      </c>
      <c r="BP431" s="5">
        <f>IF(A431="","",N(INDEX(Projects[Site Sup],430)))</f>
        <v/>
      </c>
      <c r="BQ431" s="5">
        <f>IF(A431="","",N(INDEX(Projects[Controls Commissioning],430)))</f>
        <v/>
      </c>
      <c r="BR431" s="5">
        <f>IF(A431="","",N(INDEX(Projects[Systems Commissioning],430)))</f>
        <v/>
      </c>
      <c r="BS431" s="5">
        <f>IF(A431="","",N(INDEX(Projects[Service Commissioning],430)))</f>
        <v/>
      </c>
      <c r="BT431" s="5">
        <f>IF(A431="","",N(INDEX(Projects[Controls Eng],430)))</f>
        <v/>
      </c>
      <c r="BU431" s="5">
        <f>IF(A431="","",N(INDEX(Projects[Controls Purchase],430)))</f>
        <v/>
      </c>
      <c r="BV431" s="5">
        <f>IF(A431="","",N(INDEX(Projects[Software Eng],430)))</f>
        <v/>
      </c>
      <c r="BW431" s="5">
        <f>IF(A431="","",N(INDEX(Projects[Misc],430)))</f>
        <v/>
      </c>
      <c r="BX431" s="5">
        <f>IF(A431="","",SUM(BJ431:BW431))</f>
        <v/>
      </c>
      <c r="BY431" s="5">
        <f>IF(A431="","",IFERROR(IF(ISNUMBER(U431),U431,VALUE(SUBSTITUTE(SUBSTITUTE(SUBSTITUTE(UPPER(TRIM(U431)),"M",""),",","")," ",""))),0))</f>
        <v/>
      </c>
      <c r="BZ431" s="5">
        <f>INDEX(Projects[Solution Type],430)&amp;""</f>
        <v/>
      </c>
      <c r="CA431" s="5">
        <f>INDEX(Projects[Client / Region],430)&amp;""</f>
        <v/>
      </c>
      <c r="CB431" s="5">
        <f>INDEX(Projects[Year],430)</f>
        <v/>
      </c>
      <c r="CC431" s="5">
        <f>INDEX(Projects[Won?],430)&amp;""</f>
        <v/>
      </c>
      <c r="CD431" s="5">
        <f>INDEX(Projects[Value (USD M)],430)</f>
        <v/>
      </c>
    </row>
    <row r="432" ht="15" customHeight="1" s="74">
      <c r="A432" s="66">
        <f>INDEX(Projects[Project ID *],431)&amp;""</f>
        <v/>
      </c>
      <c r="B432" s="66">
        <f>INDEX(Projects[Project Name *],431)&amp;""</f>
        <v/>
      </c>
      <c r="C432" s="66">
        <f>INDEX(Projects[MS Shuttles],431)</f>
        <v/>
      </c>
      <c r="D432" s="66">
        <f>INDEX(Projects[MS Tote Locations],431)</f>
        <v/>
      </c>
      <c r="E432" s="66">
        <f>INDEX(Projects[AS Robots],431)</f>
        <v/>
      </c>
      <c r="F432" s="66">
        <f>INDEX(Projects[AS Tote Locations],431)</f>
        <v/>
      </c>
      <c r="G432" s="66">
        <f>INDEX(Projects[PS Shuttles],431)</f>
        <v/>
      </c>
      <c r="H432" s="66">
        <f>INDEX(Projects[PS Pallet Locations],431)</f>
        <v/>
      </c>
      <c r="I432" s="66">
        <f>INDEX(Projects[SRM Cranes],431)</f>
        <v/>
      </c>
      <c r="J432" s="66">
        <f>INDEX(Projects[SRM Pallet Locations],431)</f>
        <v/>
      </c>
      <c r="K432" s="66">
        <f>INDEX(Projects[Case Conv (m)],431)</f>
        <v/>
      </c>
      <c r="L432" s="66">
        <f>INDEX(Projects[Pallet Conv (m)],431)</f>
        <v/>
      </c>
      <c r="M432" s="66">
        <f>INDEX(Projects[Mech Eng (wks)],431)</f>
        <v/>
      </c>
      <c r="N432" s="66">
        <f>INDEX(Projects[Controls Eng (wks)],431)</f>
        <v/>
      </c>
      <c r="O432" s="66">
        <f>INDEX(Projects[Systems Eng (wks)],431)</f>
        <v/>
      </c>
      <c r="P432" s="66">
        <f>INDEX(Projects[Software Eng (wks)],431)</f>
        <v/>
      </c>
      <c r="Q432" s="66">
        <f>INDEX(Projects[M&amp;E Installation (wks)],431)</f>
        <v/>
      </c>
      <c r="R432" s="66">
        <f>INDEX(Projects[Commissioning (wks)],431)</f>
        <v/>
      </c>
      <c r="S432" s="66">
        <f>INDEX(Projects[Total Timeline (wks)],431)</f>
        <v/>
      </c>
      <c r="T432" s="66">
        <f>INDEX(Projects[Currency],431)&amp;""</f>
        <v/>
      </c>
      <c r="U432" s="67">
        <f>INDEX(Projects[Value (M)],431)</f>
        <v/>
      </c>
      <c r="V432" s="66">
        <f>IF('Smart Search'!B13=1,IFERROR(1/'Smart Search'!H13,0),0)</f>
        <v/>
      </c>
      <c r="W432" s="66">
        <f>IF('Smart Search'!B13=1,IFERROR(1/'Smart Search'!H13,0),0)</f>
        <v/>
      </c>
      <c r="X432" s="66">
        <f>IF('Smart Search'!C13=1,IFERROR(1/'Smart Search'!H13,0),0)</f>
        <v/>
      </c>
      <c r="Y432" s="66">
        <f>IF('Smart Search'!C13=1,IFERROR(1/'Smart Search'!H13,0),0)</f>
        <v/>
      </c>
      <c r="Z432" s="66">
        <f>IF('Smart Search'!D13=1,IFERROR(1/'Smart Search'!H13,0),0)</f>
        <v/>
      </c>
      <c r="AA432" s="66">
        <f>IF('Smart Search'!D13=1,IFERROR(1/'Smart Search'!H13,0),0)</f>
        <v/>
      </c>
      <c r="AB432" s="66">
        <f>IF('Smart Search'!E13=1,IFERROR(1/'Smart Search'!H13,0),0)</f>
        <v/>
      </c>
      <c r="AC432" s="66">
        <f>IF('Smart Search'!E13=1,IFERROR(1/'Smart Search'!H13,0),0)</f>
        <v/>
      </c>
      <c r="AD432" s="66">
        <f>IF('Smart Search'!F13=1,IFERROR(1/'Smart Search'!H13,0),0)</f>
        <v/>
      </c>
      <c r="AE432" s="66">
        <f>IF('Smart Search'!F13=1,IFERROR(1/'Smart Search'!H13,0),0)</f>
        <v/>
      </c>
      <c r="AF432" s="66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66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66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66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66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66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66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66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66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66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66">
        <f>AF432*V432</f>
        <v/>
      </c>
      <c r="AQ432" s="66">
        <f>AG432*W432</f>
        <v/>
      </c>
      <c r="AR432" s="66">
        <f>AH432*X432</f>
        <v/>
      </c>
      <c r="AS432" s="66">
        <f>AI432*Y432</f>
        <v/>
      </c>
      <c r="AT432" s="66">
        <f>AJ432*Z432</f>
        <v/>
      </c>
      <c r="AU432" s="66">
        <f>AK432*AA432</f>
        <v/>
      </c>
      <c r="AV432" s="66">
        <f>AL432*AB432</f>
        <v/>
      </c>
      <c r="AW432" s="66">
        <f>AM432*AC432</f>
        <v/>
      </c>
      <c r="AX432" s="66">
        <f>AN432*AD432</f>
        <v/>
      </c>
      <c r="AY432" s="66">
        <f>AO432*AE432</f>
        <v/>
      </c>
      <c r="AZ432" s="66">
        <f>INDEX(Projects[Automation Equipment],431)&amp;""</f>
        <v/>
      </c>
      <c r="BA432" s="66">
        <f>IF(OR(A432="",'Smart Search'!H13=0),"",MAX(0,BE432*BF432*MAX(0,1-BG432)))</f>
        <v/>
      </c>
      <c r="BB432" s="66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66">
        <f>IF('Smart Search'!G13=1,IFERROR(1/'Smart Search'!H13,0),0)</f>
        <v/>
      </c>
      <c r="BD432" s="66">
        <f>BB432*BC432</f>
        <v/>
      </c>
      <c r="BE432" s="66">
        <f>AP432+AQ432+AR432+AS432+AT432+AU432+AV432+AW432+AX432+AY432+BD432</f>
        <v/>
      </c>
      <c r="BF432" s="5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5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5">
        <f>IF(AND(A432&lt;&gt;"",OR('Smart Search'!$L$5="",'Smart Search'!$L$5="All",TRIM(BZ432)=TRIM('Smart Search'!$L$5)),OR(TRIM('Smart Search'!$L$6)="",TRIM('Smart Search'!$L$6)="All",ISNUMBER(SEARCH(SUBSTITUTE(SUBSTITUTE(SUBSTITUTE(TRIM('Smart Search'!$L$6),"~","~~"),"*","~*"),"?","~?"),CA432))),OR('Smart Search'!$L$7="",AND(CB432&lt;&gt;0,CB432='Smart Search'!$L$7)),OR('Smart Search'!$L$8="",'Smart Search'!$L$8="All",TRIM(CC432)=TRIM('Smart Search'!$L$8))),IF(BA432="","",BA432+ROW()*0.0000000001),"")</f>
        <v/>
      </c>
      <c r="BI432" s="5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5">
        <f>IF(A432="","",N(INDEX(Projects[Mech Inst],431)))</f>
        <v/>
      </c>
      <c r="BK432" s="5">
        <f>IF(A432="","",N(INDEX(Projects[Elec Inst],431)))</f>
        <v/>
      </c>
      <c r="BL432" s="5">
        <f>IF(A432="","",N(INDEX(Projects[Project Management],431)))</f>
        <v/>
      </c>
      <c r="BM432" s="5">
        <f>IF(A432="","",N(INDEX(Projects[Systems Eng],431)))</f>
        <v/>
      </c>
      <c r="BN432" s="5">
        <f>IF(A432="","",N(INDEX(Projects[Mechanical Eng],431)))</f>
        <v/>
      </c>
      <c r="BO432" s="5">
        <f>IF(A432="","",N(INDEX(Projects[Structural Engineering],431)))</f>
        <v/>
      </c>
      <c r="BP432" s="5">
        <f>IF(A432="","",N(INDEX(Projects[Site Sup],431)))</f>
        <v/>
      </c>
      <c r="BQ432" s="5">
        <f>IF(A432="","",N(INDEX(Projects[Controls Commissioning],431)))</f>
        <v/>
      </c>
      <c r="BR432" s="5">
        <f>IF(A432="","",N(INDEX(Projects[Systems Commissioning],431)))</f>
        <v/>
      </c>
      <c r="BS432" s="5">
        <f>IF(A432="","",N(INDEX(Projects[Service Commissioning],431)))</f>
        <v/>
      </c>
      <c r="BT432" s="5">
        <f>IF(A432="","",N(INDEX(Projects[Controls Eng],431)))</f>
        <v/>
      </c>
      <c r="BU432" s="5">
        <f>IF(A432="","",N(INDEX(Projects[Controls Purchase],431)))</f>
        <v/>
      </c>
      <c r="BV432" s="5">
        <f>IF(A432="","",N(INDEX(Projects[Software Eng],431)))</f>
        <v/>
      </c>
      <c r="BW432" s="5">
        <f>IF(A432="","",N(INDEX(Projects[Misc],431)))</f>
        <v/>
      </c>
      <c r="BX432" s="5">
        <f>IF(A432="","",SUM(BJ432:BW432))</f>
        <v/>
      </c>
      <c r="BY432" s="5">
        <f>IF(A432="","",IFERROR(IF(ISNUMBER(U432),U432,VALUE(SUBSTITUTE(SUBSTITUTE(SUBSTITUTE(UPPER(TRIM(U432)),"M",""),",","")," ",""))),0))</f>
        <v/>
      </c>
      <c r="BZ432" s="5">
        <f>INDEX(Projects[Solution Type],431)&amp;""</f>
        <v/>
      </c>
      <c r="CA432" s="5">
        <f>INDEX(Projects[Client / Region],431)&amp;""</f>
        <v/>
      </c>
      <c r="CB432" s="5">
        <f>INDEX(Projects[Year],431)</f>
        <v/>
      </c>
      <c r="CC432" s="5">
        <f>INDEX(Projects[Won?],431)&amp;""</f>
        <v/>
      </c>
      <c r="CD432" s="5">
        <f>INDEX(Projects[Value (USD M)],431)</f>
        <v/>
      </c>
    </row>
    <row r="433" ht="15" customHeight="1" s="74">
      <c r="A433" s="66">
        <f>INDEX(Projects[Project ID *],432)&amp;""</f>
        <v/>
      </c>
      <c r="B433" s="66">
        <f>INDEX(Projects[Project Name *],432)&amp;""</f>
        <v/>
      </c>
      <c r="C433" s="66">
        <f>INDEX(Projects[MS Shuttles],432)</f>
        <v/>
      </c>
      <c r="D433" s="66">
        <f>INDEX(Projects[MS Tote Locations],432)</f>
        <v/>
      </c>
      <c r="E433" s="66">
        <f>INDEX(Projects[AS Robots],432)</f>
        <v/>
      </c>
      <c r="F433" s="66">
        <f>INDEX(Projects[AS Tote Locations],432)</f>
        <v/>
      </c>
      <c r="G433" s="66">
        <f>INDEX(Projects[PS Shuttles],432)</f>
        <v/>
      </c>
      <c r="H433" s="66">
        <f>INDEX(Projects[PS Pallet Locations],432)</f>
        <v/>
      </c>
      <c r="I433" s="66">
        <f>INDEX(Projects[SRM Cranes],432)</f>
        <v/>
      </c>
      <c r="J433" s="66">
        <f>INDEX(Projects[SRM Pallet Locations],432)</f>
        <v/>
      </c>
      <c r="K433" s="66">
        <f>INDEX(Projects[Case Conv (m)],432)</f>
        <v/>
      </c>
      <c r="L433" s="66">
        <f>INDEX(Projects[Pallet Conv (m)],432)</f>
        <v/>
      </c>
      <c r="M433" s="66">
        <f>INDEX(Projects[Mech Eng (wks)],432)</f>
        <v/>
      </c>
      <c r="N433" s="66">
        <f>INDEX(Projects[Controls Eng (wks)],432)</f>
        <v/>
      </c>
      <c r="O433" s="66">
        <f>INDEX(Projects[Systems Eng (wks)],432)</f>
        <v/>
      </c>
      <c r="P433" s="66">
        <f>INDEX(Projects[Software Eng (wks)],432)</f>
        <v/>
      </c>
      <c r="Q433" s="66">
        <f>INDEX(Projects[M&amp;E Installation (wks)],432)</f>
        <v/>
      </c>
      <c r="R433" s="66">
        <f>INDEX(Projects[Commissioning (wks)],432)</f>
        <v/>
      </c>
      <c r="S433" s="66">
        <f>INDEX(Projects[Total Timeline (wks)],432)</f>
        <v/>
      </c>
      <c r="T433" s="66">
        <f>INDEX(Projects[Currency],432)&amp;""</f>
        <v/>
      </c>
      <c r="U433" s="67">
        <f>INDEX(Projects[Value (M)],432)</f>
        <v/>
      </c>
      <c r="V433" s="66">
        <f>IF('Smart Search'!B13=1,IFERROR(1/'Smart Search'!H13,0),0)</f>
        <v/>
      </c>
      <c r="W433" s="66">
        <f>IF('Smart Search'!B13=1,IFERROR(1/'Smart Search'!H13,0),0)</f>
        <v/>
      </c>
      <c r="X433" s="66">
        <f>IF('Smart Search'!C13=1,IFERROR(1/'Smart Search'!H13,0),0)</f>
        <v/>
      </c>
      <c r="Y433" s="66">
        <f>IF('Smart Search'!C13=1,IFERROR(1/'Smart Search'!H13,0),0)</f>
        <v/>
      </c>
      <c r="Z433" s="66">
        <f>IF('Smart Search'!D13=1,IFERROR(1/'Smart Search'!H13,0),0)</f>
        <v/>
      </c>
      <c r="AA433" s="66">
        <f>IF('Smart Search'!D13=1,IFERROR(1/'Smart Search'!H13,0),0)</f>
        <v/>
      </c>
      <c r="AB433" s="66">
        <f>IF('Smart Search'!E13=1,IFERROR(1/'Smart Search'!H13,0),0)</f>
        <v/>
      </c>
      <c r="AC433" s="66">
        <f>IF('Smart Search'!E13=1,IFERROR(1/'Smart Search'!H13,0),0)</f>
        <v/>
      </c>
      <c r="AD433" s="66">
        <f>IF('Smart Search'!F13=1,IFERROR(1/'Smart Search'!H13,0),0)</f>
        <v/>
      </c>
      <c r="AE433" s="66">
        <f>IF('Smart Search'!F13=1,IFERROR(1/'Smart Search'!H13,0),0)</f>
        <v/>
      </c>
      <c r="AF433" s="66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66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66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66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66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66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66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66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66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66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66">
        <f>AF433*V433</f>
        <v/>
      </c>
      <c r="AQ433" s="66">
        <f>AG433*W433</f>
        <v/>
      </c>
      <c r="AR433" s="66">
        <f>AH433*X433</f>
        <v/>
      </c>
      <c r="AS433" s="66">
        <f>AI433*Y433</f>
        <v/>
      </c>
      <c r="AT433" s="66">
        <f>AJ433*Z433</f>
        <v/>
      </c>
      <c r="AU433" s="66">
        <f>AK433*AA433</f>
        <v/>
      </c>
      <c r="AV433" s="66">
        <f>AL433*AB433</f>
        <v/>
      </c>
      <c r="AW433" s="66">
        <f>AM433*AC433</f>
        <v/>
      </c>
      <c r="AX433" s="66">
        <f>AN433*AD433</f>
        <v/>
      </c>
      <c r="AY433" s="66">
        <f>AO433*AE433</f>
        <v/>
      </c>
      <c r="AZ433" s="66">
        <f>INDEX(Projects[Automation Equipment],432)&amp;""</f>
        <v/>
      </c>
      <c r="BA433" s="66">
        <f>IF(OR(A433="",'Smart Search'!H13=0),"",MAX(0,BE433*BF433*MAX(0,1-BG433)))</f>
        <v/>
      </c>
      <c r="BB433" s="66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66">
        <f>IF('Smart Search'!G13=1,IFERROR(1/'Smart Search'!H13,0),0)</f>
        <v/>
      </c>
      <c r="BD433" s="66">
        <f>BB433*BC433</f>
        <v/>
      </c>
      <c r="BE433" s="66">
        <f>AP433+AQ433+AR433+AS433+AT433+AU433+AV433+AW433+AX433+AY433+BD433</f>
        <v/>
      </c>
      <c r="BF433" s="5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5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5">
        <f>IF(AND(A433&lt;&gt;"",OR('Smart Search'!$L$5="",'Smart Search'!$L$5="All",TRIM(BZ433)=TRIM('Smart Search'!$L$5)),OR(TRIM('Smart Search'!$L$6)="",TRIM('Smart Search'!$L$6)="All",ISNUMBER(SEARCH(SUBSTITUTE(SUBSTITUTE(SUBSTITUTE(TRIM('Smart Search'!$L$6),"~","~~"),"*","~*"),"?","~?"),CA433))),OR('Smart Search'!$L$7="",AND(CB433&lt;&gt;0,CB433='Smart Search'!$L$7)),OR('Smart Search'!$L$8="",'Smart Search'!$L$8="All",TRIM(CC433)=TRIM('Smart Search'!$L$8))),IF(BA433="","",BA433+ROW()*0.0000000001),"")</f>
        <v/>
      </c>
      <c r="BI433" s="5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5">
        <f>IF(A433="","",N(INDEX(Projects[Mech Inst],432)))</f>
        <v/>
      </c>
      <c r="BK433" s="5">
        <f>IF(A433="","",N(INDEX(Projects[Elec Inst],432)))</f>
        <v/>
      </c>
      <c r="BL433" s="5">
        <f>IF(A433="","",N(INDEX(Projects[Project Management],432)))</f>
        <v/>
      </c>
      <c r="BM433" s="5">
        <f>IF(A433="","",N(INDEX(Projects[Systems Eng],432)))</f>
        <v/>
      </c>
      <c r="BN433" s="5">
        <f>IF(A433="","",N(INDEX(Projects[Mechanical Eng],432)))</f>
        <v/>
      </c>
      <c r="BO433" s="5">
        <f>IF(A433="","",N(INDEX(Projects[Structural Engineering],432)))</f>
        <v/>
      </c>
      <c r="BP433" s="5">
        <f>IF(A433="","",N(INDEX(Projects[Site Sup],432)))</f>
        <v/>
      </c>
      <c r="BQ433" s="5">
        <f>IF(A433="","",N(INDEX(Projects[Controls Commissioning],432)))</f>
        <v/>
      </c>
      <c r="BR433" s="5">
        <f>IF(A433="","",N(INDEX(Projects[Systems Commissioning],432)))</f>
        <v/>
      </c>
      <c r="BS433" s="5">
        <f>IF(A433="","",N(INDEX(Projects[Service Commissioning],432)))</f>
        <v/>
      </c>
      <c r="BT433" s="5">
        <f>IF(A433="","",N(INDEX(Projects[Controls Eng],432)))</f>
        <v/>
      </c>
      <c r="BU433" s="5">
        <f>IF(A433="","",N(INDEX(Projects[Controls Purchase],432)))</f>
        <v/>
      </c>
      <c r="BV433" s="5">
        <f>IF(A433="","",N(INDEX(Projects[Software Eng],432)))</f>
        <v/>
      </c>
      <c r="BW433" s="5">
        <f>IF(A433="","",N(INDEX(Projects[Misc],432)))</f>
        <v/>
      </c>
      <c r="BX433" s="5">
        <f>IF(A433="","",SUM(BJ433:BW433))</f>
        <v/>
      </c>
      <c r="BY433" s="5">
        <f>IF(A433="","",IFERROR(IF(ISNUMBER(U433),U433,VALUE(SUBSTITUTE(SUBSTITUTE(SUBSTITUTE(UPPER(TRIM(U433)),"M",""),",","")," ",""))),0))</f>
        <v/>
      </c>
      <c r="BZ433" s="5">
        <f>INDEX(Projects[Solution Type],432)&amp;""</f>
        <v/>
      </c>
      <c r="CA433" s="5">
        <f>INDEX(Projects[Client / Region],432)&amp;""</f>
        <v/>
      </c>
      <c r="CB433" s="5">
        <f>INDEX(Projects[Year],432)</f>
        <v/>
      </c>
      <c r="CC433" s="5">
        <f>INDEX(Projects[Won?],432)&amp;""</f>
        <v/>
      </c>
      <c r="CD433" s="5">
        <f>INDEX(Projects[Value (USD M)],432)</f>
        <v/>
      </c>
    </row>
    <row r="434" ht="15" customHeight="1" s="74">
      <c r="A434" s="66">
        <f>INDEX(Projects[Project ID *],433)&amp;""</f>
        <v/>
      </c>
      <c r="B434" s="66">
        <f>INDEX(Projects[Project Name *],433)&amp;""</f>
        <v/>
      </c>
      <c r="C434" s="66">
        <f>INDEX(Projects[MS Shuttles],433)</f>
        <v/>
      </c>
      <c r="D434" s="66">
        <f>INDEX(Projects[MS Tote Locations],433)</f>
        <v/>
      </c>
      <c r="E434" s="66">
        <f>INDEX(Projects[AS Robots],433)</f>
        <v/>
      </c>
      <c r="F434" s="66">
        <f>INDEX(Projects[AS Tote Locations],433)</f>
        <v/>
      </c>
      <c r="G434" s="66">
        <f>INDEX(Projects[PS Shuttles],433)</f>
        <v/>
      </c>
      <c r="H434" s="66">
        <f>INDEX(Projects[PS Pallet Locations],433)</f>
        <v/>
      </c>
      <c r="I434" s="66">
        <f>INDEX(Projects[SRM Cranes],433)</f>
        <v/>
      </c>
      <c r="J434" s="66">
        <f>INDEX(Projects[SRM Pallet Locations],433)</f>
        <v/>
      </c>
      <c r="K434" s="66">
        <f>INDEX(Projects[Case Conv (m)],433)</f>
        <v/>
      </c>
      <c r="L434" s="66">
        <f>INDEX(Projects[Pallet Conv (m)],433)</f>
        <v/>
      </c>
      <c r="M434" s="66">
        <f>INDEX(Projects[Mech Eng (wks)],433)</f>
        <v/>
      </c>
      <c r="N434" s="66">
        <f>INDEX(Projects[Controls Eng (wks)],433)</f>
        <v/>
      </c>
      <c r="O434" s="66">
        <f>INDEX(Projects[Systems Eng (wks)],433)</f>
        <v/>
      </c>
      <c r="P434" s="66">
        <f>INDEX(Projects[Software Eng (wks)],433)</f>
        <v/>
      </c>
      <c r="Q434" s="66">
        <f>INDEX(Projects[M&amp;E Installation (wks)],433)</f>
        <v/>
      </c>
      <c r="R434" s="66">
        <f>INDEX(Projects[Commissioning (wks)],433)</f>
        <v/>
      </c>
      <c r="S434" s="66">
        <f>INDEX(Projects[Total Timeline (wks)],433)</f>
        <v/>
      </c>
      <c r="T434" s="66">
        <f>INDEX(Projects[Currency],433)&amp;""</f>
        <v/>
      </c>
      <c r="U434" s="67">
        <f>INDEX(Projects[Value (M)],433)</f>
        <v/>
      </c>
      <c r="V434" s="66">
        <f>IF('Smart Search'!B13=1,IFERROR(1/'Smart Search'!H13,0),0)</f>
        <v/>
      </c>
      <c r="W434" s="66">
        <f>IF('Smart Search'!B13=1,IFERROR(1/'Smart Search'!H13,0),0)</f>
        <v/>
      </c>
      <c r="X434" s="66">
        <f>IF('Smart Search'!C13=1,IFERROR(1/'Smart Search'!H13,0),0)</f>
        <v/>
      </c>
      <c r="Y434" s="66">
        <f>IF('Smart Search'!C13=1,IFERROR(1/'Smart Search'!H13,0),0)</f>
        <v/>
      </c>
      <c r="Z434" s="66">
        <f>IF('Smart Search'!D13=1,IFERROR(1/'Smart Search'!H13,0),0)</f>
        <v/>
      </c>
      <c r="AA434" s="66">
        <f>IF('Smart Search'!D13=1,IFERROR(1/'Smart Search'!H13,0),0)</f>
        <v/>
      </c>
      <c r="AB434" s="66">
        <f>IF('Smart Search'!E13=1,IFERROR(1/'Smart Search'!H13,0),0)</f>
        <v/>
      </c>
      <c r="AC434" s="66">
        <f>IF('Smart Search'!E13=1,IFERROR(1/'Smart Search'!H13,0),0)</f>
        <v/>
      </c>
      <c r="AD434" s="66">
        <f>IF('Smart Search'!F13=1,IFERROR(1/'Smart Search'!H13,0),0)</f>
        <v/>
      </c>
      <c r="AE434" s="66">
        <f>IF('Smart Search'!F13=1,IFERROR(1/'Smart Search'!H13,0),0)</f>
        <v/>
      </c>
      <c r="AF434" s="66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66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66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66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66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66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66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66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66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66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66">
        <f>AF434*V434</f>
        <v/>
      </c>
      <c r="AQ434" s="66">
        <f>AG434*W434</f>
        <v/>
      </c>
      <c r="AR434" s="66">
        <f>AH434*X434</f>
        <v/>
      </c>
      <c r="AS434" s="66">
        <f>AI434*Y434</f>
        <v/>
      </c>
      <c r="AT434" s="66">
        <f>AJ434*Z434</f>
        <v/>
      </c>
      <c r="AU434" s="66">
        <f>AK434*AA434</f>
        <v/>
      </c>
      <c r="AV434" s="66">
        <f>AL434*AB434</f>
        <v/>
      </c>
      <c r="AW434" s="66">
        <f>AM434*AC434</f>
        <v/>
      </c>
      <c r="AX434" s="66">
        <f>AN434*AD434</f>
        <v/>
      </c>
      <c r="AY434" s="66">
        <f>AO434*AE434</f>
        <v/>
      </c>
      <c r="AZ434" s="66">
        <f>INDEX(Projects[Automation Equipment],433)&amp;""</f>
        <v/>
      </c>
      <c r="BA434" s="66">
        <f>IF(OR(A434="",'Smart Search'!H13=0),"",MAX(0,BE434*BF434*MAX(0,1-BG434)))</f>
        <v/>
      </c>
      <c r="BB434" s="66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66">
        <f>IF('Smart Search'!G13=1,IFERROR(1/'Smart Search'!H13,0),0)</f>
        <v/>
      </c>
      <c r="BD434" s="66">
        <f>BB434*BC434</f>
        <v/>
      </c>
      <c r="BE434" s="66">
        <f>AP434+AQ434+AR434+AS434+AT434+AU434+AV434+AW434+AX434+AY434+BD434</f>
        <v/>
      </c>
      <c r="BF434" s="5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5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5">
        <f>IF(AND(A434&lt;&gt;"",OR('Smart Search'!$L$5="",'Smart Search'!$L$5="All",TRIM(BZ434)=TRIM('Smart Search'!$L$5)),OR(TRIM('Smart Search'!$L$6)="",TRIM('Smart Search'!$L$6)="All",ISNUMBER(SEARCH(SUBSTITUTE(SUBSTITUTE(SUBSTITUTE(TRIM('Smart Search'!$L$6),"~","~~"),"*","~*"),"?","~?"),CA434))),OR('Smart Search'!$L$7="",AND(CB434&lt;&gt;0,CB434='Smart Search'!$L$7)),OR('Smart Search'!$L$8="",'Smart Search'!$L$8="All",TRIM(CC434)=TRIM('Smart Search'!$L$8))),IF(BA434="","",BA434+ROW()*0.0000000001),"")</f>
        <v/>
      </c>
      <c r="BI434" s="5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5">
        <f>IF(A434="","",N(INDEX(Projects[Mech Inst],433)))</f>
        <v/>
      </c>
      <c r="BK434" s="5">
        <f>IF(A434="","",N(INDEX(Projects[Elec Inst],433)))</f>
        <v/>
      </c>
      <c r="BL434" s="5">
        <f>IF(A434="","",N(INDEX(Projects[Project Management],433)))</f>
        <v/>
      </c>
      <c r="BM434" s="5">
        <f>IF(A434="","",N(INDEX(Projects[Systems Eng],433)))</f>
        <v/>
      </c>
      <c r="BN434" s="5">
        <f>IF(A434="","",N(INDEX(Projects[Mechanical Eng],433)))</f>
        <v/>
      </c>
      <c r="BO434" s="5">
        <f>IF(A434="","",N(INDEX(Projects[Structural Engineering],433)))</f>
        <v/>
      </c>
      <c r="BP434" s="5">
        <f>IF(A434="","",N(INDEX(Projects[Site Sup],433)))</f>
        <v/>
      </c>
      <c r="BQ434" s="5">
        <f>IF(A434="","",N(INDEX(Projects[Controls Commissioning],433)))</f>
        <v/>
      </c>
      <c r="BR434" s="5">
        <f>IF(A434="","",N(INDEX(Projects[Systems Commissioning],433)))</f>
        <v/>
      </c>
      <c r="BS434" s="5">
        <f>IF(A434="","",N(INDEX(Projects[Service Commissioning],433)))</f>
        <v/>
      </c>
      <c r="BT434" s="5">
        <f>IF(A434="","",N(INDEX(Projects[Controls Eng],433)))</f>
        <v/>
      </c>
      <c r="BU434" s="5">
        <f>IF(A434="","",N(INDEX(Projects[Controls Purchase],433)))</f>
        <v/>
      </c>
      <c r="BV434" s="5">
        <f>IF(A434="","",N(INDEX(Projects[Software Eng],433)))</f>
        <v/>
      </c>
      <c r="BW434" s="5">
        <f>IF(A434="","",N(INDEX(Projects[Misc],433)))</f>
        <v/>
      </c>
      <c r="BX434" s="5">
        <f>IF(A434="","",SUM(BJ434:BW434))</f>
        <v/>
      </c>
      <c r="BY434" s="5">
        <f>IF(A434="","",IFERROR(IF(ISNUMBER(U434),U434,VALUE(SUBSTITUTE(SUBSTITUTE(SUBSTITUTE(UPPER(TRIM(U434)),"M",""),",","")," ",""))),0))</f>
        <v/>
      </c>
      <c r="BZ434" s="5">
        <f>INDEX(Projects[Solution Type],433)&amp;""</f>
        <v/>
      </c>
      <c r="CA434" s="5">
        <f>INDEX(Projects[Client / Region],433)&amp;""</f>
        <v/>
      </c>
      <c r="CB434" s="5">
        <f>INDEX(Projects[Year],433)</f>
        <v/>
      </c>
      <c r="CC434" s="5">
        <f>INDEX(Projects[Won?],433)&amp;""</f>
        <v/>
      </c>
      <c r="CD434" s="5">
        <f>INDEX(Projects[Value (USD M)],433)</f>
        <v/>
      </c>
    </row>
    <row r="435" ht="15" customHeight="1" s="74">
      <c r="A435" s="66">
        <f>INDEX(Projects[Project ID *],434)&amp;""</f>
        <v/>
      </c>
      <c r="B435" s="66">
        <f>INDEX(Projects[Project Name *],434)&amp;""</f>
        <v/>
      </c>
      <c r="C435" s="66">
        <f>INDEX(Projects[MS Shuttles],434)</f>
        <v/>
      </c>
      <c r="D435" s="66">
        <f>INDEX(Projects[MS Tote Locations],434)</f>
        <v/>
      </c>
      <c r="E435" s="66">
        <f>INDEX(Projects[AS Robots],434)</f>
        <v/>
      </c>
      <c r="F435" s="66">
        <f>INDEX(Projects[AS Tote Locations],434)</f>
        <v/>
      </c>
      <c r="G435" s="66">
        <f>INDEX(Projects[PS Shuttles],434)</f>
        <v/>
      </c>
      <c r="H435" s="66">
        <f>INDEX(Projects[PS Pallet Locations],434)</f>
        <v/>
      </c>
      <c r="I435" s="66">
        <f>INDEX(Projects[SRM Cranes],434)</f>
        <v/>
      </c>
      <c r="J435" s="66">
        <f>INDEX(Projects[SRM Pallet Locations],434)</f>
        <v/>
      </c>
      <c r="K435" s="66">
        <f>INDEX(Projects[Case Conv (m)],434)</f>
        <v/>
      </c>
      <c r="L435" s="66">
        <f>INDEX(Projects[Pallet Conv (m)],434)</f>
        <v/>
      </c>
      <c r="M435" s="66">
        <f>INDEX(Projects[Mech Eng (wks)],434)</f>
        <v/>
      </c>
      <c r="N435" s="66">
        <f>INDEX(Projects[Controls Eng (wks)],434)</f>
        <v/>
      </c>
      <c r="O435" s="66">
        <f>INDEX(Projects[Systems Eng (wks)],434)</f>
        <v/>
      </c>
      <c r="P435" s="66">
        <f>INDEX(Projects[Software Eng (wks)],434)</f>
        <v/>
      </c>
      <c r="Q435" s="66">
        <f>INDEX(Projects[M&amp;E Installation (wks)],434)</f>
        <v/>
      </c>
      <c r="R435" s="66">
        <f>INDEX(Projects[Commissioning (wks)],434)</f>
        <v/>
      </c>
      <c r="S435" s="66">
        <f>INDEX(Projects[Total Timeline (wks)],434)</f>
        <v/>
      </c>
      <c r="T435" s="66">
        <f>INDEX(Projects[Currency],434)&amp;""</f>
        <v/>
      </c>
      <c r="U435" s="67">
        <f>INDEX(Projects[Value (M)],434)</f>
        <v/>
      </c>
      <c r="V435" s="66">
        <f>IF('Smart Search'!B13=1,IFERROR(1/'Smart Search'!H13,0),0)</f>
        <v/>
      </c>
      <c r="W435" s="66">
        <f>IF('Smart Search'!B13=1,IFERROR(1/'Smart Search'!H13,0),0)</f>
        <v/>
      </c>
      <c r="X435" s="66">
        <f>IF('Smart Search'!C13=1,IFERROR(1/'Smart Search'!H13,0),0)</f>
        <v/>
      </c>
      <c r="Y435" s="66">
        <f>IF('Smart Search'!C13=1,IFERROR(1/'Smart Search'!H13,0),0)</f>
        <v/>
      </c>
      <c r="Z435" s="66">
        <f>IF('Smart Search'!D13=1,IFERROR(1/'Smart Search'!H13,0),0)</f>
        <v/>
      </c>
      <c r="AA435" s="66">
        <f>IF('Smart Search'!D13=1,IFERROR(1/'Smart Search'!H13,0),0)</f>
        <v/>
      </c>
      <c r="AB435" s="66">
        <f>IF('Smart Search'!E13=1,IFERROR(1/'Smart Search'!H13,0),0)</f>
        <v/>
      </c>
      <c r="AC435" s="66">
        <f>IF('Smart Search'!E13=1,IFERROR(1/'Smart Search'!H13,0),0)</f>
        <v/>
      </c>
      <c r="AD435" s="66">
        <f>IF('Smart Search'!F13=1,IFERROR(1/'Smart Search'!H13,0),0)</f>
        <v/>
      </c>
      <c r="AE435" s="66">
        <f>IF('Smart Search'!F13=1,IFERROR(1/'Smart Search'!H13,0),0)</f>
        <v/>
      </c>
      <c r="AF435" s="66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66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66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66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66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66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66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66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66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66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66">
        <f>AF435*V435</f>
        <v/>
      </c>
      <c r="AQ435" s="66">
        <f>AG435*W435</f>
        <v/>
      </c>
      <c r="AR435" s="66">
        <f>AH435*X435</f>
        <v/>
      </c>
      <c r="AS435" s="66">
        <f>AI435*Y435</f>
        <v/>
      </c>
      <c r="AT435" s="66">
        <f>AJ435*Z435</f>
        <v/>
      </c>
      <c r="AU435" s="66">
        <f>AK435*AA435</f>
        <v/>
      </c>
      <c r="AV435" s="66">
        <f>AL435*AB435</f>
        <v/>
      </c>
      <c r="AW435" s="66">
        <f>AM435*AC435</f>
        <v/>
      </c>
      <c r="AX435" s="66">
        <f>AN435*AD435</f>
        <v/>
      </c>
      <c r="AY435" s="66">
        <f>AO435*AE435</f>
        <v/>
      </c>
      <c r="AZ435" s="66">
        <f>INDEX(Projects[Automation Equipment],434)&amp;""</f>
        <v/>
      </c>
      <c r="BA435" s="66">
        <f>IF(OR(A435="",'Smart Search'!H13=0),"",MAX(0,BE435*BF435*MAX(0,1-BG435)))</f>
        <v/>
      </c>
      <c r="BB435" s="66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66">
        <f>IF('Smart Search'!G13=1,IFERROR(1/'Smart Search'!H13,0),0)</f>
        <v/>
      </c>
      <c r="BD435" s="66">
        <f>BB435*BC435</f>
        <v/>
      </c>
      <c r="BE435" s="66">
        <f>AP435+AQ435+AR435+AS435+AT435+AU435+AV435+AW435+AX435+AY435+BD435</f>
        <v/>
      </c>
      <c r="BF435" s="5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5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5">
        <f>IF(AND(A435&lt;&gt;"",OR('Smart Search'!$L$5="",'Smart Search'!$L$5="All",TRIM(BZ435)=TRIM('Smart Search'!$L$5)),OR(TRIM('Smart Search'!$L$6)="",TRIM('Smart Search'!$L$6)="All",ISNUMBER(SEARCH(SUBSTITUTE(SUBSTITUTE(SUBSTITUTE(TRIM('Smart Search'!$L$6),"~","~~"),"*","~*"),"?","~?"),CA435))),OR('Smart Search'!$L$7="",AND(CB435&lt;&gt;0,CB435='Smart Search'!$L$7)),OR('Smart Search'!$L$8="",'Smart Search'!$L$8="All",TRIM(CC435)=TRIM('Smart Search'!$L$8))),IF(BA435="","",BA435+ROW()*0.0000000001),"")</f>
        <v/>
      </c>
      <c r="BI435" s="5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5">
        <f>IF(A435="","",N(INDEX(Projects[Mech Inst],434)))</f>
        <v/>
      </c>
      <c r="BK435" s="5">
        <f>IF(A435="","",N(INDEX(Projects[Elec Inst],434)))</f>
        <v/>
      </c>
      <c r="BL435" s="5">
        <f>IF(A435="","",N(INDEX(Projects[Project Management],434)))</f>
        <v/>
      </c>
      <c r="BM435" s="5">
        <f>IF(A435="","",N(INDEX(Projects[Systems Eng],434)))</f>
        <v/>
      </c>
      <c r="BN435" s="5">
        <f>IF(A435="","",N(INDEX(Projects[Mechanical Eng],434)))</f>
        <v/>
      </c>
      <c r="BO435" s="5">
        <f>IF(A435="","",N(INDEX(Projects[Structural Engineering],434)))</f>
        <v/>
      </c>
      <c r="BP435" s="5">
        <f>IF(A435="","",N(INDEX(Projects[Site Sup],434)))</f>
        <v/>
      </c>
      <c r="BQ435" s="5">
        <f>IF(A435="","",N(INDEX(Projects[Controls Commissioning],434)))</f>
        <v/>
      </c>
      <c r="BR435" s="5">
        <f>IF(A435="","",N(INDEX(Projects[Systems Commissioning],434)))</f>
        <v/>
      </c>
      <c r="BS435" s="5">
        <f>IF(A435="","",N(INDEX(Projects[Service Commissioning],434)))</f>
        <v/>
      </c>
      <c r="BT435" s="5">
        <f>IF(A435="","",N(INDEX(Projects[Controls Eng],434)))</f>
        <v/>
      </c>
      <c r="BU435" s="5">
        <f>IF(A435="","",N(INDEX(Projects[Controls Purchase],434)))</f>
        <v/>
      </c>
      <c r="BV435" s="5">
        <f>IF(A435="","",N(INDEX(Projects[Software Eng],434)))</f>
        <v/>
      </c>
      <c r="BW435" s="5">
        <f>IF(A435="","",N(INDEX(Projects[Misc],434)))</f>
        <v/>
      </c>
      <c r="BX435" s="5">
        <f>IF(A435="","",SUM(BJ435:BW435))</f>
        <v/>
      </c>
      <c r="BY435" s="5">
        <f>IF(A435="","",IFERROR(IF(ISNUMBER(U435),U435,VALUE(SUBSTITUTE(SUBSTITUTE(SUBSTITUTE(UPPER(TRIM(U435)),"M",""),",","")," ",""))),0))</f>
        <v/>
      </c>
      <c r="BZ435" s="5">
        <f>INDEX(Projects[Solution Type],434)&amp;""</f>
        <v/>
      </c>
      <c r="CA435" s="5">
        <f>INDEX(Projects[Client / Region],434)&amp;""</f>
        <v/>
      </c>
      <c r="CB435" s="5">
        <f>INDEX(Projects[Year],434)</f>
        <v/>
      </c>
      <c r="CC435" s="5">
        <f>INDEX(Projects[Won?],434)&amp;""</f>
        <v/>
      </c>
      <c r="CD435" s="5">
        <f>INDEX(Projects[Value (USD M)],434)</f>
        <v/>
      </c>
    </row>
    <row r="436" ht="15" customHeight="1" s="74">
      <c r="A436" s="66">
        <f>INDEX(Projects[Project ID *],435)&amp;""</f>
        <v/>
      </c>
      <c r="B436" s="66">
        <f>INDEX(Projects[Project Name *],435)&amp;""</f>
        <v/>
      </c>
      <c r="C436" s="66">
        <f>INDEX(Projects[MS Shuttles],435)</f>
        <v/>
      </c>
      <c r="D436" s="66">
        <f>INDEX(Projects[MS Tote Locations],435)</f>
        <v/>
      </c>
      <c r="E436" s="66">
        <f>INDEX(Projects[AS Robots],435)</f>
        <v/>
      </c>
      <c r="F436" s="66">
        <f>INDEX(Projects[AS Tote Locations],435)</f>
        <v/>
      </c>
      <c r="G436" s="66">
        <f>INDEX(Projects[PS Shuttles],435)</f>
        <v/>
      </c>
      <c r="H436" s="66">
        <f>INDEX(Projects[PS Pallet Locations],435)</f>
        <v/>
      </c>
      <c r="I436" s="66">
        <f>INDEX(Projects[SRM Cranes],435)</f>
        <v/>
      </c>
      <c r="J436" s="66">
        <f>INDEX(Projects[SRM Pallet Locations],435)</f>
        <v/>
      </c>
      <c r="K436" s="66">
        <f>INDEX(Projects[Case Conv (m)],435)</f>
        <v/>
      </c>
      <c r="L436" s="66">
        <f>INDEX(Projects[Pallet Conv (m)],435)</f>
        <v/>
      </c>
      <c r="M436" s="66">
        <f>INDEX(Projects[Mech Eng (wks)],435)</f>
        <v/>
      </c>
      <c r="N436" s="66">
        <f>INDEX(Projects[Controls Eng (wks)],435)</f>
        <v/>
      </c>
      <c r="O436" s="66">
        <f>INDEX(Projects[Systems Eng (wks)],435)</f>
        <v/>
      </c>
      <c r="P436" s="66">
        <f>INDEX(Projects[Software Eng (wks)],435)</f>
        <v/>
      </c>
      <c r="Q436" s="66">
        <f>INDEX(Projects[M&amp;E Installation (wks)],435)</f>
        <v/>
      </c>
      <c r="R436" s="66">
        <f>INDEX(Projects[Commissioning (wks)],435)</f>
        <v/>
      </c>
      <c r="S436" s="66">
        <f>INDEX(Projects[Total Timeline (wks)],435)</f>
        <v/>
      </c>
      <c r="T436" s="66">
        <f>INDEX(Projects[Currency],435)&amp;""</f>
        <v/>
      </c>
      <c r="U436" s="67">
        <f>INDEX(Projects[Value (M)],435)</f>
        <v/>
      </c>
      <c r="V436" s="66">
        <f>IF('Smart Search'!B13=1,IFERROR(1/'Smart Search'!H13,0),0)</f>
        <v/>
      </c>
      <c r="W436" s="66">
        <f>IF('Smart Search'!B13=1,IFERROR(1/'Smart Search'!H13,0),0)</f>
        <v/>
      </c>
      <c r="X436" s="66">
        <f>IF('Smart Search'!C13=1,IFERROR(1/'Smart Search'!H13,0),0)</f>
        <v/>
      </c>
      <c r="Y436" s="66">
        <f>IF('Smart Search'!C13=1,IFERROR(1/'Smart Search'!H13,0),0)</f>
        <v/>
      </c>
      <c r="Z436" s="66">
        <f>IF('Smart Search'!D13=1,IFERROR(1/'Smart Search'!H13,0),0)</f>
        <v/>
      </c>
      <c r="AA436" s="66">
        <f>IF('Smart Search'!D13=1,IFERROR(1/'Smart Search'!H13,0),0)</f>
        <v/>
      </c>
      <c r="AB436" s="66">
        <f>IF('Smart Search'!E13=1,IFERROR(1/'Smart Search'!H13,0),0)</f>
        <v/>
      </c>
      <c r="AC436" s="66">
        <f>IF('Smart Search'!E13=1,IFERROR(1/'Smart Search'!H13,0),0)</f>
        <v/>
      </c>
      <c r="AD436" s="66">
        <f>IF('Smart Search'!F13=1,IFERROR(1/'Smart Search'!H13,0),0)</f>
        <v/>
      </c>
      <c r="AE436" s="66">
        <f>IF('Smart Search'!F13=1,IFERROR(1/'Smart Search'!H13,0),0)</f>
        <v/>
      </c>
      <c r="AF436" s="66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66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66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66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66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66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66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66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66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66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66">
        <f>AF436*V436</f>
        <v/>
      </c>
      <c r="AQ436" s="66">
        <f>AG436*W436</f>
        <v/>
      </c>
      <c r="AR436" s="66">
        <f>AH436*X436</f>
        <v/>
      </c>
      <c r="AS436" s="66">
        <f>AI436*Y436</f>
        <v/>
      </c>
      <c r="AT436" s="66">
        <f>AJ436*Z436</f>
        <v/>
      </c>
      <c r="AU436" s="66">
        <f>AK436*AA436</f>
        <v/>
      </c>
      <c r="AV436" s="66">
        <f>AL436*AB436</f>
        <v/>
      </c>
      <c r="AW436" s="66">
        <f>AM436*AC436</f>
        <v/>
      </c>
      <c r="AX436" s="66">
        <f>AN436*AD436</f>
        <v/>
      </c>
      <c r="AY436" s="66">
        <f>AO436*AE436</f>
        <v/>
      </c>
      <c r="AZ436" s="66">
        <f>INDEX(Projects[Automation Equipment],435)&amp;""</f>
        <v/>
      </c>
      <c r="BA436" s="66">
        <f>IF(OR(A436="",'Smart Search'!H13=0),"",MAX(0,BE436*BF436*MAX(0,1-BG436)))</f>
        <v/>
      </c>
      <c r="BB436" s="66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66">
        <f>IF('Smart Search'!G13=1,IFERROR(1/'Smart Search'!H13,0),0)</f>
        <v/>
      </c>
      <c r="BD436" s="66">
        <f>BB436*BC436</f>
        <v/>
      </c>
      <c r="BE436" s="66">
        <f>AP436+AQ436+AR436+AS436+AT436+AU436+AV436+AW436+AX436+AY436+BD436</f>
        <v/>
      </c>
      <c r="BF436" s="5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5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5">
        <f>IF(AND(A436&lt;&gt;"",OR('Smart Search'!$L$5="",'Smart Search'!$L$5="All",TRIM(BZ436)=TRIM('Smart Search'!$L$5)),OR(TRIM('Smart Search'!$L$6)="",TRIM('Smart Search'!$L$6)="All",ISNUMBER(SEARCH(SUBSTITUTE(SUBSTITUTE(SUBSTITUTE(TRIM('Smart Search'!$L$6),"~","~~"),"*","~*"),"?","~?"),CA436))),OR('Smart Search'!$L$7="",AND(CB436&lt;&gt;0,CB436='Smart Search'!$L$7)),OR('Smart Search'!$L$8="",'Smart Search'!$L$8="All",TRIM(CC436)=TRIM('Smart Search'!$L$8))),IF(BA436="","",BA436+ROW()*0.0000000001),"")</f>
        <v/>
      </c>
      <c r="BI436" s="5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5">
        <f>IF(A436="","",N(INDEX(Projects[Mech Inst],435)))</f>
        <v/>
      </c>
      <c r="BK436" s="5">
        <f>IF(A436="","",N(INDEX(Projects[Elec Inst],435)))</f>
        <v/>
      </c>
      <c r="BL436" s="5">
        <f>IF(A436="","",N(INDEX(Projects[Project Management],435)))</f>
        <v/>
      </c>
      <c r="BM436" s="5">
        <f>IF(A436="","",N(INDEX(Projects[Systems Eng],435)))</f>
        <v/>
      </c>
      <c r="BN436" s="5">
        <f>IF(A436="","",N(INDEX(Projects[Mechanical Eng],435)))</f>
        <v/>
      </c>
      <c r="BO436" s="5">
        <f>IF(A436="","",N(INDEX(Projects[Structural Engineering],435)))</f>
        <v/>
      </c>
      <c r="BP436" s="5">
        <f>IF(A436="","",N(INDEX(Projects[Site Sup],435)))</f>
        <v/>
      </c>
      <c r="BQ436" s="5">
        <f>IF(A436="","",N(INDEX(Projects[Controls Commissioning],435)))</f>
        <v/>
      </c>
      <c r="BR436" s="5">
        <f>IF(A436="","",N(INDEX(Projects[Systems Commissioning],435)))</f>
        <v/>
      </c>
      <c r="BS436" s="5">
        <f>IF(A436="","",N(INDEX(Projects[Service Commissioning],435)))</f>
        <v/>
      </c>
      <c r="BT436" s="5">
        <f>IF(A436="","",N(INDEX(Projects[Controls Eng],435)))</f>
        <v/>
      </c>
      <c r="BU436" s="5">
        <f>IF(A436="","",N(INDEX(Projects[Controls Purchase],435)))</f>
        <v/>
      </c>
      <c r="BV436" s="5">
        <f>IF(A436="","",N(INDEX(Projects[Software Eng],435)))</f>
        <v/>
      </c>
      <c r="BW436" s="5">
        <f>IF(A436="","",N(INDEX(Projects[Misc],435)))</f>
        <v/>
      </c>
      <c r="BX436" s="5">
        <f>IF(A436="","",SUM(BJ436:BW436))</f>
        <v/>
      </c>
      <c r="BY436" s="5">
        <f>IF(A436="","",IFERROR(IF(ISNUMBER(U436),U436,VALUE(SUBSTITUTE(SUBSTITUTE(SUBSTITUTE(UPPER(TRIM(U436)),"M",""),",","")," ",""))),0))</f>
        <v/>
      </c>
      <c r="BZ436" s="5">
        <f>INDEX(Projects[Solution Type],435)&amp;""</f>
        <v/>
      </c>
      <c r="CA436" s="5">
        <f>INDEX(Projects[Client / Region],435)&amp;""</f>
        <v/>
      </c>
      <c r="CB436" s="5">
        <f>INDEX(Projects[Year],435)</f>
        <v/>
      </c>
      <c r="CC436" s="5">
        <f>INDEX(Projects[Won?],435)&amp;""</f>
        <v/>
      </c>
      <c r="CD436" s="5">
        <f>INDEX(Projects[Value (USD M)],435)</f>
        <v/>
      </c>
    </row>
    <row r="437" ht="15" customHeight="1" s="74">
      <c r="A437" s="66">
        <f>INDEX(Projects[Project ID *],436)&amp;""</f>
        <v/>
      </c>
      <c r="B437" s="66">
        <f>INDEX(Projects[Project Name *],436)&amp;""</f>
        <v/>
      </c>
      <c r="C437" s="66">
        <f>INDEX(Projects[MS Shuttles],436)</f>
        <v/>
      </c>
      <c r="D437" s="66">
        <f>INDEX(Projects[MS Tote Locations],436)</f>
        <v/>
      </c>
      <c r="E437" s="66">
        <f>INDEX(Projects[AS Robots],436)</f>
        <v/>
      </c>
      <c r="F437" s="66">
        <f>INDEX(Projects[AS Tote Locations],436)</f>
        <v/>
      </c>
      <c r="G437" s="66">
        <f>INDEX(Projects[PS Shuttles],436)</f>
        <v/>
      </c>
      <c r="H437" s="66">
        <f>INDEX(Projects[PS Pallet Locations],436)</f>
        <v/>
      </c>
      <c r="I437" s="66">
        <f>INDEX(Projects[SRM Cranes],436)</f>
        <v/>
      </c>
      <c r="J437" s="66">
        <f>INDEX(Projects[SRM Pallet Locations],436)</f>
        <v/>
      </c>
      <c r="K437" s="66">
        <f>INDEX(Projects[Case Conv (m)],436)</f>
        <v/>
      </c>
      <c r="L437" s="66">
        <f>INDEX(Projects[Pallet Conv (m)],436)</f>
        <v/>
      </c>
      <c r="M437" s="66">
        <f>INDEX(Projects[Mech Eng (wks)],436)</f>
        <v/>
      </c>
      <c r="N437" s="66">
        <f>INDEX(Projects[Controls Eng (wks)],436)</f>
        <v/>
      </c>
      <c r="O437" s="66">
        <f>INDEX(Projects[Systems Eng (wks)],436)</f>
        <v/>
      </c>
      <c r="P437" s="66">
        <f>INDEX(Projects[Software Eng (wks)],436)</f>
        <v/>
      </c>
      <c r="Q437" s="66">
        <f>INDEX(Projects[M&amp;E Installation (wks)],436)</f>
        <v/>
      </c>
      <c r="R437" s="66">
        <f>INDEX(Projects[Commissioning (wks)],436)</f>
        <v/>
      </c>
      <c r="S437" s="66">
        <f>INDEX(Projects[Total Timeline (wks)],436)</f>
        <v/>
      </c>
      <c r="T437" s="66">
        <f>INDEX(Projects[Currency],436)&amp;""</f>
        <v/>
      </c>
      <c r="U437" s="67">
        <f>INDEX(Projects[Value (M)],436)</f>
        <v/>
      </c>
      <c r="V437" s="66">
        <f>IF('Smart Search'!B13=1,IFERROR(1/'Smart Search'!H13,0),0)</f>
        <v/>
      </c>
      <c r="W437" s="66">
        <f>IF('Smart Search'!B13=1,IFERROR(1/'Smart Search'!H13,0),0)</f>
        <v/>
      </c>
      <c r="X437" s="66">
        <f>IF('Smart Search'!C13=1,IFERROR(1/'Smart Search'!H13,0),0)</f>
        <v/>
      </c>
      <c r="Y437" s="66">
        <f>IF('Smart Search'!C13=1,IFERROR(1/'Smart Search'!H13,0),0)</f>
        <v/>
      </c>
      <c r="Z437" s="66">
        <f>IF('Smart Search'!D13=1,IFERROR(1/'Smart Search'!H13,0),0)</f>
        <v/>
      </c>
      <c r="AA437" s="66">
        <f>IF('Smart Search'!D13=1,IFERROR(1/'Smart Search'!H13,0),0)</f>
        <v/>
      </c>
      <c r="AB437" s="66">
        <f>IF('Smart Search'!E13=1,IFERROR(1/'Smart Search'!H13,0),0)</f>
        <v/>
      </c>
      <c r="AC437" s="66">
        <f>IF('Smart Search'!E13=1,IFERROR(1/'Smart Search'!H13,0),0)</f>
        <v/>
      </c>
      <c r="AD437" s="66">
        <f>IF('Smart Search'!F13=1,IFERROR(1/'Smart Search'!H13,0),0)</f>
        <v/>
      </c>
      <c r="AE437" s="66">
        <f>IF('Smart Search'!F13=1,IFERROR(1/'Smart Search'!H13,0),0)</f>
        <v/>
      </c>
      <c r="AF437" s="66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66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66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66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66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66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66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66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66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66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66">
        <f>AF437*V437</f>
        <v/>
      </c>
      <c r="AQ437" s="66">
        <f>AG437*W437</f>
        <v/>
      </c>
      <c r="AR437" s="66">
        <f>AH437*X437</f>
        <v/>
      </c>
      <c r="AS437" s="66">
        <f>AI437*Y437</f>
        <v/>
      </c>
      <c r="AT437" s="66">
        <f>AJ437*Z437</f>
        <v/>
      </c>
      <c r="AU437" s="66">
        <f>AK437*AA437</f>
        <v/>
      </c>
      <c r="AV437" s="66">
        <f>AL437*AB437</f>
        <v/>
      </c>
      <c r="AW437" s="66">
        <f>AM437*AC437</f>
        <v/>
      </c>
      <c r="AX437" s="66">
        <f>AN437*AD437</f>
        <v/>
      </c>
      <c r="AY437" s="66">
        <f>AO437*AE437</f>
        <v/>
      </c>
      <c r="AZ437" s="66">
        <f>INDEX(Projects[Automation Equipment],436)&amp;""</f>
        <v/>
      </c>
      <c r="BA437" s="66">
        <f>IF(OR(A437="",'Smart Search'!H13=0),"",MAX(0,BE437*BF437*MAX(0,1-BG437)))</f>
        <v/>
      </c>
      <c r="BB437" s="66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66">
        <f>IF('Smart Search'!G13=1,IFERROR(1/'Smart Search'!H13,0),0)</f>
        <v/>
      </c>
      <c r="BD437" s="66">
        <f>BB437*BC437</f>
        <v/>
      </c>
      <c r="BE437" s="66">
        <f>AP437+AQ437+AR437+AS437+AT437+AU437+AV437+AW437+AX437+AY437+BD437</f>
        <v/>
      </c>
      <c r="BF437" s="5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5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5">
        <f>IF(AND(A437&lt;&gt;"",OR('Smart Search'!$L$5="",'Smart Search'!$L$5="All",TRIM(BZ437)=TRIM('Smart Search'!$L$5)),OR(TRIM('Smart Search'!$L$6)="",TRIM('Smart Search'!$L$6)="All",ISNUMBER(SEARCH(SUBSTITUTE(SUBSTITUTE(SUBSTITUTE(TRIM('Smart Search'!$L$6),"~","~~"),"*","~*"),"?","~?"),CA437))),OR('Smart Search'!$L$7="",AND(CB437&lt;&gt;0,CB437='Smart Search'!$L$7)),OR('Smart Search'!$L$8="",'Smart Search'!$L$8="All",TRIM(CC437)=TRIM('Smart Search'!$L$8))),IF(BA437="","",BA437+ROW()*0.0000000001),"")</f>
        <v/>
      </c>
      <c r="BI437" s="5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5">
        <f>IF(A437="","",N(INDEX(Projects[Mech Inst],436)))</f>
        <v/>
      </c>
      <c r="BK437" s="5">
        <f>IF(A437="","",N(INDEX(Projects[Elec Inst],436)))</f>
        <v/>
      </c>
      <c r="BL437" s="5">
        <f>IF(A437="","",N(INDEX(Projects[Project Management],436)))</f>
        <v/>
      </c>
      <c r="BM437" s="5">
        <f>IF(A437="","",N(INDEX(Projects[Systems Eng],436)))</f>
        <v/>
      </c>
      <c r="BN437" s="5">
        <f>IF(A437="","",N(INDEX(Projects[Mechanical Eng],436)))</f>
        <v/>
      </c>
      <c r="BO437" s="5">
        <f>IF(A437="","",N(INDEX(Projects[Structural Engineering],436)))</f>
        <v/>
      </c>
      <c r="BP437" s="5">
        <f>IF(A437="","",N(INDEX(Projects[Site Sup],436)))</f>
        <v/>
      </c>
      <c r="BQ437" s="5">
        <f>IF(A437="","",N(INDEX(Projects[Controls Commissioning],436)))</f>
        <v/>
      </c>
      <c r="BR437" s="5">
        <f>IF(A437="","",N(INDEX(Projects[Systems Commissioning],436)))</f>
        <v/>
      </c>
      <c r="BS437" s="5">
        <f>IF(A437="","",N(INDEX(Projects[Service Commissioning],436)))</f>
        <v/>
      </c>
      <c r="BT437" s="5">
        <f>IF(A437="","",N(INDEX(Projects[Controls Eng],436)))</f>
        <v/>
      </c>
      <c r="BU437" s="5">
        <f>IF(A437="","",N(INDEX(Projects[Controls Purchase],436)))</f>
        <v/>
      </c>
      <c r="BV437" s="5">
        <f>IF(A437="","",N(INDEX(Projects[Software Eng],436)))</f>
        <v/>
      </c>
      <c r="BW437" s="5">
        <f>IF(A437="","",N(INDEX(Projects[Misc],436)))</f>
        <v/>
      </c>
      <c r="BX437" s="5">
        <f>IF(A437="","",SUM(BJ437:BW437))</f>
        <v/>
      </c>
      <c r="BY437" s="5">
        <f>IF(A437="","",IFERROR(IF(ISNUMBER(U437),U437,VALUE(SUBSTITUTE(SUBSTITUTE(SUBSTITUTE(UPPER(TRIM(U437)),"M",""),",","")," ",""))),0))</f>
        <v/>
      </c>
      <c r="BZ437" s="5">
        <f>INDEX(Projects[Solution Type],436)&amp;""</f>
        <v/>
      </c>
      <c r="CA437" s="5">
        <f>INDEX(Projects[Client / Region],436)&amp;""</f>
        <v/>
      </c>
      <c r="CB437" s="5">
        <f>INDEX(Projects[Year],436)</f>
        <v/>
      </c>
      <c r="CC437" s="5">
        <f>INDEX(Projects[Won?],436)&amp;""</f>
        <v/>
      </c>
      <c r="CD437" s="5">
        <f>INDEX(Projects[Value (USD M)],436)</f>
        <v/>
      </c>
    </row>
    <row r="438" ht="15" customHeight="1" s="74">
      <c r="A438" s="66">
        <f>INDEX(Projects[Project ID *],437)&amp;""</f>
        <v/>
      </c>
      <c r="B438" s="66">
        <f>INDEX(Projects[Project Name *],437)&amp;""</f>
        <v/>
      </c>
      <c r="C438" s="66">
        <f>INDEX(Projects[MS Shuttles],437)</f>
        <v/>
      </c>
      <c r="D438" s="66">
        <f>INDEX(Projects[MS Tote Locations],437)</f>
        <v/>
      </c>
      <c r="E438" s="66">
        <f>INDEX(Projects[AS Robots],437)</f>
        <v/>
      </c>
      <c r="F438" s="66">
        <f>INDEX(Projects[AS Tote Locations],437)</f>
        <v/>
      </c>
      <c r="G438" s="66">
        <f>INDEX(Projects[PS Shuttles],437)</f>
        <v/>
      </c>
      <c r="H438" s="66">
        <f>INDEX(Projects[PS Pallet Locations],437)</f>
        <v/>
      </c>
      <c r="I438" s="66">
        <f>INDEX(Projects[SRM Cranes],437)</f>
        <v/>
      </c>
      <c r="J438" s="66">
        <f>INDEX(Projects[SRM Pallet Locations],437)</f>
        <v/>
      </c>
      <c r="K438" s="66">
        <f>INDEX(Projects[Case Conv (m)],437)</f>
        <v/>
      </c>
      <c r="L438" s="66">
        <f>INDEX(Projects[Pallet Conv (m)],437)</f>
        <v/>
      </c>
      <c r="M438" s="66">
        <f>INDEX(Projects[Mech Eng (wks)],437)</f>
        <v/>
      </c>
      <c r="N438" s="66">
        <f>INDEX(Projects[Controls Eng (wks)],437)</f>
        <v/>
      </c>
      <c r="O438" s="66">
        <f>INDEX(Projects[Systems Eng (wks)],437)</f>
        <v/>
      </c>
      <c r="P438" s="66">
        <f>INDEX(Projects[Software Eng (wks)],437)</f>
        <v/>
      </c>
      <c r="Q438" s="66">
        <f>INDEX(Projects[M&amp;E Installation (wks)],437)</f>
        <v/>
      </c>
      <c r="R438" s="66">
        <f>INDEX(Projects[Commissioning (wks)],437)</f>
        <v/>
      </c>
      <c r="S438" s="66">
        <f>INDEX(Projects[Total Timeline (wks)],437)</f>
        <v/>
      </c>
      <c r="T438" s="66">
        <f>INDEX(Projects[Currency],437)&amp;""</f>
        <v/>
      </c>
      <c r="U438" s="67">
        <f>INDEX(Projects[Value (M)],437)</f>
        <v/>
      </c>
      <c r="V438" s="66">
        <f>IF('Smart Search'!B13=1,IFERROR(1/'Smart Search'!H13,0),0)</f>
        <v/>
      </c>
      <c r="W438" s="66">
        <f>IF('Smart Search'!B13=1,IFERROR(1/'Smart Search'!H13,0),0)</f>
        <v/>
      </c>
      <c r="X438" s="66">
        <f>IF('Smart Search'!C13=1,IFERROR(1/'Smart Search'!H13,0),0)</f>
        <v/>
      </c>
      <c r="Y438" s="66">
        <f>IF('Smart Search'!C13=1,IFERROR(1/'Smart Search'!H13,0),0)</f>
        <v/>
      </c>
      <c r="Z438" s="66">
        <f>IF('Smart Search'!D13=1,IFERROR(1/'Smart Search'!H13,0),0)</f>
        <v/>
      </c>
      <c r="AA438" s="66">
        <f>IF('Smart Search'!D13=1,IFERROR(1/'Smart Search'!H13,0),0)</f>
        <v/>
      </c>
      <c r="AB438" s="66">
        <f>IF('Smart Search'!E13=1,IFERROR(1/'Smart Search'!H13,0),0)</f>
        <v/>
      </c>
      <c r="AC438" s="66">
        <f>IF('Smart Search'!E13=1,IFERROR(1/'Smart Search'!H13,0),0)</f>
        <v/>
      </c>
      <c r="AD438" s="66">
        <f>IF('Smart Search'!F13=1,IFERROR(1/'Smart Search'!H13,0),0)</f>
        <v/>
      </c>
      <c r="AE438" s="66">
        <f>IF('Smart Search'!F13=1,IFERROR(1/'Smart Search'!H13,0),0)</f>
        <v/>
      </c>
      <c r="AF438" s="66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66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66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66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66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66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66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66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66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66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66">
        <f>AF438*V438</f>
        <v/>
      </c>
      <c r="AQ438" s="66">
        <f>AG438*W438</f>
        <v/>
      </c>
      <c r="AR438" s="66">
        <f>AH438*X438</f>
        <v/>
      </c>
      <c r="AS438" s="66">
        <f>AI438*Y438</f>
        <v/>
      </c>
      <c r="AT438" s="66">
        <f>AJ438*Z438</f>
        <v/>
      </c>
      <c r="AU438" s="66">
        <f>AK438*AA438</f>
        <v/>
      </c>
      <c r="AV438" s="66">
        <f>AL438*AB438</f>
        <v/>
      </c>
      <c r="AW438" s="66">
        <f>AM438*AC438</f>
        <v/>
      </c>
      <c r="AX438" s="66">
        <f>AN438*AD438</f>
        <v/>
      </c>
      <c r="AY438" s="66">
        <f>AO438*AE438</f>
        <v/>
      </c>
      <c r="AZ438" s="66">
        <f>INDEX(Projects[Automation Equipment],437)&amp;""</f>
        <v/>
      </c>
      <c r="BA438" s="66">
        <f>IF(OR(A438="",'Smart Search'!H13=0),"",MAX(0,BE438*BF438*MAX(0,1-BG438)))</f>
        <v/>
      </c>
      <c r="BB438" s="66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66">
        <f>IF('Smart Search'!G13=1,IFERROR(1/'Smart Search'!H13,0),0)</f>
        <v/>
      </c>
      <c r="BD438" s="66">
        <f>BB438*BC438</f>
        <v/>
      </c>
      <c r="BE438" s="66">
        <f>AP438+AQ438+AR438+AS438+AT438+AU438+AV438+AW438+AX438+AY438+BD438</f>
        <v/>
      </c>
      <c r="BF438" s="5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5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5">
        <f>IF(AND(A438&lt;&gt;"",OR('Smart Search'!$L$5="",'Smart Search'!$L$5="All",TRIM(BZ438)=TRIM('Smart Search'!$L$5)),OR(TRIM('Smart Search'!$L$6)="",TRIM('Smart Search'!$L$6)="All",ISNUMBER(SEARCH(SUBSTITUTE(SUBSTITUTE(SUBSTITUTE(TRIM('Smart Search'!$L$6),"~","~~"),"*","~*"),"?","~?"),CA438))),OR('Smart Search'!$L$7="",AND(CB438&lt;&gt;0,CB438='Smart Search'!$L$7)),OR('Smart Search'!$L$8="",'Smart Search'!$L$8="All",TRIM(CC438)=TRIM('Smart Search'!$L$8))),IF(BA438="","",BA438+ROW()*0.0000000001),"")</f>
        <v/>
      </c>
      <c r="BI438" s="5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5">
        <f>IF(A438="","",N(INDEX(Projects[Mech Inst],437)))</f>
        <v/>
      </c>
      <c r="BK438" s="5">
        <f>IF(A438="","",N(INDEX(Projects[Elec Inst],437)))</f>
        <v/>
      </c>
      <c r="BL438" s="5">
        <f>IF(A438="","",N(INDEX(Projects[Project Management],437)))</f>
        <v/>
      </c>
      <c r="BM438" s="5">
        <f>IF(A438="","",N(INDEX(Projects[Systems Eng],437)))</f>
        <v/>
      </c>
      <c r="BN438" s="5">
        <f>IF(A438="","",N(INDEX(Projects[Mechanical Eng],437)))</f>
        <v/>
      </c>
      <c r="BO438" s="5">
        <f>IF(A438="","",N(INDEX(Projects[Structural Engineering],437)))</f>
        <v/>
      </c>
      <c r="BP438" s="5">
        <f>IF(A438="","",N(INDEX(Projects[Site Sup],437)))</f>
        <v/>
      </c>
      <c r="BQ438" s="5">
        <f>IF(A438="","",N(INDEX(Projects[Controls Commissioning],437)))</f>
        <v/>
      </c>
      <c r="BR438" s="5">
        <f>IF(A438="","",N(INDEX(Projects[Systems Commissioning],437)))</f>
        <v/>
      </c>
      <c r="BS438" s="5">
        <f>IF(A438="","",N(INDEX(Projects[Service Commissioning],437)))</f>
        <v/>
      </c>
      <c r="BT438" s="5">
        <f>IF(A438="","",N(INDEX(Projects[Controls Eng],437)))</f>
        <v/>
      </c>
      <c r="BU438" s="5">
        <f>IF(A438="","",N(INDEX(Projects[Controls Purchase],437)))</f>
        <v/>
      </c>
      <c r="BV438" s="5">
        <f>IF(A438="","",N(INDEX(Projects[Software Eng],437)))</f>
        <v/>
      </c>
      <c r="BW438" s="5">
        <f>IF(A438="","",N(INDEX(Projects[Misc],437)))</f>
        <v/>
      </c>
      <c r="BX438" s="5">
        <f>IF(A438="","",SUM(BJ438:BW438))</f>
        <v/>
      </c>
      <c r="BY438" s="5">
        <f>IF(A438="","",IFERROR(IF(ISNUMBER(U438),U438,VALUE(SUBSTITUTE(SUBSTITUTE(SUBSTITUTE(UPPER(TRIM(U438)),"M",""),",","")," ",""))),0))</f>
        <v/>
      </c>
      <c r="BZ438" s="5">
        <f>INDEX(Projects[Solution Type],437)&amp;""</f>
        <v/>
      </c>
      <c r="CA438" s="5">
        <f>INDEX(Projects[Client / Region],437)&amp;""</f>
        <v/>
      </c>
      <c r="CB438" s="5">
        <f>INDEX(Projects[Year],437)</f>
        <v/>
      </c>
      <c r="CC438" s="5">
        <f>INDEX(Projects[Won?],437)&amp;""</f>
        <v/>
      </c>
      <c r="CD438" s="5">
        <f>INDEX(Projects[Value (USD M)],437)</f>
        <v/>
      </c>
    </row>
    <row r="439" ht="15" customHeight="1" s="74">
      <c r="A439" s="66">
        <f>INDEX(Projects[Project ID *],438)&amp;""</f>
        <v/>
      </c>
      <c r="B439" s="66">
        <f>INDEX(Projects[Project Name *],438)&amp;""</f>
        <v/>
      </c>
      <c r="C439" s="66">
        <f>INDEX(Projects[MS Shuttles],438)</f>
        <v/>
      </c>
      <c r="D439" s="66">
        <f>INDEX(Projects[MS Tote Locations],438)</f>
        <v/>
      </c>
      <c r="E439" s="66">
        <f>INDEX(Projects[AS Robots],438)</f>
        <v/>
      </c>
      <c r="F439" s="66">
        <f>INDEX(Projects[AS Tote Locations],438)</f>
        <v/>
      </c>
      <c r="G439" s="66">
        <f>INDEX(Projects[PS Shuttles],438)</f>
        <v/>
      </c>
      <c r="H439" s="66">
        <f>INDEX(Projects[PS Pallet Locations],438)</f>
        <v/>
      </c>
      <c r="I439" s="66">
        <f>INDEX(Projects[SRM Cranes],438)</f>
        <v/>
      </c>
      <c r="J439" s="66">
        <f>INDEX(Projects[SRM Pallet Locations],438)</f>
        <v/>
      </c>
      <c r="K439" s="66">
        <f>INDEX(Projects[Case Conv (m)],438)</f>
        <v/>
      </c>
      <c r="L439" s="66">
        <f>INDEX(Projects[Pallet Conv (m)],438)</f>
        <v/>
      </c>
      <c r="M439" s="66">
        <f>INDEX(Projects[Mech Eng (wks)],438)</f>
        <v/>
      </c>
      <c r="N439" s="66">
        <f>INDEX(Projects[Controls Eng (wks)],438)</f>
        <v/>
      </c>
      <c r="O439" s="66">
        <f>INDEX(Projects[Systems Eng (wks)],438)</f>
        <v/>
      </c>
      <c r="P439" s="66">
        <f>INDEX(Projects[Software Eng (wks)],438)</f>
        <v/>
      </c>
      <c r="Q439" s="66">
        <f>INDEX(Projects[M&amp;E Installation (wks)],438)</f>
        <v/>
      </c>
      <c r="R439" s="66">
        <f>INDEX(Projects[Commissioning (wks)],438)</f>
        <v/>
      </c>
      <c r="S439" s="66">
        <f>INDEX(Projects[Total Timeline (wks)],438)</f>
        <v/>
      </c>
      <c r="T439" s="66">
        <f>INDEX(Projects[Currency],438)&amp;""</f>
        <v/>
      </c>
      <c r="U439" s="67">
        <f>INDEX(Projects[Value (M)],438)</f>
        <v/>
      </c>
      <c r="V439" s="66">
        <f>IF('Smart Search'!B13=1,IFERROR(1/'Smart Search'!H13,0),0)</f>
        <v/>
      </c>
      <c r="W439" s="66">
        <f>IF('Smart Search'!B13=1,IFERROR(1/'Smart Search'!H13,0),0)</f>
        <v/>
      </c>
      <c r="X439" s="66">
        <f>IF('Smart Search'!C13=1,IFERROR(1/'Smart Search'!H13,0),0)</f>
        <v/>
      </c>
      <c r="Y439" s="66">
        <f>IF('Smart Search'!C13=1,IFERROR(1/'Smart Search'!H13,0),0)</f>
        <v/>
      </c>
      <c r="Z439" s="66">
        <f>IF('Smart Search'!D13=1,IFERROR(1/'Smart Search'!H13,0),0)</f>
        <v/>
      </c>
      <c r="AA439" s="66">
        <f>IF('Smart Search'!D13=1,IFERROR(1/'Smart Search'!H13,0),0)</f>
        <v/>
      </c>
      <c r="AB439" s="66">
        <f>IF('Smart Search'!E13=1,IFERROR(1/'Smart Search'!H13,0),0)</f>
        <v/>
      </c>
      <c r="AC439" s="66">
        <f>IF('Smart Search'!E13=1,IFERROR(1/'Smart Search'!H13,0),0)</f>
        <v/>
      </c>
      <c r="AD439" s="66">
        <f>IF('Smart Search'!F13=1,IFERROR(1/'Smart Search'!H13,0),0)</f>
        <v/>
      </c>
      <c r="AE439" s="66">
        <f>IF('Smart Search'!F13=1,IFERROR(1/'Smart Search'!H13,0),0)</f>
        <v/>
      </c>
      <c r="AF439" s="66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66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66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66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66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66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66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66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66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66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66">
        <f>AF439*V439</f>
        <v/>
      </c>
      <c r="AQ439" s="66">
        <f>AG439*W439</f>
        <v/>
      </c>
      <c r="AR439" s="66">
        <f>AH439*X439</f>
        <v/>
      </c>
      <c r="AS439" s="66">
        <f>AI439*Y439</f>
        <v/>
      </c>
      <c r="AT439" s="66">
        <f>AJ439*Z439</f>
        <v/>
      </c>
      <c r="AU439" s="66">
        <f>AK439*AA439</f>
        <v/>
      </c>
      <c r="AV439" s="66">
        <f>AL439*AB439</f>
        <v/>
      </c>
      <c r="AW439" s="66">
        <f>AM439*AC439</f>
        <v/>
      </c>
      <c r="AX439" s="66">
        <f>AN439*AD439</f>
        <v/>
      </c>
      <c r="AY439" s="66">
        <f>AO439*AE439</f>
        <v/>
      </c>
      <c r="AZ439" s="66">
        <f>INDEX(Projects[Automation Equipment],438)&amp;""</f>
        <v/>
      </c>
      <c r="BA439" s="66">
        <f>IF(OR(A439="",'Smart Search'!H13=0),"",MAX(0,BE439*BF439*MAX(0,1-BG439)))</f>
        <v/>
      </c>
      <c r="BB439" s="66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66">
        <f>IF('Smart Search'!G13=1,IFERROR(1/'Smart Search'!H13,0),0)</f>
        <v/>
      </c>
      <c r="BD439" s="66">
        <f>BB439*BC439</f>
        <v/>
      </c>
      <c r="BE439" s="66">
        <f>AP439+AQ439+AR439+AS439+AT439+AU439+AV439+AW439+AX439+AY439+BD439</f>
        <v/>
      </c>
      <c r="BF439" s="5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5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5">
        <f>IF(AND(A439&lt;&gt;"",OR('Smart Search'!$L$5="",'Smart Search'!$L$5="All",TRIM(BZ439)=TRIM('Smart Search'!$L$5)),OR(TRIM('Smart Search'!$L$6)="",TRIM('Smart Search'!$L$6)="All",ISNUMBER(SEARCH(SUBSTITUTE(SUBSTITUTE(SUBSTITUTE(TRIM('Smart Search'!$L$6),"~","~~"),"*","~*"),"?","~?"),CA439))),OR('Smart Search'!$L$7="",AND(CB439&lt;&gt;0,CB439='Smart Search'!$L$7)),OR('Smart Search'!$L$8="",'Smart Search'!$L$8="All",TRIM(CC439)=TRIM('Smart Search'!$L$8))),IF(BA439="","",BA439+ROW()*0.0000000001),"")</f>
        <v/>
      </c>
      <c r="BI439" s="5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5">
        <f>IF(A439="","",N(INDEX(Projects[Mech Inst],438)))</f>
        <v/>
      </c>
      <c r="BK439" s="5">
        <f>IF(A439="","",N(INDEX(Projects[Elec Inst],438)))</f>
        <v/>
      </c>
      <c r="BL439" s="5">
        <f>IF(A439="","",N(INDEX(Projects[Project Management],438)))</f>
        <v/>
      </c>
      <c r="BM439" s="5">
        <f>IF(A439="","",N(INDEX(Projects[Systems Eng],438)))</f>
        <v/>
      </c>
      <c r="BN439" s="5">
        <f>IF(A439="","",N(INDEX(Projects[Mechanical Eng],438)))</f>
        <v/>
      </c>
      <c r="BO439" s="5">
        <f>IF(A439="","",N(INDEX(Projects[Structural Engineering],438)))</f>
        <v/>
      </c>
      <c r="BP439" s="5">
        <f>IF(A439="","",N(INDEX(Projects[Site Sup],438)))</f>
        <v/>
      </c>
      <c r="BQ439" s="5">
        <f>IF(A439="","",N(INDEX(Projects[Controls Commissioning],438)))</f>
        <v/>
      </c>
      <c r="BR439" s="5">
        <f>IF(A439="","",N(INDEX(Projects[Systems Commissioning],438)))</f>
        <v/>
      </c>
      <c r="BS439" s="5">
        <f>IF(A439="","",N(INDEX(Projects[Service Commissioning],438)))</f>
        <v/>
      </c>
      <c r="BT439" s="5">
        <f>IF(A439="","",N(INDEX(Projects[Controls Eng],438)))</f>
        <v/>
      </c>
      <c r="BU439" s="5">
        <f>IF(A439="","",N(INDEX(Projects[Controls Purchase],438)))</f>
        <v/>
      </c>
      <c r="BV439" s="5">
        <f>IF(A439="","",N(INDEX(Projects[Software Eng],438)))</f>
        <v/>
      </c>
      <c r="BW439" s="5">
        <f>IF(A439="","",N(INDEX(Projects[Misc],438)))</f>
        <v/>
      </c>
      <c r="BX439" s="5">
        <f>IF(A439="","",SUM(BJ439:BW439))</f>
        <v/>
      </c>
      <c r="BY439" s="5">
        <f>IF(A439="","",IFERROR(IF(ISNUMBER(U439),U439,VALUE(SUBSTITUTE(SUBSTITUTE(SUBSTITUTE(UPPER(TRIM(U439)),"M",""),",","")," ",""))),0))</f>
        <v/>
      </c>
      <c r="BZ439" s="5">
        <f>INDEX(Projects[Solution Type],438)&amp;""</f>
        <v/>
      </c>
      <c r="CA439" s="5">
        <f>INDEX(Projects[Client / Region],438)&amp;""</f>
        <v/>
      </c>
      <c r="CB439" s="5">
        <f>INDEX(Projects[Year],438)</f>
        <v/>
      </c>
      <c r="CC439" s="5">
        <f>INDEX(Projects[Won?],438)&amp;""</f>
        <v/>
      </c>
      <c r="CD439" s="5">
        <f>INDEX(Projects[Value (USD M)],438)</f>
        <v/>
      </c>
    </row>
    <row r="440" ht="15" customHeight="1" s="74">
      <c r="A440" s="66">
        <f>INDEX(Projects[Project ID *],439)&amp;""</f>
        <v/>
      </c>
      <c r="B440" s="66">
        <f>INDEX(Projects[Project Name *],439)&amp;""</f>
        <v/>
      </c>
      <c r="C440" s="66">
        <f>INDEX(Projects[MS Shuttles],439)</f>
        <v/>
      </c>
      <c r="D440" s="66">
        <f>INDEX(Projects[MS Tote Locations],439)</f>
        <v/>
      </c>
      <c r="E440" s="66">
        <f>INDEX(Projects[AS Robots],439)</f>
        <v/>
      </c>
      <c r="F440" s="66">
        <f>INDEX(Projects[AS Tote Locations],439)</f>
        <v/>
      </c>
      <c r="G440" s="66">
        <f>INDEX(Projects[PS Shuttles],439)</f>
        <v/>
      </c>
      <c r="H440" s="66">
        <f>INDEX(Projects[PS Pallet Locations],439)</f>
        <v/>
      </c>
      <c r="I440" s="66">
        <f>INDEX(Projects[SRM Cranes],439)</f>
        <v/>
      </c>
      <c r="J440" s="66">
        <f>INDEX(Projects[SRM Pallet Locations],439)</f>
        <v/>
      </c>
      <c r="K440" s="66">
        <f>INDEX(Projects[Case Conv (m)],439)</f>
        <v/>
      </c>
      <c r="L440" s="66">
        <f>INDEX(Projects[Pallet Conv (m)],439)</f>
        <v/>
      </c>
      <c r="M440" s="66">
        <f>INDEX(Projects[Mech Eng (wks)],439)</f>
        <v/>
      </c>
      <c r="N440" s="66">
        <f>INDEX(Projects[Controls Eng (wks)],439)</f>
        <v/>
      </c>
      <c r="O440" s="66">
        <f>INDEX(Projects[Systems Eng (wks)],439)</f>
        <v/>
      </c>
      <c r="P440" s="66">
        <f>INDEX(Projects[Software Eng (wks)],439)</f>
        <v/>
      </c>
      <c r="Q440" s="66">
        <f>INDEX(Projects[M&amp;E Installation (wks)],439)</f>
        <v/>
      </c>
      <c r="R440" s="66">
        <f>INDEX(Projects[Commissioning (wks)],439)</f>
        <v/>
      </c>
      <c r="S440" s="66">
        <f>INDEX(Projects[Total Timeline (wks)],439)</f>
        <v/>
      </c>
      <c r="T440" s="66">
        <f>INDEX(Projects[Currency],439)&amp;""</f>
        <v/>
      </c>
      <c r="U440" s="67">
        <f>INDEX(Projects[Value (M)],439)</f>
        <v/>
      </c>
      <c r="V440" s="66">
        <f>IF('Smart Search'!B13=1,IFERROR(1/'Smart Search'!H13,0),0)</f>
        <v/>
      </c>
      <c r="W440" s="66">
        <f>IF('Smart Search'!B13=1,IFERROR(1/'Smart Search'!H13,0),0)</f>
        <v/>
      </c>
      <c r="X440" s="66">
        <f>IF('Smart Search'!C13=1,IFERROR(1/'Smart Search'!H13,0),0)</f>
        <v/>
      </c>
      <c r="Y440" s="66">
        <f>IF('Smart Search'!C13=1,IFERROR(1/'Smart Search'!H13,0),0)</f>
        <v/>
      </c>
      <c r="Z440" s="66">
        <f>IF('Smart Search'!D13=1,IFERROR(1/'Smart Search'!H13,0),0)</f>
        <v/>
      </c>
      <c r="AA440" s="66">
        <f>IF('Smart Search'!D13=1,IFERROR(1/'Smart Search'!H13,0),0)</f>
        <v/>
      </c>
      <c r="AB440" s="66">
        <f>IF('Smart Search'!E13=1,IFERROR(1/'Smart Search'!H13,0),0)</f>
        <v/>
      </c>
      <c r="AC440" s="66">
        <f>IF('Smart Search'!E13=1,IFERROR(1/'Smart Search'!H13,0),0)</f>
        <v/>
      </c>
      <c r="AD440" s="66">
        <f>IF('Smart Search'!F13=1,IFERROR(1/'Smart Search'!H13,0),0)</f>
        <v/>
      </c>
      <c r="AE440" s="66">
        <f>IF('Smart Search'!F13=1,IFERROR(1/'Smart Search'!H13,0),0)</f>
        <v/>
      </c>
      <c r="AF440" s="66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66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66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66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66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66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66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66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66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66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66">
        <f>AF440*V440</f>
        <v/>
      </c>
      <c r="AQ440" s="66">
        <f>AG440*W440</f>
        <v/>
      </c>
      <c r="AR440" s="66">
        <f>AH440*X440</f>
        <v/>
      </c>
      <c r="AS440" s="66">
        <f>AI440*Y440</f>
        <v/>
      </c>
      <c r="AT440" s="66">
        <f>AJ440*Z440</f>
        <v/>
      </c>
      <c r="AU440" s="66">
        <f>AK440*AA440</f>
        <v/>
      </c>
      <c r="AV440" s="66">
        <f>AL440*AB440</f>
        <v/>
      </c>
      <c r="AW440" s="66">
        <f>AM440*AC440</f>
        <v/>
      </c>
      <c r="AX440" s="66">
        <f>AN440*AD440</f>
        <v/>
      </c>
      <c r="AY440" s="66">
        <f>AO440*AE440</f>
        <v/>
      </c>
      <c r="AZ440" s="66">
        <f>INDEX(Projects[Automation Equipment],439)&amp;""</f>
        <v/>
      </c>
      <c r="BA440" s="66">
        <f>IF(OR(A440="",'Smart Search'!H13=0),"",MAX(0,BE440*BF440*MAX(0,1-BG440)))</f>
        <v/>
      </c>
      <c r="BB440" s="66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66">
        <f>IF('Smart Search'!G13=1,IFERROR(1/'Smart Search'!H13,0),0)</f>
        <v/>
      </c>
      <c r="BD440" s="66">
        <f>BB440*BC440</f>
        <v/>
      </c>
      <c r="BE440" s="66">
        <f>AP440+AQ440+AR440+AS440+AT440+AU440+AV440+AW440+AX440+AY440+BD440</f>
        <v/>
      </c>
      <c r="BF440" s="5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5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5">
        <f>IF(AND(A440&lt;&gt;"",OR('Smart Search'!$L$5="",'Smart Search'!$L$5="All",TRIM(BZ440)=TRIM('Smart Search'!$L$5)),OR(TRIM('Smart Search'!$L$6)="",TRIM('Smart Search'!$L$6)="All",ISNUMBER(SEARCH(SUBSTITUTE(SUBSTITUTE(SUBSTITUTE(TRIM('Smart Search'!$L$6),"~","~~"),"*","~*"),"?","~?"),CA440))),OR('Smart Search'!$L$7="",AND(CB440&lt;&gt;0,CB440='Smart Search'!$L$7)),OR('Smart Search'!$L$8="",'Smart Search'!$L$8="All",TRIM(CC440)=TRIM('Smart Search'!$L$8))),IF(BA440="","",BA440+ROW()*0.0000000001),"")</f>
        <v/>
      </c>
      <c r="BI440" s="5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5">
        <f>IF(A440="","",N(INDEX(Projects[Mech Inst],439)))</f>
        <v/>
      </c>
      <c r="BK440" s="5">
        <f>IF(A440="","",N(INDEX(Projects[Elec Inst],439)))</f>
        <v/>
      </c>
      <c r="BL440" s="5">
        <f>IF(A440="","",N(INDEX(Projects[Project Management],439)))</f>
        <v/>
      </c>
      <c r="BM440" s="5">
        <f>IF(A440="","",N(INDEX(Projects[Systems Eng],439)))</f>
        <v/>
      </c>
      <c r="BN440" s="5">
        <f>IF(A440="","",N(INDEX(Projects[Mechanical Eng],439)))</f>
        <v/>
      </c>
      <c r="BO440" s="5">
        <f>IF(A440="","",N(INDEX(Projects[Structural Engineering],439)))</f>
        <v/>
      </c>
      <c r="BP440" s="5">
        <f>IF(A440="","",N(INDEX(Projects[Site Sup],439)))</f>
        <v/>
      </c>
      <c r="BQ440" s="5">
        <f>IF(A440="","",N(INDEX(Projects[Controls Commissioning],439)))</f>
        <v/>
      </c>
      <c r="BR440" s="5">
        <f>IF(A440="","",N(INDEX(Projects[Systems Commissioning],439)))</f>
        <v/>
      </c>
      <c r="BS440" s="5">
        <f>IF(A440="","",N(INDEX(Projects[Service Commissioning],439)))</f>
        <v/>
      </c>
      <c r="BT440" s="5">
        <f>IF(A440="","",N(INDEX(Projects[Controls Eng],439)))</f>
        <v/>
      </c>
      <c r="BU440" s="5">
        <f>IF(A440="","",N(INDEX(Projects[Controls Purchase],439)))</f>
        <v/>
      </c>
      <c r="BV440" s="5">
        <f>IF(A440="","",N(INDEX(Projects[Software Eng],439)))</f>
        <v/>
      </c>
      <c r="BW440" s="5">
        <f>IF(A440="","",N(INDEX(Projects[Misc],439)))</f>
        <v/>
      </c>
      <c r="BX440" s="5">
        <f>IF(A440="","",SUM(BJ440:BW440))</f>
        <v/>
      </c>
      <c r="BY440" s="5">
        <f>IF(A440="","",IFERROR(IF(ISNUMBER(U440),U440,VALUE(SUBSTITUTE(SUBSTITUTE(SUBSTITUTE(UPPER(TRIM(U440)),"M",""),",","")," ",""))),0))</f>
        <v/>
      </c>
      <c r="BZ440" s="5">
        <f>INDEX(Projects[Solution Type],439)&amp;""</f>
        <v/>
      </c>
      <c r="CA440" s="5">
        <f>INDEX(Projects[Client / Region],439)&amp;""</f>
        <v/>
      </c>
      <c r="CB440" s="5">
        <f>INDEX(Projects[Year],439)</f>
        <v/>
      </c>
      <c r="CC440" s="5">
        <f>INDEX(Projects[Won?],439)&amp;""</f>
        <v/>
      </c>
      <c r="CD440" s="5">
        <f>INDEX(Projects[Value (USD M)],439)</f>
        <v/>
      </c>
    </row>
    <row r="441" ht="15" customHeight="1" s="74">
      <c r="A441" s="66">
        <f>INDEX(Projects[Project ID *],440)&amp;""</f>
        <v/>
      </c>
      <c r="B441" s="66">
        <f>INDEX(Projects[Project Name *],440)&amp;""</f>
        <v/>
      </c>
      <c r="C441" s="66">
        <f>INDEX(Projects[MS Shuttles],440)</f>
        <v/>
      </c>
      <c r="D441" s="66">
        <f>INDEX(Projects[MS Tote Locations],440)</f>
        <v/>
      </c>
      <c r="E441" s="66">
        <f>INDEX(Projects[AS Robots],440)</f>
        <v/>
      </c>
      <c r="F441" s="66">
        <f>INDEX(Projects[AS Tote Locations],440)</f>
        <v/>
      </c>
      <c r="G441" s="66">
        <f>INDEX(Projects[PS Shuttles],440)</f>
        <v/>
      </c>
      <c r="H441" s="66">
        <f>INDEX(Projects[PS Pallet Locations],440)</f>
        <v/>
      </c>
      <c r="I441" s="66">
        <f>INDEX(Projects[SRM Cranes],440)</f>
        <v/>
      </c>
      <c r="J441" s="66">
        <f>INDEX(Projects[SRM Pallet Locations],440)</f>
        <v/>
      </c>
      <c r="K441" s="66">
        <f>INDEX(Projects[Case Conv (m)],440)</f>
        <v/>
      </c>
      <c r="L441" s="66">
        <f>INDEX(Projects[Pallet Conv (m)],440)</f>
        <v/>
      </c>
      <c r="M441" s="66">
        <f>INDEX(Projects[Mech Eng (wks)],440)</f>
        <v/>
      </c>
      <c r="N441" s="66">
        <f>INDEX(Projects[Controls Eng (wks)],440)</f>
        <v/>
      </c>
      <c r="O441" s="66">
        <f>INDEX(Projects[Systems Eng (wks)],440)</f>
        <v/>
      </c>
      <c r="P441" s="66">
        <f>INDEX(Projects[Software Eng (wks)],440)</f>
        <v/>
      </c>
      <c r="Q441" s="66">
        <f>INDEX(Projects[M&amp;E Installation (wks)],440)</f>
        <v/>
      </c>
      <c r="R441" s="66">
        <f>INDEX(Projects[Commissioning (wks)],440)</f>
        <v/>
      </c>
      <c r="S441" s="66">
        <f>INDEX(Projects[Total Timeline (wks)],440)</f>
        <v/>
      </c>
      <c r="T441" s="66">
        <f>INDEX(Projects[Currency],440)&amp;""</f>
        <v/>
      </c>
      <c r="U441" s="67">
        <f>INDEX(Projects[Value (M)],440)</f>
        <v/>
      </c>
      <c r="V441" s="66">
        <f>IF('Smart Search'!B13=1,IFERROR(1/'Smart Search'!H13,0),0)</f>
        <v/>
      </c>
      <c r="W441" s="66">
        <f>IF('Smart Search'!B13=1,IFERROR(1/'Smart Search'!H13,0),0)</f>
        <v/>
      </c>
      <c r="X441" s="66">
        <f>IF('Smart Search'!C13=1,IFERROR(1/'Smart Search'!H13,0),0)</f>
        <v/>
      </c>
      <c r="Y441" s="66">
        <f>IF('Smart Search'!C13=1,IFERROR(1/'Smart Search'!H13,0),0)</f>
        <v/>
      </c>
      <c r="Z441" s="66">
        <f>IF('Smart Search'!D13=1,IFERROR(1/'Smart Search'!H13,0),0)</f>
        <v/>
      </c>
      <c r="AA441" s="66">
        <f>IF('Smart Search'!D13=1,IFERROR(1/'Smart Search'!H13,0),0)</f>
        <v/>
      </c>
      <c r="AB441" s="66">
        <f>IF('Smart Search'!E13=1,IFERROR(1/'Smart Search'!H13,0),0)</f>
        <v/>
      </c>
      <c r="AC441" s="66">
        <f>IF('Smart Search'!E13=1,IFERROR(1/'Smart Search'!H13,0),0)</f>
        <v/>
      </c>
      <c r="AD441" s="66">
        <f>IF('Smart Search'!F13=1,IFERROR(1/'Smart Search'!H13,0),0)</f>
        <v/>
      </c>
      <c r="AE441" s="66">
        <f>IF('Smart Search'!F13=1,IFERROR(1/'Smart Search'!H13,0),0)</f>
        <v/>
      </c>
      <c r="AF441" s="66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66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66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66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66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66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66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66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66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66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66">
        <f>AF441*V441</f>
        <v/>
      </c>
      <c r="AQ441" s="66">
        <f>AG441*W441</f>
        <v/>
      </c>
      <c r="AR441" s="66">
        <f>AH441*X441</f>
        <v/>
      </c>
      <c r="AS441" s="66">
        <f>AI441*Y441</f>
        <v/>
      </c>
      <c r="AT441" s="66">
        <f>AJ441*Z441</f>
        <v/>
      </c>
      <c r="AU441" s="66">
        <f>AK441*AA441</f>
        <v/>
      </c>
      <c r="AV441" s="66">
        <f>AL441*AB441</f>
        <v/>
      </c>
      <c r="AW441" s="66">
        <f>AM441*AC441</f>
        <v/>
      </c>
      <c r="AX441" s="66">
        <f>AN441*AD441</f>
        <v/>
      </c>
      <c r="AY441" s="66">
        <f>AO441*AE441</f>
        <v/>
      </c>
      <c r="AZ441" s="66">
        <f>INDEX(Projects[Automation Equipment],440)&amp;""</f>
        <v/>
      </c>
      <c r="BA441" s="66">
        <f>IF(OR(A441="",'Smart Search'!H13=0),"",MAX(0,BE441*BF441*MAX(0,1-BG441)))</f>
        <v/>
      </c>
      <c r="BB441" s="66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66">
        <f>IF('Smart Search'!G13=1,IFERROR(1/'Smart Search'!H13,0),0)</f>
        <v/>
      </c>
      <c r="BD441" s="66">
        <f>BB441*BC441</f>
        <v/>
      </c>
      <c r="BE441" s="66">
        <f>AP441+AQ441+AR441+AS441+AT441+AU441+AV441+AW441+AX441+AY441+BD441</f>
        <v/>
      </c>
      <c r="BF441" s="5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5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5">
        <f>IF(AND(A441&lt;&gt;"",OR('Smart Search'!$L$5="",'Smart Search'!$L$5="All",TRIM(BZ441)=TRIM('Smart Search'!$L$5)),OR(TRIM('Smart Search'!$L$6)="",TRIM('Smart Search'!$L$6)="All",ISNUMBER(SEARCH(SUBSTITUTE(SUBSTITUTE(SUBSTITUTE(TRIM('Smart Search'!$L$6),"~","~~"),"*","~*"),"?","~?"),CA441))),OR('Smart Search'!$L$7="",AND(CB441&lt;&gt;0,CB441='Smart Search'!$L$7)),OR('Smart Search'!$L$8="",'Smart Search'!$L$8="All",TRIM(CC441)=TRIM('Smart Search'!$L$8))),IF(BA441="","",BA441+ROW()*0.0000000001),"")</f>
        <v/>
      </c>
      <c r="BI441" s="5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5">
        <f>IF(A441="","",N(INDEX(Projects[Mech Inst],440)))</f>
        <v/>
      </c>
      <c r="BK441" s="5">
        <f>IF(A441="","",N(INDEX(Projects[Elec Inst],440)))</f>
        <v/>
      </c>
      <c r="BL441" s="5">
        <f>IF(A441="","",N(INDEX(Projects[Project Management],440)))</f>
        <v/>
      </c>
      <c r="BM441" s="5">
        <f>IF(A441="","",N(INDEX(Projects[Systems Eng],440)))</f>
        <v/>
      </c>
      <c r="BN441" s="5">
        <f>IF(A441="","",N(INDEX(Projects[Mechanical Eng],440)))</f>
        <v/>
      </c>
      <c r="BO441" s="5">
        <f>IF(A441="","",N(INDEX(Projects[Structural Engineering],440)))</f>
        <v/>
      </c>
      <c r="BP441" s="5">
        <f>IF(A441="","",N(INDEX(Projects[Site Sup],440)))</f>
        <v/>
      </c>
      <c r="BQ441" s="5">
        <f>IF(A441="","",N(INDEX(Projects[Controls Commissioning],440)))</f>
        <v/>
      </c>
      <c r="BR441" s="5">
        <f>IF(A441="","",N(INDEX(Projects[Systems Commissioning],440)))</f>
        <v/>
      </c>
      <c r="BS441" s="5">
        <f>IF(A441="","",N(INDEX(Projects[Service Commissioning],440)))</f>
        <v/>
      </c>
      <c r="BT441" s="5">
        <f>IF(A441="","",N(INDEX(Projects[Controls Eng],440)))</f>
        <v/>
      </c>
      <c r="BU441" s="5">
        <f>IF(A441="","",N(INDEX(Projects[Controls Purchase],440)))</f>
        <v/>
      </c>
      <c r="BV441" s="5">
        <f>IF(A441="","",N(INDEX(Projects[Software Eng],440)))</f>
        <v/>
      </c>
      <c r="BW441" s="5">
        <f>IF(A441="","",N(INDEX(Projects[Misc],440)))</f>
        <v/>
      </c>
      <c r="BX441" s="5">
        <f>IF(A441="","",SUM(BJ441:BW441))</f>
        <v/>
      </c>
      <c r="BY441" s="5">
        <f>IF(A441="","",IFERROR(IF(ISNUMBER(U441),U441,VALUE(SUBSTITUTE(SUBSTITUTE(SUBSTITUTE(UPPER(TRIM(U441)),"M",""),",","")," ",""))),0))</f>
        <v/>
      </c>
      <c r="BZ441" s="5">
        <f>INDEX(Projects[Solution Type],440)&amp;""</f>
        <v/>
      </c>
      <c r="CA441" s="5">
        <f>INDEX(Projects[Client / Region],440)&amp;""</f>
        <v/>
      </c>
      <c r="CB441" s="5">
        <f>INDEX(Projects[Year],440)</f>
        <v/>
      </c>
      <c r="CC441" s="5">
        <f>INDEX(Projects[Won?],440)&amp;""</f>
        <v/>
      </c>
      <c r="CD441" s="5">
        <f>INDEX(Projects[Value (USD M)],440)</f>
        <v/>
      </c>
    </row>
    <row r="442" ht="15" customHeight="1" s="74">
      <c r="A442" s="66">
        <f>INDEX(Projects[Project ID *],441)&amp;""</f>
        <v/>
      </c>
      <c r="B442" s="66">
        <f>INDEX(Projects[Project Name *],441)&amp;""</f>
        <v/>
      </c>
      <c r="C442" s="66">
        <f>INDEX(Projects[MS Shuttles],441)</f>
        <v/>
      </c>
      <c r="D442" s="66">
        <f>INDEX(Projects[MS Tote Locations],441)</f>
        <v/>
      </c>
      <c r="E442" s="66">
        <f>INDEX(Projects[AS Robots],441)</f>
        <v/>
      </c>
      <c r="F442" s="66">
        <f>INDEX(Projects[AS Tote Locations],441)</f>
        <v/>
      </c>
      <c r="G442" s="66">
        <f>INDEX(Projects[PS Shuttles],441)</f>
        <v/>
      </c>
      <c r="H442" s="66">
        <f>INDEX(Projects[PS Pallet Locations],441)</f>
        <v/>
      </c>
      <c r="I442" s="66">
        <f>INDEX(Projects[SRM Cranes],441)</f>
        <v/>
      </c>
      <c r="J442" s="66">
        <f>INDEX(Projects[SRM Pallet Locations],441)</f>
        <v/>
      </c>
      <c r="K442" s="66">
        <f>INDEX(Projects[Case Conv (m)],441)</f>
        <v/>
      </c>
      <c r="L442" s="66">
        <f>INDEX(Projects[Pallet Conv (m)],441)</f>
        <v/>
      </c>
      <c r="M442" s="66">
        <f>INDEX(Projects[Mech Eng (wks)],441)</f>
        <v/>
      </c>
      <c r="N442" s="66">
        <f>INDEX(Projects[Controls Eng (wks)],441)</f>
        <v/>
      </c>
      <c r="O442" s="66">
        <f>INDEX(Projects[Systems Eng (wks)],441)</f>
        <v/>
      </c>
      <c r="P442" s="66">
        <f>INDEX(Projects[Software Eng (wks)],441)</f>
        <v/>
      </c>
      <c r="Q442" s="66">
        <f>INDEX(Projects[M&amp;E Installation (wks)],441)</f>
        <v/>
      </c>
      <c r="R442" s="66">
        <f>INDEX(Projects[Commissioning (wks)],441)</f>
        <v/>
      </c>
      <c r="S442" s="66">
        <f>INDEX(Projects[Total Timeline (wks)],441)</f>
        <v/>
      </c>
      <c r="T442" s="66">
        <f>INDEX(Projects[Currency],441)&amp;""</f>
        <v/>
      </c>
      <c r="U442" s="67">
        <f>INDEX(Projects[Value (M)],441)</f>
        <v/>
      </c>
      <c r="V442" s="66">
        <f>IF('Smart Search'!B13=1,IFERROR(1/'Smart Search'!H13,0),0)</f>
        <v/>
      </c>
      <c r="W442" s="66">
        <f>IF('Smart Search'!B13=1,IFERROR(1/'Smart Search'!H13,0),0)</f>
        <v/>
      </c>
      <c r="X442" s="66">
        <f>IF('Smart Search'!C13=1,IFERROR(1/'Smart Search'!H13,0),0)</f>
        <v/>
      </c>
      <c r="Y442" s="66">
        <f>IF('Smart Search'!C13=1,IFERROR(1/'Smart Search'!H13,0),0)</f>
        <v/>
      </c>
      <c r="Z442" s="66">
        <f>IF('Smart Search'!D13=1,IFERROR(1/'Smart Search'!H13,0),0)</f>
        <v/>
      </c>
      <c r="AA442" s="66">
        <f>IF('Smart Search'!D13=1,IFERROR(1/'Smart Search'!H13,0),0)</f>
        <v/>
      </c>
      <c r="AB442" s="66">
        <f>IF('Smart Search'!E13=1,IFERROR(1/'Smart Search'!H13,0),0)</f>
        <v/>
      </c>
      <c r="AC442" s="66">
        <f>IF('Smart Search'!E13=1,IFERROR(1/'Smart Search'!H13,0),0)</f>
        <v/>
      </c>
      <c r="AD442" s="66">
        <f>IF('Smart Search'!F13=1,IFERROR(1/'Smart Search'!H13,0),0)</f>
        <v/>
      </c>
      <c r="AE442" s="66">
        <f>IF('Smart Search'!F13=1,IFERROR(1/'Smart Search'!H13,0),0)</f>
        <v/>
      </c>
      <c r="AF442" s="66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66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66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66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66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66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66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66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66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66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66">
        <f>AF442*V442</f>
        <v/>
      </c>
      <c r="AQ442" s="66">
        <f>AG442*W442</f>
        <v/>
      </c>
      <c r="AR442" s="66">
        <f>AH442*X442</f>
        <v/>
      </c>
      <c r="AS442" s="66">
        <f>AI442*Y442</f>
        <v/>
      </c>
      <c r="AT442" s="66">
        <f>AJ442*Z442</f>
        <v/>
      </c>
      <c r="AU442" s="66">
        <f>AK442*AA442</f>
        <v/>
      </c>
      <c r="AV442" s="66">
        <f>AL442*AB442</f>
        <v/>
      </c>
      <c r="AW442" s="66">
        <f>AM442*AC442</f>
        <v/>
      </c>
      <c r="AX442" s="66">
        <f>AN442*AD442</f>
        <v/>
      </c>
      <c r="AY442" s="66">
        <f>AO442*AE442</f>
        <v/>
      </c>
      <c r="AZ442" s="66">
        <f>INDEX(Projects[Automation Equipment],441)&amp;""</f>
        <v/>
      </c>
      <c r="BA442" s="66">
        <f>IF(OR(A442="",'Smart Search'!H13=0),"",MAX(0,BE442*BF442*MAX(0,1-BG442)))</f>
        <v/>
      </c>
      <c r="BB442" s="66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66">
        <f>IF('Smart Search'!G13=1,IFERROR(1/'Smart Search'!H13,0),0)</f>
        <v/>
      </c>
      <c r="BD442" s="66">
        <f>BB442*BC442</f>
        <v/>
      </c>
      <c r="BE442" s="66">
        <f>AP442+AQ442+AR442+AS442+AT442+AU442+AV442+AW442+AX442+AY442+BD442</f>
        <v/>
      </c>
      <c r="BF442" s="5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5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5">
        <f>IF(AND(A442&lt;&gt;"",OR('Smart Search'!$L$5="",'Smart Search'!$L$5="All",TRIM(BZ442)=TRIM('Smart Search'!$L$5)),OR(TRIM('Smart Search'!$L$6)="",TRIM('Smart Search'!$L$6)="All",ISNUMBER(SEARCH(SUBSTITUTE(SUBSTITUTE(SUBSTITUTE(TRIM('Smart Search'!$L$6),"~","~~"),"*","~*"),"?","~?"),CA442))),OR('Smart Search'!$L$7="",AND(CB442&lt;&gt;0,CB442='Smart Search'!$L$7)),OR('Smart Search'!$L$8="",'Smart Search'!$L$8="All",TRIM(CC442)=TRIM('Smart Search'!$L$8))),IF(BA442="","",BA442+ROW()*0.0000000001),"")</f>
        <v/>
      </c>
      <c r="BI442" s="5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5">
        <f>IF(A442="","",N(INDEX(Projects[Mech Inst],441)))</f>
        <v/>
      </c>
      <c r="BK442" s="5">
        <f>IF(A442="","",N(INDEX(Projects[Elec Inst],441)))</f>
        <v/>
      </c>
      <c r="BL442" s="5">
        <f>IF(A442="","",N(INDEX(Projects[Project Management],441)))</f>
        <v/>
      </c>
      <c r="BM442" s="5">
        <f>IF(A442="","",N(INDEX(Projects[Systems Eng],441)))</f>
        <v/>
      </c>
      <c r="BN442" s="5">
        <f>IF(A442="","",N(INDEX(Projects[Mechanical Eng],441)))</f>
        <v/>
      </c>
      <c r="BO442" s="5">
        <f>IF(A442="","",N(INDEX(Projects[Structural Engineering],441)))</f>
        <v/>
      </c>
      <c r="BP442" s="5">
        <f>IF(A442="","",N(INDEX(Projects[Site Sup],441)))</f>
        <v/>
      </c>
      <c r="BQ442" s="5">
        <f>IF(A442="","",N(INDEX(Projects[Controls Commissioning],441)))</f>
        <v/>
      </c>
      <c r="BR442" s="5">
        <f>IF(A442="","",N(INDEX(Projects[Systems Commissioning],441)))</f>
        <v/>
      </c>
      <c r="BS442" s="5">
        <f>IF(A442="","",N(INDEX(Projects[Service Commissioning],441)))</f>
        <v/>
      </c>
      <c r="BT442" s="5">
        <f>IF(A442="","",N(INDEX(Projects[Controls Eng],441)))</f>
        <v/>
      </c>
      <c r="BU442" s="5">
        <f>IF(A442="","",N(INDEX(Projects[Controls Purchase],441)))</f>
        <v/>
      </c>
      <c r="BV442" s="5">
        <f>IF(A442="","",N(INDEX(Projects[Software Eng],441)))</f>
        <v/>
      </c>
      <c r="BW442" s="5">
        <f>IF(A442="","",N(INDEX(Projects[Misc],441)))</f>
        <v/>
      </c>
      <c r="BX442" s="5">
        <f>IF(A442="","",SUM(BJ442:BW442))</f>
        <v/>
      </c>
      <c r="BY442" s="5">
        <f>IF(A442="","",IFERROR(IF(ISNUMBER(U442),U442,VALUE(SUBSTITUTE(SUBSTITUTE(SUBSTITUTE(UPPER(TRIM(U442)),"M",""),",","")," ",""))),0))</f>
        <v/>
      </c>
      <c r="BZ442" s="5">
        <f>INDEX(Projects[Solution Type],441)&amp;""</f>
        <v/>
      </c>
      <c r="CA442" s="5">
        <f>INDEX(Projects[Client / Region],441)&amp;""</f>
        <v/>
      </c>
      <c r="CB442" s="5">
        <f>INDEX(Projects[Year],441)</f>
        <v/>
      </c>
      <c r="CC442" s="5">
        <f>INDEX(Projects[Won?],441)&amp;""</f>
        <v/>
      </c>
      <c r="CD442" s="5">
        <f>INDEX(Projects[Value (USD M)],441)</f>
        <v/>
      </c>
    </row>
    <row r="443" ht="15" customHeight="1" s="74">
      <c r="A443" s="66">
        <f>INDEX(Projects[Project ID *],442)&amp;""</f>
        <v/>
      </c>
      <c r="B443" s="66">
        <f>INDEX(Projects[Project Name *],442)&amp;""</f>
        <v/>
      </c>
      <c r="C443" s="66">
        <f>INDEX(Projects[MS Shuttles],442)</f>
        <v/>
      </c>
      <c r="D443" s="66">
        <f>INDEX(Projects[MS Tote Locations],442)</f>
        <v/>
      </c>
      <c r="E443" s="66">
        <f>INDEX(Projects[AS Robots],442)</f>
        <v/>
      </c>
      <c r="F443" s="66">
        <f>INDEX(Projects[AS Tote Locations],442)</f>
        <v/>
      </c>
      <c r="G443" s="66">
        <f>INDEX(Projects[PS Shuttles],442)</f>
        <v/>
      </c>
      <c r="H443" s="66">
        <f>INDEX(Projects[PS Pallet Locations],442)</f>
        <v/>
      </c>
      <c r="I443" s="66">
        <f>INDEX(Projects[SRM Cranes],442)</f>
        <v/>
      </c>
      <c r="J443" s="66">
        <f>INDEX(Projects[SRM Pallet Locations],442)</f>
        <v/>
      </c>
      <c r="K443" s="66">
        <f>INDEX(Projects[Case Conv (m)],442)</f>
        <v/>
      </c>
      <c r="L443" s="66">
        <f>INDEX(Projects[Pallet Conv (m)],442)</f>
        <v/>
      </c>
      <c r="M443" s="66">
        <f>INDEX(Projects[Mech Eng (wks)],442)</f>
        <v/>
      </c>
      <c r="N443" s="66">
        <f>INDEX(Projects[Controls Eng (wks)],442)</f>
        <v/>
      </c>
      <c r="O443" s="66">
        <f>INDEX(Projects[Systems Eng (wks)],442)</f>
        <v/>
      </c>
      <c r="P443" s="66">
        <f>INDEX(Projects[Software Eng (wks)],442)</f>
        <v/>
      </c>
      <c r="Q443" s="66">
        <f>INDEX(Projects[M&amp;E Installation (wks)],442)</f>
        <v/>
      </c>
      <c r="R443" s="66">
        <f>INDEX(Projects[Commissioning (wks)],442)</f>
        <v/>
      </c>
      <c r="S443" s="66">
        <f>INDEX(Projects[Total Timeline (wks)],442)</f>
        <v/>
      </c>
      <c r="T443" s="66">
        <f>INDEX(Projects[Currency],442)&amp;""</f>
        <v/>
      </c>
      <c r="U443" s="67">
        <f>INDEX(Projects[Value (M)],442)</f>
        <v/>
      </c>
      <c r="V443" s="66">
        <f>IF('Smart Search'!B13=1,IFERROR(1/'Smart Search'!H13,0),0)</f>
        <v/>
      </c>
      <c r="W443" s="66">
        <f>IF('Smart Search'!B13=1,IFERROR(1/'Smart Search'!H13,0),0)</f>
        <v/>
      </c>
      <c r="X443" s="66">
        <f>IF('Smart Search'!C13=1,IFERROR(1/'Smart Search'!H13,0),0)</f>
        <v/>
      </c>
      <c r="Y443" s="66">
        <f>IF('Smart Search'!C13=1,IFERROR(1/'Smart Search'!H13,0),0)</f>
        <v/>
      </c>
      <c r="Z443" s="66">
        <f>IF('Smart Search'!D13=1,IFERROR(1/'Smart Search'!H13,0),0)</f>
        <v/>
      </c>
      <c r="AA443" s="66">
        <f>IF('Smart Search'!D13=1,IFERROR(1/'Smart Search'!H13,0),0)</f>
        <v/>
      </c>
      <c r="AB443" s="66">
        <f>IF('Smart Search'!E13=1,IFERROR(1/'Smart Search'!H13,0),0)</f>
        <v/>
      </c>
      <c r="AC443" s="66">
        <f>IF('Smart Search'!E13=1,IFERROR(1/'Smart Search'!H13,0),0)</f>
        <v/>
      </c>
      <c r="AD443" s="66">
        <f>IF('Smart Search'!F13=1,IFERROR(1/'Smart Search'!H13,0),0)</f>
        <v/>
      </c>
      <c r="AE443" s="66">
        <f>IF('Smart Search'!F13=1,IFERROR(1/'Smart Search'!H13,0),0)</f>
        <v/>
      </c>
      <c r="AF443" s="66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66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66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66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66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66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66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66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66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66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66">
        <f>AF443*V443</f>
        <v/>
      </c>
      <c r="AQ443" s="66">
        <f>AG443*W443</f>
        <v/>
      </c>
      <c r="AR443" s="66">
        <f>AH443*X443</f>
        <v/>
      </c>
      <c r="AS443" s="66">
        <f>AI443*Y443</f>
        <v/>
      </c>
      <c r="AT443" s="66">
        <f>AJ443*Z443</f>
        <v/>
      </c>
      <c r="AU443" s="66">
        <f>AK443*AA443</f>
        <v/>
      </c>
      <c r="AV443" s="66">
        <f>AL443*AB443</f>
        <v/>
      </c>
      <c r="AW443" s="66">
        <f>AM443*AC443</f>
        <v/>
      </c>
      <c r="AX443" s="66">
        <f>AN443*AD443</f>
        <v/>
      </c>
      <c r="AY443" s="66">
        <f>AO443*AE443</f>
        <v/>
      </c>
      <c r="AZ443" s="66">
        <f>INDEX(Projects[Automation Equipment],442)&amp;""</f>
        <v/>
      </c>
      <c r="BA443" s="66">
        <f>IF(OR(A443="",'Smart Search'!H13=0),"",MAX(0,BE443*BF443*MAX(0,1-BG443)))</f>
        <v/>
      </c>
      <c r="BB443" s="66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66">
        <f>IF('Smart Search'!G13=1,IFERROR(1/'Smart Search'!H13,0),0)</f>
        <v/>
      </c>
      <c r="BD443" s="66">
        <f>BB443*BC443</f>
        <v/>
      </c>
      <c r="BE443" s="66">
        <f>AP443+AQ443+AR443+AS443+AT443+AU443+AV443+AW443+AX443+AY443+BD443</f>
        <v/>
      </c>
      <c r="BF443" s="5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5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5">
        <f>IF(AND(A443&lt;&gt;"",OR('Smart Search'!$L$5="",'Smart Search'!$L$5="All",TRIM(BZ443)=TRIM('Smart Search'!$L$5)),OR(TRIM('Smart Search'!$L$6)="",TRIM('Smart Search'!$L$6)="All",ISNUMBER(SEARCH(SUBSTITUTE(SUBSTITUTE(SUBSTITUTE(TRIM('Smart Search'!$L$6),"~","~~"),"*","~*"),"?","~?"),CA443))),OR('Smart Search'!$L$7="",AND(CB443&lt;&gt;0,CB443='Smart Search'!$L$7)),OR('Smart Search'!$L$8="",'Smart Search'!$L$8="All",TRIM(CC443)=TRIM('Smart Search'!$L$8))),IF(BA443="","",BA443+ROW()*0.0000000001),"")</f>
        <v/>
      </c>
      <c r="BI443" s="5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5">
        <f>IF(A443="","",N(INDEX(Projects[Mech Inst],442)))</f>
        <v/>
      </c>
      <c r="BK443" s="5">
        <f>IF(A443="","",N(INDEX(Projects[Elec Inst],442)))</f>
        <v/>
      </c>
      <c r="BL443" s="5">
        <f>IF(A443="","",N(INDEX(Projects[Project Management],442)))</f>
        <v/>
      </c>
      <c r="BM443" s="5">
        <f>IF(A443="","",N(INDEX(Projects[Systems Eng],442)))</f>
        <v/>
      </c>
      <c r="BN443" s="5">
        <f>IF(A443="","",N(INDEX(Projects[Mechanical Eng],442)))</f>
        <v/>
      </c>
      <c r="BO443" s="5">
        <f>IF(A443="","",N(INDEX(Projects[Structural Engineering],442)))</f>
        <v/>
      </c>
      <c r="BP443" s="5">
        <f>IF(A443="","",N(INDEX(Projects[Site Sup],442)))</f>
        <v/>
      </c>
      <c r="BQ443" s="5">
        <f>IF(A443="","",N(INDEX(Projects[Controls Commissioning],442)))</f>
        <v/>
      </c>
      <c r="BR443" s="5">
        <f>IF(A443="","",N(INDEX(Projects[Systems Commissioning],442)))</f>
        <v/>
      </c>
      <c r="BS443" s="5">
        <f>IF(A443="","",N(INDEX(Projects[Service Commissioning],442)))</f>
        <v/>
      </c>
      <c r="BT443" s="5">
        <f>IF(A443="","",N(INDEX(Projects[Controls Eng],442)))</f>
        <v/>
      </c>
      <c r="BU443" s="5">
        <f>IF(A443="","",N(INDEX(Projects[Controls Purchase],442)))</f>
        <v/>
      </c>
      <c r="BV443" s="5">
        <f>IF(A443="","",N(INDEX(Projects[Software Eng],442)))</f>
        <v/>
      </c>
      <c r="BW443" s="5">
        <f>IF(A443="","",N(INDEX(Projects[Misc],442)))</f>
        <v/>
      </c>
      <c r="BX443" s="5">
        <f>IF(A443="","",SUM(BJ443:BW443))</f>
        <v/>
      </c>
      <c r="BY443" s="5">
        <f>IF(A443="","",IFERROR(IF(ISNUMBER(U443),U443,VALUE(SUBSTITUTE(SUBSTITUTE(SUBSTITUTE(UPPER(TRIM(U443)),"M",""),",","")," ",""))),0))</f>
        <v/>
      </c>
      <c r="BZ443" s="5">
        <f>INDEX(Projects[Solution Type],442)&amp;""</f>
        <v/>
      </c>
      <c r="CA443" s="5">
        <f>INDEX(Projects[Client / Region],442)&amp;""</f>
        <v/>
      </c>
      <c r="CB443" s="5">
        <f>INDEX(Projects[Year],442)</f>
        <v/>
      </c>
      <c r="CC443" s="5">
        <f>INDEX(Projects[Won?],442)&amp;""</f>
        <v/>
      </c>
      <c r="CD443" s="5">
        <f>INDEX(Projects[Value (USD M)],442)</f>
        <v/>
      </c>
    </row>
    <row r="444" ht="15" customHeight="1" s="74">
      <c r="A444" s="66">
        <f>INDEX(Projects[Project ID *],443)&amp;""</f>
        <v/>
      </c>
      <c r="B444" s="66">
        <f>INDEX(Projects[Project Name *],443)&amp;""</f>
        <v/>
      </c>
      <c r="C444" s="66">
        <f>INDEX(Projects[MS Shuttles],443)</f>
        <v/>
      </c>
      <c r="D444" s="66">
        <f>INDEX(Projects[MS Tote Locations],443)</f>
        <v/>
      </c>
      <c r="E444" s="66">
        <f>INDEX(Projects[AS Robots],443)</f>
        <v/>
      </c>
      <c r="F444" s="66">
        <f>INDEX(Projects[AS Tote Locations],443)</f>
        <v/>
      </c>
      <c r="G444" s="66">
        <f>INDEX(Projects[PS Shuttles],443)</f>
        <v/>
      </c>
      <c r="H444" s="66">
        <f>INDEX(Projects[PS Pallet Locations],443)</f>
        <v/>
      </c>
      <c r="I444" s="66">
        <f>INDEX(Projects[SRM Cranes],443)</f>
        <v/>
      </c>
      <c r="J444" s="66">
        <f>INDEX(Projects[SRM Pallet Locations],443)</f>
        <v/>
      </c>
      <c r="K444" s="66">
        <f>INDEX(Projects[Case Conv (m)],443)</f>
        <v/>
      </c>
      <c r="L444" s="66">
        <f>INDEX(Projects[Pallet Conv (m)],443)</f>
        <v/>
      </c>
      <c r="M444" s="66">
        <f>INDEX(Projects[Mech Eng (wks)],443)</f>
        <v/>
      </c>
      <c r="N444" s="66">
        <f>INDEX(Projects[Controls Eng (wks)],443)</f>
        <v/>
      </c>
      <c r="O444" s="66">
        <f>INDEX(Projects[Systems Eng (wks)],443)</f>
        <v/>
      </c>
      <c r="P444" s="66">
        <f>INDEX(Projects[Software Eng (wks)],443)</f>
        <v/>
      </c>
      <c r="Q444" s="66">
        <f>INDEX(Projects[M&amp;E Installation (wks)],443)</f>
        <v/>
      </c>
      <c r="R444" s="66">
        <f>INDEX(Projects[Commissioning (wks)],443)</f>
        <v/>
      </c>
      <c r="S444" s="66">
        <f>INDEX(Projects[Total Timeline (wks)],443)</f>
        <v/>
      </c>
      <c r="T444" s="66">
        <f>INDEX(Projects[Currency],443)&amp;""</f>
        <v/>
      </c>
      <c r="U444" s="67">
        <f>INDEX(Projects[Value (M)],443)</f>
        <v/>
      </c>
      <c r="V444" s="66">
        <f>IF('Smart Search'!B13=1,IFERROR(1/'Smart Search'!H13,0),0)</f>
        <v/>
      </c>
      <c r="W444" s="66">
        <f>IF('Smart Search'!B13=1,IFERROR(1/'Smart Search'!H13,0),0)</f>
        <v/>
      </c>
      <c r="X444" s="66">
        <f>IF('Smart Search'!C13=1,IFERROR(1/'Smart Search'!H13,0),0)</f>
        <v/>
      </c>
      <c r="Y444" s="66">
        <f>IF('Smart Search'!C13=1,IFERROR(1/'Smart Search'!H13,0),0)</f>
        <v/>
      </c>
      <c r="Z444" s="66">
        <f>IF('Smart Search'!D13=1,IFERROR(1/'Smart Search'!H13,0),0)</f>
        <v/>
      </c>
      <c r="AA444" s="66">
        <f>IF('Smart Search'!D13=1,IFERROR(1/'Smart Search'!H13,0),0)</f>
        <v/>
      </c>
      <c r="AB444" s="66">
        <f>IF('Smart Search'!E13=1,IFERROR(1/'Smart Search'!H13,0),0)</f>
        <v/>
      </c>
      <c r="AC444" s="66">
        <f>IF('Smart Search'!E13=1,IFERROR(1/'Smart Search'!H13,0),0)</f>
        <v/>
      </c>
      <c r="AD444" s="66">
        <f>IF('Smart Search'!F13=1,IFERROR(1/'Smart Search'!H13,0),0)</f>
        <v/>
      </c>
      <c r="AE444" s="66">
        <f>IF('Smart Search'!F13=1,IFERROR(1/'Smart Search'!H13,0),0)</f>
        <v/>
      </c>
      <c r="AF444" s="66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66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66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66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66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66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66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66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66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66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66">
        <f>AF444*V444</f>
        <v/>
      </c>
      <c r="AQ444" s="66">
        <f>AG444*W444</f>
        <v/>
      </c>
      <c r="AR444" s="66">
        <f>AH444*X444</f>
        <v/>
      </c>
      <c r="AS444" s="66">
        <f>AI444*Y444</f>
        <v/>
      </c>
      <c r="AT444" s="66">
        <f>AJ444*Z444</f>
        <v/>
      </c>
      <c r="AU444" s="66">
        <f>AK444*AA444</f>
        <v/>
      </c>
      <c r="AV444" s="66">
        <f>AL444*AB444</f>
        <v/>
      </c>
      <c r="AW444" s="66">
        <f>AM444*AC444</f>
        <v/>
      </c>
      <c r="AX444" s="66">
        <f>AN444*AD444</f>
        <v/>
      </c>
      <c r="AY444" s="66">
        <f>AO444*AE444</f>
        <v/>
      </c>
      <c r="AZ444" s="66">
        <f>INDEX(Projects[Automation Equipment],443)&amp;""</f>
        <v/>
      </c>
      <c r="BA444" s="66">
        <f>IF(OR(A444="",'Smart Search'!H13=0),"",MAX(0,BE444*BF444*MAX(0,1-BG444)))</f>
        <v/>
      </c>
      <c r="BB444" s="66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66">
        <f>IF('Smart Search'!G13=1,IFERROR(1/'Smart Search'!H13,0),0)</f>
        <v/>
      </c>
      <c r="BD444" s="66">
        <f>BB444*BC444</f>
        <v/>
      </c>
      <c r="BE444" s="66">
        <f>AP444+AQ444+AR444+AS444+AT444+AU444+AV444+AW444+AX444+AY444+BD444</f>
        <v/>
      </c>
      <c r="BF444" s="5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5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5">
        <f>IF(AND(A444&lt;&gt;"",OR('Smart Search'!$L$5="",'Smart Search'!$L$5="All",TRIM(BZ444)=TRIM('Smart Search'!$L$5)),OR(TRIM('Smart Search'!$L$6)="",TRIM('Smart Search'!$L$6)="All",ISNUMBER(SEARCH(SUBSTITUTE(SUBSTITUTE(SUBSTITUTE(TRIM('Smart Search'!$L$6),"~","~~"),"*","~*"),"?","~?"),CA444))),OR('Smart Search'!$L$7="",AND(CB444&lt;&gt;0,CB444='Smart Search'!$L$7)),OR('Smart Search'!$L$8="",'Smart Search'!$L$8="All",TRIM(CC444)=TRIM('Smart Search'!$L$8))),IF(BA444="","",BA444+ROW()*0.0000000001),"")</f>
        <v/>
      </c>
      <c r="BI444" s="5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5">
        <f>IF(A444="","",N(INDEX(Projects[Mech Inst],443)))</f>
        <v/>
      </c>
      <c r="BK444" s="5">
        <f>IF(A444="","",N(INDEX(Projects[Elec Inst],443)))</f>
        <v/>
      </c>
      <c r="BL444" s="5">
        <f>IF(A444="","",N(INDEX(Projects[Project Management],443)))</f>
        <v/>
      </c>
      <c r="BM444" s="5">
        <f>IF(A444="","",N(INDEX(Projects[Systems Eng],443)))</f>
        <v/>
      </c>
      <c r="BN444" s="5">
        <f>IF(A444="","",N(INDEX(Projects[Mechanical Eng],443)))</f>
        <v/>
      </c>
      <c r="BO444" s="5">
        <f>IF(A444="","",N(INDEX(Projects[Structural Engineering],443)))</f>
        <v/>
      </c>
      <c r="BP444" s="5">
        <f>IF(A444="","",N(INDEX(Projects[Site Sup],443)))</f>
        <v/>
      </c>
      <c r="BQ444" s="5">
        <f>IF(A444="","",N(INDEX(Projects[Controls Commissioning],443)))</f>
        <v/>
      </c>
      <c r="BR444" s="5">
        <f>IF(A444="","",N(INDEX(Projects[Systems Commissioning],443)))</f>
        <v/>
      </c>
      <c r="BS444" s="5">
        <f>IF(A444="","",N(INDEX(Projects[Service Commissioning],443)))</f>
        <v/>
      </c>
      <c r="BT444" s="5">
        <f>IF(A444="","",N(INDEX(Projects[Controls Eng],443)))</f>
        <v/>
      </c>
      <c r="BU444" s="5">
        <f>IF(A444="","",N(INDEX(Projects[Controls Purchase],443)))</f>
        <v/>
      </c>
      <c r="BV444" s="5">
        <f>IF(A444="","",N(INDEX(Projects[Software Eng],443)))</f>
        <v/>
      </c>
      <c r="BW444" s="5">
        <f>IF(A444="","",N(INDEX(Projects[Misc],443)))</f>
        <v/>
      </c>
      <c r="BX444" s="5">
        <f>IF(A444="","",SUM(BJ444:BW444))</f>
        <v/>
      </c>
      <c r="BY444" s="5">
        <f>IF(A444="","",IFERROR(IF(ISNUMBER(U444),U444,VALUE(SUBSTITUTE(SUBSTITUTE(SUBSTITUTE(UPPER(TRIM(U444)),"M",""),",","")," ",""))),0))</f>
        <v/>
      </c>
      <c r="BZ444" s="5">
        <f>INDEX(Projects[Solution Type],443)&amp;""</f>
        <v/>
      </c>
      <c r="CA444" s="5">
        <f>INDEX(Projects[Client / Region],443)&amp;""</f>
        <v/>
      </c>
      <c r="CB444" s="5">
        <f>INDEX(Projects[Year],443)</f>
        <v/>
      </c>
      <c r="CC444" s="5">
        <f>INDEX(Projects[Won?],443)&amp;""</f>
        <v/>
      </c>
      <c r="CD444" s="5">
        <f>INDEX(Projects[Value (USD M)],443)</f>
        <v/>
      </c>
    </row>
    <row r="445" ht="15" customHeight="1" s="74">
      <c r="A445" s="66">
        <f>INDEX(Projects[Project ID *],444)&amp;""</f>
        <v/>
      </c>
      <c r="B445" s="66">
        <f>INDEX(Projects[Project Name *],444)&amp;""</f>
        <v/>
      </c>
      <c r="C445" s="66">
        <f>INDEX(Projects[MS Shuttles],444)</f>
        <v/>
      </c>
      <c r="D445" s="66">
        <f>INDEX(Projects[MS Tote Locations],444)</f>
        <v/>
      </c>
      <c r="E445" s="66">
        <f>INDEX(Projects[AS Robots],444)</f>
        <v/>
      </c>
      <c r="F445" s="66">
        <f>INDEX(Projects[AS Tote Locations],444)</f>
        <v/>
      </c>
      <c r="G445" s="66">
        <f>INDEX(Projects[PS Shuttles],444)</f>
        <v/>
      </c>
      <c r="H445" s="66">
        <f>INDEX(Projects[PS Pallet Locations],444)</f>
        <v/>
      </c>
      <c r="I445" s="66">
        <f>INDEX(Projects[SRM Cranes],444)</f>
        <v/>
      </c>
      <c r="J445" s="66">
        <f>INDEX(Projects[SRM Pallet Locations],444)</f>
        <v/>
      </c>
      <c r="K445" s="66">
        <f>INDEX(Projects[Case Conv (m)],444)</f>
        <v/>
      </c>
      <c r="L445" s="66">
        <f>INDEX(Projects[Pallet Conv (m)],444)</f>
        <v/>
      </c>
      <c r="M445" s="66">
        <f>INDEX(Projects[Mech Eng (wks)],444)</f>
        <v/>
      </c>
      <c r="N445" s="66">
        <f>INDEX(Projects[Controls Eng (wks)],444)</f>
        <v/>
      </c>
      <c r="O445" s="66">
        <f>INDEX(Projects[Systems Eng (wks)],444)</f>
        <v/>
      </c>
      <c r="P445" s="66">
        <f>INDEX(Projects[Software Eng (wks)],444)</f>
        <v/>
      </c>
      <c r="Q445" s="66">
        <f>INDEX(Projects[M&amp;E Installation (wks)],444)</f>
        <v/>
      </c>
      <c r="R445" s="66">
        <f>INDEX(Projects[Commissioning (wks)],444)</f>
        <v/>
      </c>
      <c r="S445" s="66">
        <f>INDEX(Projects[Total Timeline (wks)],444)</f>
        <v/>
      </c>
      <c r="T445" s="66">
        <f>INDEX(Projects[Currency],444)&amp;""</f>
        <v/>
      </c>
      <c r="U445" s="67">
        <f>INDEX(Projects[Value (M)],444)</f>
        <v/>
      </c>
      <c r="V445" s="66">
        <f>IF('Smart Search'!B13=1,IFERROR(1/'Smart Search'!H13,0),0)</f>
        <v/>
      </c>
      <c r="W445" s="66">
        <f>IF('Smart Search'!B13=1,IFERROR(1/'Smart Search'!H13,0),0)</f>
        <v/>
      </c>
      <c r="X445" s="66">
        <f>IF('Smart Search'!C13=1,IFERROR(1/'Smart Search'!H13,0),0)</f>
        <v/>
      </c>
      <c r="Y445" s="66">
        <f>IF('Smart Search'!C13=1,IFERROR(1/'Smart Search'!H13,0),0)</f>
        <v/>
      </c>
      <c r="Z445" s="66">
        <f>IF('Smart Search'!D13=1,IFERROR(1/'Smart Search'!H13,0),0)</f>
        <v/>
      </c>
      <c r="AA445" s="66">
        <f>IF('Smart Search'!D13=1,IFERROR(1/'Smart Search'!H13,0),0)</f>
        <v/>
      </c>
      <c r="AB445" s="66">
        <f>IF('Smart Search'!E13=1,IFERROR(1/'Smart Search'!H13,0),0)</f>
        <v/>
      </c>
      <c r="AC445" s="66">
        <f>IF('Smart Search'!E13=1,IFERROR(1/'Smart Search'!H13,0),0)</f>
        <v/>
      </c>
      <c r="AD445" s="66">
        <f>IF('Smart Search'!F13=1,IFERROR(1/'Smart Search'!H13,0),0)</f>
        <v/>
      </c>
      <c r="AE445" s="66">
        <f>IF('Smart Search'!F13=1,IFERROR(1/'Smart Search'!H13,0),0)</f>
        <v/>
      </c>
      <c r="AF445" s="66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66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66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66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66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66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66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66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66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66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66">
        <f>AF445*V445</f>
        <v/>
      </c>
      <c r="AQ445" s="66">
        <f>AG445*W445</f>
        <v/>
      </c>
      <c r="AR445" s="66">
        <f>AH445*X445</f>
        <v/>
      </c>
      <c r="AS445" s="66">
        <f>AI445*Y445</f>
        <v/>
      </c>
      <c r="AT445" s="66">
        <f>AJ445*Z445</f>
        <v/>
      </c>
      <c r="AU445" s="66">
        <f>AK445*AA445</f>
        <v/>
      </c>
      <c r="AV445" s="66">
        <f>AL445*AB445</f>
        <v/>
      </c>
      <c r="AW445" s="66">
        <f>AM445*AC445</f>
        <v/>
      </c>
      <c r="AX445" s="66">
        <f>AN445*AD445</f>
        <v/>
      </c>
      <c r="AY445" s="66">
        <f>AO445*AE445</f>
        <v/>
      </c>
      <c r="AZ445" s="66">
        <f>INDEX(Projects[Automation Equipment],444)&amp;""</f>
        <v/>
      </c>
      <c r="BA445" s="66">
        <f>IF(OR(A445="",'Smart Search'!H13=0),"",MAX(0,BE445*BF445*MAX(0,1-BG445)))</f>
        <v/>
      </c>
      <c r="BB445" s="66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66">
        <f>IF('Smart Search'!G13=1,IFERROR(1/'Smart Search'!H13,0),0)</f>
        <v/>
      </c>
      <c r="BD445" s="66">
        <f>BB445*BC445</f>
        <v/>
      </c>
      <c r="BE445" s="66">
        <f>AP445+AQ445+AR445+AS445+AT445+AU445+AV445+AW445+AX445+AY445+BD445</f>
        <v/>
      </c>
      <c r="BF445" s="5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5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5">
        <f>IF(AND(A445&lt;&gt;"",OR('Smart Search'!$L$5="",'Smart Search'!$L$5="All",TRIM(BZ445)=TRIM('Smart Search'!$L$5)),OR(TRIM('Smart Search'!$L$6)="",TRIM('Smart Search'!$L$6)="All",ISNUMBER(SEARCH(SUBSTITUTE(SUBSTITUTE(SUBSTITUTE(TRIM('Smart Search'!$L$6),"~","~~"),"*","~*"),"?","~?"),CA445))),OR('Smart Search'!$L$7="",AND(CB445&lt;&gt;0,CB445='Smart Search'!$L$7)),OR('Smart Search'!$L$8="",'Smart Search'!$L$8="All",TRIM(CC445)=TRIM('Smart Search'!$L$8))),IF(BA445="","",BA445+ROW()*0.0000000001),"")</f>
        <v/>
      </c>
      <c r="BI445" s="5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5">
        <f>IF(A445="","",N(INDEX(Projects[Mech Inst],444)))</f>
        <v/>
      </c>
      <c r="BK445" s="5">
        <f>IF(A445="","",N(INDEX(Projects[Elec Inst],444)))</f>
        <v/>
      </c>
      <c r="BL445" s="5">
        <f>IF(A445="","",N(INDEX(Projects[Project Management],444)))</f>
        <v/>
      </c>
      <c r="BM445" s="5">
        <f>IF(A445="","",N(INDEX(Projects[Systems Eng],444)))</f>
        <v/>
      </c>
      <c r="BN445" s="5">
        <f>IF(A445="","",N(INDEX(Projects[Mechanical Eng],444)))</f>
        <v/>
      </c>
      <c r="BO445" s="5">
        <f>IF(A445="","",N(INDEX(Projects[Structural Engineering],444)))</f>
        <v/>
      </c>
      <c r="BP445" s="5">
        <f>IF(A445="","",N(INDEX(Projects[Site Sup],444)))</f>
        <v/>
      </c>
      <c r="BQ445" s="5">
        <f>IF(A445="","",N(INDEX(Projects[Controls Commissioning],444)))</f>
        <v/>
      </c>
      <c r="BR445" s="5">
        <f>IF(A445="","",N(INDEX(Projects[Systems Commissioning],444)))</f>
        <v/>
      </c>
      <c r="BS445" s="5">
        <f>IF(A445="","",N(INDEX(Projects[Service Commissioning],444)))</f>
        <v/>
      </c>
      <c r="BT445" s="5">
        <f>IF(A445="","",N(INDEX(Projects[Controls Eng],444)))</f>
        <v/>
      </c>
      <c r="BU445" s="5">
        <f>IF(A445="","",N(INDEX(Projects[Controls Purchase],444)))</f>
        <v/>
      </c>
      <c r="BV445" s="5">
        <f>IF(A445="","",N(INDEX(Projects[Software Eng],444)))</f>
        <v/>
      </c>
      <c r="BW445" s="5">
        <f>IF(A445="","",N(INDEX(Projects[Misc],444)))</f>
        <v/>
      </c>
      <c r="BX445" s="5">
        <f>IF(A445="","",SUM(BJ445:BW445))</f>
        <v/>
      </c>
      <c r="BY445" s="5">
        <f>IF(A445="","",IFERROR(IF(ISNUMBER(U445),U445,VALUE(SUBSTITUTE(SUBSTITUTE(SUBSTITUTE(UPPER(TRIM(U445)),"M",""),",","")," ",""))),0))</f>
        <v/>
      </c>
      <c r="BZ445" s="5">
        <f>INDEX(Projects[Solution Type],444)&amp;""</f>
        <v/>
      </c>
      <c r="CA445" s="5">
        <f>INDEX(Projects[Client / Region],444)&amp;""</f>
        <v/>
      </c>
      <c r="CB445" s="5">
        <f>INDEX(Projects[Year],444)</f>
        <v/>
      </c>
      <c r="CC445" s="5">
        <f>INDEX(Projects[Won?],444)&amp;""</f>
        <v/>
      </c>
      <c r="CD445" s="5">
        <f>INDEX(Projects[Value (USD M)],444)</f>
        <v/>
      </c>
    </row>
    <row r="446" ht="15" customHeight="1" s="74">
      <c r="A446" s="66">
        <f>INDEX(Projects[Project ID *],445)&amp;""</f>
        <v/>
      </c>
      <c r="B446" s="66">
        <f>INDEX(Projects[Project Name *],445)&amp;""</f>
        <v/>
      </c>
      <c r="C446" s="66">
        <f>INDEX(Projects[MS Shuttles],445)</f>
        <v/>
      </c>
      <c r="D446" s="66">
        <f>INDEX(Projects[MS Tote Locations],445)</f>
        <v/>
      </c>
      <c r="E446" s="66">
        <f>INDEX(Projects[AS Robots],445)</f>
        <v/>
      </c>
      <c r="F446" s="66">
        <f>INDEX(Projects[AS Tote Locations],445)</f>
        <v/>
      </c>
      <c r="G446" s="66">
        <f>INDEX(Projects[PS Shuttles],445)</f>
        <v/>
      </c>
      <c r="H446" s="66">
        <f>INDEX(Projects[PS Pallet Locations],445)</f>
        <v/>
      </c>
      <c r="I446" s="66">
        <f>INDEX(Projects[SRM Cranes],445)</f>
        <v/>
      </c>
      <c r="J446" s="66">
        <f>INDEX(Projects[SRM Pallet Locations],445)</f>
        <v/>
      </c>
      <c r="K446" s="66">
        <f>INDEX(Projects[Case Conv (m)],445)</f>
        <v/>
      </c>
      <c r="L446" s="66">
        <f>INDEX(Projects[Pallet Conv (m)],445)</f>
        <v/>
      </c>
      <c r="M446" s="66">
        <f>INDEX(Projects[Mech Eng (wks)],445)</f>
        <v/>
      </c>
      <c r="N446" s="66">
        <f>INDEX(Projects[Controls Eng (wks)],445)</f>
        <v/>
      </c>
      <c r="O446" s="66">
        <f>INDEX(Projects[Systems Eng (wks)],445)</f>
        <v/>
      </c>
      <c r="P446" s="66">
        <f>INDEX(Projects[Software Eng (wks)],445)</f>
        <v/>
      </c>
      <c r="Q446" s="66">
        <f>INDEX(Projects[M&amp;E Installation (wks)],445)</f>
        <v/>
      </c>
      <c r="R446" s="66">
        <f>INDEX(Projects[Commissioning (wks)],445)</f>
        <v/>
      </c>
      <c r="S446" s="66">
        <f>INDEX(Projects[Total Timeline (wks)],445)</f>
        <v/>
      </c>
      <c r="T446" s="66">
        <f>INDEX(Projects[Currency],445)&amp;""</f>
        <v/>
      </c>
      <c r="U446" s="67">
        <f>INDEX(Projects[Value (M)],445)</f>
        <v/>
      </c>
      <c r="V446" s="66">
        <f>IF('Smart Search'!B13=1,IFERROR(1/'Smart Search'!H13,0),0)</f>
        <v/>
      </c>
      <c r="W446" s="66">
        <f>IF('Smart Search'!B13=1,IFERROR(1/'Smart Search'!H13,0),0)</f>
        <v/>
      </c>
      <c r="X446" s="66">
        <f>IF('Smart Search'!C13=1,IFERROR(1/'Smart Search'!H13,0),0)</f>
        <v/>
      </c>
      <c r="Y446" s="66">
        <f>IF('Smart Search'!C13=1,IFERROR(1/'Smart Search'!H13,0),0)</f>
        <v/>
      </c>
      <c r="Z446" s="66">
        <f>IF('Smart Search'!D13=1,IFERROR(1/'Smart Search'!H13,0),0)</f>
        <v/>
      </c>
      <c r="AA446" s="66">
        <f>IF('Smart Search'!D13=1,IFERROR(1/'Smart Search'!H13,0),0)</f>
        <v/>
      </c>
      <c r="AB446" s="66">
        <f>IF('Smart Search'!E13=1,IFERROR(1/'Smart Search'!H13,0),0)</f>
        <v/>
      </c>
      <c r="AC446" s="66">
        <f>IF('Smart Search'!E13=1,IFERROR(1/'Smart Search'!H13,0),0)</f>
        <v/>
      </c>
      <c r="AD446" s="66">
        <f>IF('Smart Search'!F13=1,IFERROR(1/'Smart Search'!H13,0),0)</f>
        <v/>
      </c>
      <c r="AE446" s="66">
        <f>IF('Smart Search'!F13=1,IFERROR(1/'Smart Search'!H13,0),0)</f>
        <v/>
      </c>
      <c r="AF446" s="66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66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66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66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66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66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66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66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66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66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66">
        <f>AF446*V446</f>
        <v/>
      </c>
      <c r="AQ446" s="66">
        <f>AG446*W446</f>
        <v/>
      </c>
      <c r="AR446" s="66">
        <f>AH446*X446</f>
        <v/>
      </c>
      <c r="AS446" s="66">
        <f>AI446*Y446</f>
        <v/>
      </c>
      <c r="AT446" s="66">
        <f>AJ446*Z446</f>
        <v/>
      </c>
      <c r="AU446" s="66">
        <f>AK446*AA446</f>
        <v/>
      </c>
      <c r="AV446" s="66">
        <f>AL446*AB446</f>
        <v/>
      </c>
      <c r="AW446" s="66">
        <f>AM446*AC446</f>
        <v/>
      </c>
      <c r="AX446" s="66">
        <f>AN446*AD446</f>
        <v/>
      </c>
      <c r="AY446" s="66">
        <f>AO446*AE446</f>
        <v/>
      </c>
      <c r="AZ446" s="66">
        <f>INDEX(Projects[Automation Equipment],445)&amp;""</f>
        <v/>
      </c>
      <c r="BA446" s="66">
        <f>IF(OR(A446="",'Smart Search'!H13=0),"",MAX(0,BE446*BF446*MAX(0,1-BG446)))</f>
        <v/>
      </c>
      <c r="BB446" s="66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66">
        <f>IF('Smart Search'!G13=1,IFERROR(1/'Smart Search'!H13,0),0)</f>
        <v/>
      </c>
      <c r="BD446" s="66">
        <f>BB446*BC446</f>
        <v/>
      </c>
      <c r="BE446" s="66">
        <f>AP446+AQ446+AR446+AS446+AT446+AU446+AV446+AW446+AX446+AY446+BD446</f>
        <v/>
      </c>
      <c r="BF446" s="5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5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5">
        <f>IF(AND(A446&lt;&gt;"",OR('Smart Search'!$L$5="",'Smart Search'!$L$5="All",TRIM(BZ446)=TRIM('Smart Search'!$L$5)),OR(TRIM('Smart Search'!$L$6)="",TRIM('Smart Search'!$L$6)="All",ISNUMBER(SEARCH(SUBSTITUTE(SUBSTITUTE(SUBSTITUTE(TRIM('Smart Search'!$L$6),"~","~~"),"*","~*"),"?","~?"),CA446))),OR('Smart Search'!$L$7="",AND(CB446&lt;&gt;0,CB446='Smart Search'!$L$7)),OR('Smart Search'!$L$8="",'Smart Search'!$L$8="All",TRIM(CC446)=TRIM('Smart Search'!$L$8))),IF(BA446="","",BA446+ROW()*0.0000000001),"")</f>
        <v/>
      </c>
      <c r="BI446" s="5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5">
        <f>IF(A446="","",N(INDEX(Projects[Mech Inst],445)))</f>
        <v/>
      </c>
      <c r="BK446" s="5">
        <f>IF(A446="","",N(INDEX(Projects[Elec Inst],445)))</f>
        <v/>
      </c>
      <c r="BL446" s="5">
        <f>IF(A446="","",N(INDEX(Projects[Project Management],445)))</f>
        <v/>
      </c>
      <c r="BM446" s="5">
        <f>IF(A446="","",N(INDEX(Projects[Systems Eng],445)))</f>
        <v/>
      </c>
      <c r="BN446" s="5">
        <f>IF(A446="","",N(INDEX(Projects[Mechanical Eng],445)))</f>
        <v/>
      </c>
      <c r="BO446" s="5">
        <f>IF(A446="","",N(INDEX(Projects[Structural Engineering],445)))</f>
        <v/>
      </c>
      <c r="BP446" s="5">
        <f>IF(A446="","",N(INDEX(Projects[Site Sup],445)))</f>
        <v/>
      </c>
      <c r="BQ446" s="5">
        <f>IF(A446="","",N(INDEX(Projects[Controls Commissioning],445)))</f>
        <v/>
      </c>
      <c r="BR446" s="5">
        <f>IF(A446="","",N(INDEX(Projects[Systems Commissioning],445)))</f>
        <v/>
      </c>
      <c r="BS446" s="5">
        <f>IF(A446="","",N(INDEX(Projects[Service Commissioning],445)))</f>
        <v/>
      </c>
      <c r="BT446" s="5">
        <f>IF(A446="","",N(INDEX(Projects[Controls Eng],445)))</f>
        <v/>
      </c>
      <c r="BU446" s="5">
        <f>IF(A446="","",N(INDEX(Projects[Controls Purchase],445)))</f>
        <v/>
      </c>
      <c r="BV446" s="5">
        <f>IF(A446="","",N(INDEX(Projects[Software Eng],445)))</f>
        <v/>
      </c>
      <c r="BW446" s="5">
        <f>IF(A446="","",N(INDEX(Projects[Misc],445)))</f>
        <v/>
      </c>
      <c r="BX446" s="5">
        <f>IF(A446="","",SUM(BJ446:BW446))</f>
        <v/>
      </c>
      <c r="BY446" s="5">
        <f>IF(A446="","",IFERROR(IF(ISNUMBER(U446),U446,VALUE(SUBSTITUTE(SUBSTITUTE(SUBSTITUTE(UPPER(TRIM(U446)),"M",""),",","")," ",""))),0))</f>
        <v/>
      </c>
      <c r="BZ446" s="5">
        <f>INDEX(Projects[Solution Type],445)&amp;""</f>
        <v/>
      </c>
      <c r="CA446" s="5">
        <f>INDEX(Projects[Client / Region],445)&amp;""</f>
        <v/>
      </c>
      <c r="CB446" s="5">
        <f>INDEX(Projects[Year],445)</f>
        <v/>
      </c>
      <c r="CC446" s="5">
        <f>INDEX(Projects[Won?],445)&amp;""</f>
        <v/>
      </c>
      <c r="CD446" s="5">
        <f>INDEX(Projects[Value (USD M)],445)</f>
        <v/>
      </c>
    </row>
    <row r="447" ht="15" customHeight="1" s="74">
      <c r="A447" s="66">
        <f>INDEX(Projects[Project ID *],446)&amp;""</f>
        <v/>
      </c>
      <c r="B447" s="66">
        <f>INDEX(Projects[Project Name *],446)&amp;""</f>
        <v/>
      </c>
      <c r="C447" s="66">
        <f>INDEX(Projects[MS Shuttles],446)</f>
        <v/>
      </c>
      <c r="D447" s="66">
        <f>INDEX(Projects[MS Tote Locations],446)</f>
        <v/>
      </c>
      <c r="E447" s="66">
        <f>INDEX(Projects[AS Robots],446)</f>
        <v/>
      </c>
      <c r="F447" s="66">
        <f>INDEX(Projects[AS Tote Locations],446)</f>
        <v/>
      </c>
      <c r="G447" s="66">
        <f>INDEX(Projects[PS Shuttles],446)</f>
        <v/>
      </c>
      <c r="H447" s="66">
        <f>INDEX(Projects[PS Pallet Locations],446)</f>
        <v/>
      </c>
      <c r="I447" s="66">
        <f>INDEX(Projects[SRM Cranes],446)</f>
        <v/>
      </c>
      <c r="J447" s="66">
        <f>INDEX(Projects[SRM Pallet Locations],446)</f>
        <v/>
      </c>
      <c r="K447" s="66">
        <f>INDEX(Projects[Case Conv (m)],446)</f>
        <v/>
      </c>
      <c r="L447" s="66">
        <f>INDEX(Projects[Pallet Conv (m)],446)</f>
        <v/>
      </c>
      <c r="M447" s="66">
        <f>INDEX(Projects[Mech Eng (wks)],446)</f>
        <v/>
      </c>
      <c r="N447" s="66">
        <f>INDEX(Projects[Controls Eng (wks)],446)</f>
        <v/>
      </c>
      <c r="O447" s="66">
        <f>INDEX(Projects[Systems Eng (wks)],446)</f>
        <v/>
      </c>
      <c r="P447" s="66">
        <f>INDEX(Projects[Software Eng (wks)],446)</f>
        <v/>
      </c>
      <c r="Q447" s="66">
        <f>INDEX(Projects[M&amp;E Installation (wks)],446)</f>
        <v/>
      </c>
      <c r="R447" s="66">
        <f>INDEX(Projects[Commissioning (wks)],446)</f>
        <v/>
      </c>
      <c r="S447" s="66">
        <f>INDEX(Projects[Total Timeline (wks)],446)</f>
        <v/>
      </c>
      <c r="T447" s="66">
        <f>INDEX(Projects[Currency],446)&amp;""</f>
        <v/>
      </c>
      <c r="U447" s="67">
        <f>INDEX(Projects[Value (M)],446)</f>
        <v/>
      </c>
      <c r="V447" s="66">
        <f>IF('Smart Search'!B13=1,IFERROR(1/'Smart Search'!H13,0),0)</f>
        <v/>
      </c>
      <c r="W447" s="66">
        <f>IF('Smart Search'!B13=1,IFERROR(1/'Smart Search'!H13,0),0)</f>
        <v/>
      </c>
      <c r="X447" s="66">
        <f>IF('Smart Search'!C13=1,IFERROR(1/'Smart Search'!H13,0),0)</f>
        <v/>
      </c>
      <c r="Y447" s="66">
        <f>IF('Smart Search'!C13=1,IFERROR(1/'Smart Search'!H13,0),0)</f>
        <v/>
      </c>
      <c r="Z447" s="66">
        <f>IF('Smart Search'!D13=1,IFERROR(1/'Smart Search'!H13,0),0)</f>
        <v/>
      </c>
      <c r="AA447" s="66">
        <f>IF('Smart Search'!D13=1,IFERROR(1/'Smart Search'!H13,0),0)</f>
        <v/>
      </c>
      <c r="AB447" s="66">
        <f>IF('Smart Search'!E13=1,IFERROR(1/'Smart Search'!H13,0),0)</f>
        <v/>
      </c>
      <c r="AC447" s="66">
        <f>IF('Smart Search'!E13=1,IFERROR(1/'Smart Search'!H13,0),0)</f>
        <v/>
      </c>
      <c r="AD447" s="66">
        <f>IF('Smart Search'!F13=1,IFERROR(1/'Smart Search'!H13,0),0)</f>
        <v/>
      </c>
      <c r="AE447" s="66">
        <f>IF('Smart Search'!F13=1,IFERROR(1/'Smart Search'!H13,0),0)</f>
        <v/>
      </c>
      <c r="AF447" s="66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66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66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66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66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66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66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66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66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66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66">
        <f>AF447*V447</f>
        <v/>
      </c>
      <c r="AQ447" s="66">
        <f>AG447*W447</f>
        <v/>
      </c>
      <c r="AR447" s="66">
        <f>AH447*X447</f>
        <v/>
      </c>
      <c r="AS447" s="66">
        <f>AI447*Y447</f>
        <v/>
      </c>
      <c r="AT447" s="66">
        <f>AJ447*Z447</f>
        <v/>
      </c>
      <c r="AU447" s="66">
        <f>AK447*AA447</f>
        <v/>
      </c>
      <c r="AV447" s="66">
        <f>AL447*AB447</f>
        <v/>
      </c>
      <c r="AW447" s="66">
        <f>AM447*AC447</f>
        <v/>
      </c>
      <c r="AX447" s="66">
        <f>AN447*AD447</f>
        <v/>
      </c>
      <c r="AY447" s="66">
        <f>AO447*AE447</f>
        <v/>
      </c>
      <c r="AZ447" s="66">
        <f>INDEX(Projects[Automation Equipment],446)&amp;""</f>
        <v/>
      </c>
      <c r="BA447" s="66">
        <f>IF(OR(A447="",'Smart Search'!H13=0),"",MAX(0,BE447*BF447*MAX(0,1-BG447)))</f>
        <v/>
      </c>
      <c r="BB447" s="66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66">
        <f>IF('Smart Search'!G13=1,IFERROR(1/'Smart Search'!H13,0),0)</f>
        <v/>
      </c>
      <c r="BD447" s="66">
        <f>BB447*BC447</f>
        <v/>
      </c>
      <c r="BE447" s="66">
        <f>AP447+AQ447+AR447+AS447+AT447+AU447+AV447+AW447+AX447+AY447+BD447</f>
        <v/>
      </c>
      <c r="BF447" s="5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5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5">
        <f>IF(AND(A447&lt;&gt;"",OR('Smart Search'!$L$5="",'Smart Search'!$L$5="All",TRIM(BZ447)=TRIM('Smart Search'!$L$5)),OR(TRIM('Smart Search'!$L$6)="",TRIM('Smart Search'!$L$6)="All",ISNUMBER(SEARCH(SUBSTITUTE(SUBSTITUTE(SUBSTITUTE(TRIM('Smart Search'!$L$6),"~","~~"),"*","~*"),"?","~?"),CA447))),OR('Smart Search'!$L$7="",AND(CB447&lt;&gt;0,CB447='Smart Search'!$L$7)),OR('Smart Search'!$L$8="",'Smart Search'!$L$8="All",TRIM(CC447)=TRIM('Smart Search'!$L$8))),IF(BA447="","",BA447+ROW()*0.0000000001),"")</f>
        <v/>
      </c>
      <c r="BI447" s="5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5">
        <f>IF(A447="","",N(INDEX(Projects[Mech Inst],446)))</f>
        <v/>
      </c>
      <c r="BK447" s="5">
        <f>IF(A447="","",N(INDEX(Projects[Elec Inst],446)))</f>
        <v/>
      </c>
      <c r="BL447" s="5">
        <f>IF(A447="","",N(INDEX(Projects[Project Management],446)))</f>
        <v/>
      </c>
      <c r="BM447" s="5">
        <f>IF(A447="","",N(INDEX(Projects[Systems Eng],446)))</f>
        <v/>
      </c>
      <c r="BN447" s="5">
        <f>IF(A447="","",N(INDEX(Projects[Mechanical Eng],446)))</f>
        <v/>
      </c>
      <c r="BO447" s="5">
        <f>IF(A447="","",N(INDEX(Projects[Structural Engineering],446)))</f>
        <v/>
      </c>
      <c r="BP447" s="5">
        <f>IF(A447="","",N(INDEX(Projects[Site Sup],446)))</f>
        <v/>
      </c>
      <c r="BQ447" s="5">
        <f>IF(A447="","",N(INDEX(Projects[Controls Commissioning],446)))</f>
        <v/>
      </c>
      <c r="BR447" s="5">
        <f>IF(A447="","",N(INDEX(Projects[Systems Commissioning],446)))</f>
        <v/>
      </c>
      <c r="BS447" s="5">
        <f>IF(A447="","",N(INDEX(Projects[Service Commissioning],446)))</f>
        <v/>
      </c>
      <c r="BT447" s="5">
        <f>IF(A447="","",N(INDEX(Projects[Controls Eng],446)))</f>
        <v/>
      </c>
      <c r="BU447" s="5">
        <f>IF(A447="","",N(INDEX(Projects[Controls Purchase],446)))</f>
        <v/>
      </c>
      <c r="BV447" s="5">
        <f>IF(A447="","",N(INDEX(Projects[Software Eng],446)))</f>
        <v/>
      </c>
      <c r="BW447" s="5">
        <f>IF(A447="","",N(INDEX(Projects[Misc],446)))</f>
        <v/>
      </c>
      <c r="BX447" s="5">
        <f>IF(A447="","",SUM(BJ447:BW447))</f>
        <v/>
      </c>
      <c r="BY447" s="5">
        <f>IF(A447="","",IFERROR(IF(ISNUMBER(U447),U447,VALUE(SUBSTITUTE(SUBSTITUTE(SUBSTITUTE(UPPER(TRIM(U447)),"M",""),",","")," ",""))),0))</f>
        <v/>
      </c>
      <c r="BZ447" s="5">
        <f>INDEX(Projects[Solution Type],446)&amp;""</f>
        <v/>
      </c>
      <c r="CA447" s="5">
        <f>INDEX(Projects[Client / Region],446)&amp;""</f>
        <v/>
      </c>
      <c r="CB447" s="5">
        <f>INDEX(Projects[Year],446)</f>
        <v/>
      </c>
      <c r="CC447" s="5">
        <f>INDEX(Projects[Won?],446)&amp;""</f>
        <v/>
      </c>
      <c r="CD447" s="5">
        <f>INDEX(Projects[Value (USD M)],446)</f>
        <v/>
      </c>
    </row>
    <row r="448" ht="15" customHeight="1" s="74">
      <c r="A448" s="66">
        <f>INDEX(Projects[Project ID *],447)&amp;""</f>
        <v/>
      </c>
      <c r="B448" s="66">
        <f>INDEX(Projects[Project Name *],447)&amp;""</f>
        <v/>
      </c>
      <c r="C448" s="66">
        <f>INDEX(Projects[MS Shuttles],447)</f>
        <v/>
      </c>
      <c r="D448" s="66">
        <f>INDEX(Projects[MS Tote Locations],447)</f>
        <v/>
      </c>
      <c r="E448" s="66">
        <f>INDEX(Projects[AS Robots],447)</f>
        <v/>
      </c>
      <c r="F448" s="66">
        <f>INDEX(Projects[AS Tote Locations],447)</f>
        <v/>
      </c>
      <c r="G448" s="66">
        <f>INDEX(Projects[PS Shuttles],447)</f>
        <v/>
      </c>
      <c r="H448" s="66">
        <f>INDEX(Projects[PS Pallet Locations],447)</f>
        <v/>
      </c>
      <c r="I448" s="66">
        <f>INDEX(Projects[SRM Cranes],447)</f>
        <v/>
      </c>
      <c r="J448" s="66">
        <f>INDEX(Projects[SRM Pallet Locations],447)</f>
        <v/>
      </c>
      <c r="K448" s="66">
        <f>INDEX(Projects[Case Conv (m)],447)</f>
        <v/>
      </c>
      <c r="L448" s="66">
        <f>INDEX(Projects[Pallet Conv (m)],447)</f>
        <v/>
      </c>
      <c r="M448" s="66">
        <f>INDEX(Projects[Mech Eng (wks)],447)</f>
        <v/>
      </c>
      <c r="N448" s="66">
        <f>INDEX(Projects[Controls Eng (wks)],447)</f>
        <v/>
      </c>
      <c r="O448" s="66">
        <f>INDEX(Projects[Systems Eng (wks)],447)</f>
        <v/>
      </c>
      <c r="P448" s="66">
        <f>INDEX(Projects[Software Eng (wks)],447)</f>
        <v/>
      </c>
      <c r="Q448" s="66">
        <f>INDEX(Projects[M&amp;E Installation (wks)],447)</f>
        <v/>
      </c>
      <c r="R448" s="66">
        <f>INDEX(Projects[Commissioning (wks)],447)</f>
        <v/>
      </c>
      <c r="S448" s="66">
        <f>INDEX(Projects[Total Timeline (wks)],447)</f>
        <v/>
      </c>
      <c r="T448" s="66">
        <f>INDEX(Projects[Currency],447)&amp;""</f>
        <v/>
      </c>
      <c r="U448" s="67">
        <f>INDEX(Projects[Value (M)],447)</f>
        <v/>
      </c>
      <c r="V448" s="66">
        <f>IF('Smart Search'!B13=1,IFERROR(1/'Smart Search'!H13,0),0)</f>
        <v/>
      </c>
      <c r="W448" s="66">
        <f>IF('Smart Search'!B13=1,IFERROR(1/'Smart Search'!H13,0),0)</f>
        <v/>
      </c>
      <c r="X448" s="66">
        <f>IF('Smart Search'!C13=1,IFERROR(1/'Smart Search'!H13,0),0)</f>
        <v/>
      </c>
      <c r="Y448" s="66">
        <f>IF('Smart Search'!C13=1,IFERROR(1/'Smart Search'!H13,0),0)</f>
        <v/>
      </c>
      <c r="Z448" s="66">
        <f>IF('Smart Search'!D13=1,IFERROR(1/'Smart Search'!H13,0),0)</f>
        <v/>
      </c>
      <c r="AA448" s="66">
        <f>IF('Smart Search'!D13=1,IFERROR(1/'Smart Search'!H13,0),0)</f>
        <v/>
      </c>
      <c r="AB448" s="66">
        <f>IF('Smart Search'!E13=1,IFERROR(1/'Smart Search'!H13,0),0)</f>
        <v/>
      </c>
      <c r="AC448" s="66">
        <f>IF('Smart Search'!E13=1,IFERROR(1/'Smart Search'!H13,0),0)</f>
        <v/>
      </c>
      <c r="AD448" s="66">
        <f>IF('Smart Search'!F13=1,IFERROR(1/'Smart Search'!H13,0),0)</f>
        <v/>
      </c>
      <c r="AE448" s="66">
        <f>IF('Smart Search'!F13=1,IFERROR(1/'Smart Search'!H13,0),0)</f>
        <v/>
      </c>
      <c r="AF448" s="66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66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66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66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66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66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66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66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66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66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66">
        <f>AF448*V448</f>
        <v/>
      </c>
      <c r="AQ448" s="66">
        <f>AG448*W448</f>
        <v/>
      </c>
      <c r="AR448" s="66">
        <f>AH448*X448</f>
        <v/>
      </c>
      <c r="AS448" s="66">
        <f>AI448*Y448</f>
        <v/>
      </c>
      <c r="AT448" s="66">
        <f>AJ448*Z448</f>
        <v/>
      </c>
      <c r="AU448" s="66">
        <f>AK448*AA448</f>
        <v/>
      </c>
      <c r="AV448" s="66">
        <f>AL448*AB448</f>
        <v/>
      </c>
      <c r="AW448" s="66">
        <f>AM448*AC448</f>
        <v/>
      </c>
      <c r="AX448" s="66">
        <f>AN448*AD448</f>
        <v/>
      </c>
      <c r="AY448" s="66">
        <f>AO448*AE448</f>
        <v/>
      </c>
      <c r="AZ448" s="66">
        <f>INDEX(Projects[Automation Equipment],447)&amp;""</f>
        <v/>
      </c>
      <c r="BA448" s="66">
        <f>IF(OR(A448="",'Smart Search'!H13=0),"",MAX(0,BE448*BF448*MAX(0,1-BG448)))</f>
        <v/>
      </c>
      <c r="BB448" s="66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66">
        <f>IF('Smart Search'!G13=1,IFERROR(1/'Smart Search'!H13,0),0)</f>
        <v/>
      </c>
      <c r="BD448" s="66">
        <f>BB448*BC448</f>
        <v/>
      </c>
      <c r="BE448" s="66">
        <f>AP448+AQ448+AR448+AS448+AT448+AU448+AV448+AW448+AX448+AY448+BD448</f>
        <v/>
      </c>
      <c r="BF448" s="5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5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5">
        <f>IF(AND(A448&lt;&gt;"",OR('Smart Search'!$L$5="",'Smart Search'!$L$5="All",TRIM(BZ448)=TRIM('Smart Search'!$L$5)),OR(TRIM('Smart Search'!$L$6)="",TRIM('Smart Search'!$L$6)="All",ISNUMBER(SEARCH(SUBSTITUTE(SUBSTITUTE(SUBSTITUTE(TRIM('Smart Search'!$L$6),"~","~~"),"*","~*"),"?","~?"),CA448))),OR('Smart Search'!$L$7="",AND(CB448&lt;&gt;0,CB448='Smart Search'!$L$7)),OR('Smart Search'!$L$8="",'Smart Search'!$L$8="All",TRIM(CC448)=TRIM('Smart Search'!$L$8))),IF(BA448="","",BA448+ROW()*0.0000000001),"")</f>
        <v/>
      </c>
      <c r="BI448" s="5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5">
        <f>IF(A448="","",N(INDEX(Projects[Mech Inst],447)))</f>
        <v/>
      </c>
      <c r="BK448" s="5">
        <f>IF(A448="","",N(INDEX(Projects[Elec Inst],447)))</f>
        <v/>
      </c>
      <c r="BL448" s="5">
        <f>IF(A448="","",N(INDEX(Projects[Project Management],447)))</f>
        <v/>
      </c>
      <c r="BM448" s="5">
        <f>IF(A448="","",N(INDEX(Projects[Systems Eng],447)))</f>
        <v/>
      </c>
      <c r="BN448" s="5">
        <f>IF(A448="","",N(INDEX(Projects[Mechanical Eng],447)))</f>
        <v/>
      </c>
      <c r="BO448" s="5">
        <f>IF(A448="","",N(INDEX(Projects[Structural Engineering],447)))</f>
        <v/>
      </c>
      <c r="BP448" s="5">
        <f>IF(A448="","",N(INDEX(Projects[Site Sup],447)))</f>
        <v/>
      </c>
      <c r="BQ448" s="5">
        <f>IF(A448="","",N(INDEX(Projects[Controls Commissioning],447)))</f>
        <v/>
      </c>
      <c r="BR448" s="5">
        <f>IF(A448="","",N(INDEX(Projects[Systems Commissioning],447)))</f>
        <v/>
      </c>
      <c r="BS448" s="5">
        <f>IF(A448="","",N(INDEX(Projects[Service Commissioning],447)))</f>
        <v/>
      </c>
      <c r="BT448" s="5">
        <f>IF(A448="","",N(INDEX(Projects[Controls Eng],447)))</f>
        <v/>
      </c>
      <c r="BU448" s="5">
        <f>IF(A448="","",N(INDEX(Projects[Controls Purchase],447)))</f>
        <v/>
      </c>
      <c r="BV448" s="5">
        <f>IF(A448="","",N(INDEX(Projects[Software Eng],447)))</f>
        <v/>
      </c>
      <c r="BW448" s="5">
        <f>IF(A448="","",N(INDEX(Projects[Misc],447)))</f>
        <v/>
      </c>
      <c r="BX448" s="5">
        <f>IF(A448="","",SUM(BJ448:BW448))</f>
        <v/>
      </c>
      <c r="BY448" s="5">
        <f>IF(A448="","",IFERROR(IF(ISNUMBER(U448),U448,VALUE(SUBSTITUTE(SUBSTITUTE(SUBSTITUTE(UPPER(TRIM(U448)),"M",""),",","")," ",""))),0))</f>
        <v/>
      </c>
      <c r="BZ448" s="5">
        <f>INDEX(Projects[Solution Type],447)&amp;""</f>
        <v/>
      </c>
      <c r="CA448" s="5">
        <f>INDEX(Projects[Client / Region],447)&amp;""</f>
        <v/>
      </c>
      <c r="CB448" s="5">
        <f>INDEX(Projects[Year],447)</f>
        <v/>
      </c>
      <c r="CC448" s="5">
        <f>INDEX(Projects[Won?],447)&amp;""</f>
        <v/>
      </c>
      <c r="CD448" s="5">
        <f>INDEX(Projects[Value (USD M)],447)</f>
        <v/>
      </c>
    </row>
    <row r="449" ht="15" customHeight="1" s="74">
      <c r="A449" s="66">
        <f>INDEX(Projects[Project ID *],448)&amp;""</f>
        <v/>
      </c>
      <c r="B449" s="66">
        <f>INDEX(Projects[Project Name *],448)&amp;""</f>
        <v/>
      </c>
      <c r="C449" s="66">
        <f>INDEX(Projects[MS Shuttles],448)</f>
        <v/>
      </c>
      <c r="D449" s="66">
        <f>INDEX(Projects[MS Tote Locations],448)</f>
        <v/>
      </c>
      <c r="E449" s="66">
        <f>INDEX(Projects[AS Robots],448)</f>
        <v/>
      </c>
      <c r="F449" s="66">
        <f>INDEX(Projects[AS Tote Locations],448)</f>
        <v/>
      </c>
      <c r="G449" s="66">
        <f>INDEX(Projects[PS Shuttles],448)</f>
        <v/>
      </c>
      <c r="H449" s="66">
        <f>INDEX(Projects[PS Pallet Locations],448)</f>
        <v/>
      </c>
      <c r="I449" s="66">
        <f>INDEX(Projects[SRM Cranes],448)</f>
        <v/>
      </c>
      <c r="J449" s="66">
        <f>INDEX(Projects[SRM Pallet Locations],448)</f>
        <v/>
      </c>
      <c r="K449" s="66">
        <f>INDEX(Projects[Case Conv (m)],448)</f>
        <v/>
      </c>
      <c r="L449" s="66">
        <f>INDEX(Projects[Pallet Conv (m)],448)</f>
        <v/>
      </c>
      <c r="M449" s="66">
        <f>INDEX(Projects[Mech Eng (wks)],448)</f>
        <v/>
      </c>
      <c r="N449" s="66">
        <f>INDEX(Projects[Controls Eng (wks)],448)</f>
        <v/>
      </c>
      <c r="O449" s="66">
        <f>INDEX(Projects[Systems Eng (wks)],448)</f>
        <v/>
      </c>
      <c r="P449" s="66">
        <f>INDEX(Projects[Software Eng (wks)],448)</f>
        <v/>
      </c>
      <c r="Q449" s="66">
        <f>INDEX(Projects[M&amp;E Installation (wks)],448)</f>
        <v/>
      </c>
      <c r="R449" s="66">
        <f>INDEX(Projects[Commissioning (wks)],448)</f>
        <v/>
      </c>
      <c r="S449" s="66">
        <f>INDEX(Projects[Total Timeline (wks)],448)</f>
        <v/>
      </c>
      <c r="T449" s="66">
        <f>INDEX(Projects[Currency],448)&amp;""</f>
        <v/>
      </c>
      <c r="U449" s="67">
        <f>INDEX(Projects[Value (M)],448)</f>
        <v/>
      </c>
      <c r="V449" s="66">
        <f>IF('Smart Search'!B13=1,IFERROR(1/'Smart Search'!H13,0),0)</f>
        <v/>
      </c>
      <c r="W449" s="66">
        <f>IF('Smart Search'!B13=1,IFERROR(1/'Smart Search'!H13,0),0)</f>
        <v/>
      </c>
      <c r="X449" s="66">
        <f>IF('Smart Search'!C13=1,IFERROR(1/'Smart Search'!H13,0),0)</f>
        <v/>
      </c>
      <c r="Y449" s="66">
        <f>IF('Smart Search'!C13=1,IFERROR(1/'Smart Search'!H13,0),0)</f>
        <v/>
      </c>
      <c r="Z449" s="66">
        <f>IF('Smart Search'!D13=1,IFERROR(1/'Smart Search'!H13,0),0)</f>
        <v/>
      </c>
      <c r="AA449" s="66">
        <f>IF('Smart Search'!D13=1,IFERROR(1/'Smart Search'!H13,0),0)</f>
        <v/>
      </c>
      <c r="AB449" s="66">
        <f>IF('Smart Search'!E13=1,IFERROR(1/'Smart Search'!H13,0),0)</f>
        <v/>
      </c>
      <c r="AC449" s="66">
        <f>IF('Smart Search'!E13=1,IFERROR(1/'Smart Search'!H13,0),0)</f>
        <v/>
      </c>
      <c r="AD449" s="66">
        <f>IF('Smart Search'!F13=1,IFERROR(1/'Smart Search'!H13,0),0)</f>
        <v/>
      </c>
      <c r="AE449" s="66">
        <f>IF('Smart Search'!F13=1,IFERROR(1/'Smart Search'!H13,0),0)</f>
        <v/>
      </c>
      <c r="AF449" s="66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66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66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66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66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66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66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66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66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66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66">
        <f>AF449*V449</f>
        <v/>
      </c>
      <c r="AQ449" s="66">
        <f>AG449*W449</f>
        <v/>
      </c>
      <c r="AR449" s="66">
        <f>AH449*X449</f>
        <v/>
      </c>
      <c r="AS449" s="66">
        <f>AI449*Y449</f>
        <v/>
      </c>
      <c r="AT449" s="66">
        <f>AJ449*Z449</f>
        <v/>
      </c>
      <c r="AU449" s="66">
        <f>AK449*AA449</f>
        <v/>
      </c>
      <c r="AV449" s="66">
        <f>AL449*AB449</f>
        <v/>
      </c>
      <c r="AW449" s="66">
        <f>AM449*AC449</f>
        <v/>
      </c>
      <c r="AX449" s="66">
        <f>AN449*AD449</f>
        <v/>
      </c>
      <c r="AY449" s="66">
        <f>AO449*AE449</f>
        <v/>
      </c>
      <c r="AZ449" s="66">
        <f>INDEX(Projects[Automation Equipment],448)&amp;""</f>
        <v/>
      </c>
      <c r="BA449" s="66">
        <f>IF(OR(A449="",'Smart Search'!H13=0),"",MAX(0,BE449*BF449*MAX(0,1-BG449)))</f>
        <v/>
      </c>
      <c r="BB449" s="66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66">
        <f>IF('Smart Search'!G13=1,IFERROR(1/'Smart Search'!H13,0),0)</f>
        <v/>
      </c>
      <c r="BD449" s="66">
        <f>BB449*BC449</f>
        <v/>
      </c>
      <c r="BE449" s="66">
        <f>AP449+AQ449+AR449+AS449+AT449+AU449+AV449+AW449+AX449+AY449+BD449</f>
        <v/>
      </c>
      <c r="BF449" s="5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5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5">
        <f>IF(AND(A449&lt;&gt;"",OR('Smart Search'!$L$5="",'Smart Search'!$L$5="All",TRIM(BZ449)=TRIM('Smart Search'!$L$5)),OR(TRIM('Smart Search'!$L$6)="",TRIM('Smart Search'!$L$6)="All",ISNUMBER(SEARCH(SUBSTITUTE(SUBSTITUTE(SUBSTITUTE(TRIM('Smart Search'!$L$6),"~","~~"),"*","~*"),"?","~?"),CA449))),OR('Smart Search'!$L$7="",AND(CB449&lt;&gt;0,CB449='Smart Search'!$L$7)),OR('Smart Search'!$L$8="",'Smart Search'!$L$8="All",TRIM(CC449)=TRIM('Smart Search'!$L$8))),IF(BA449="","",BA449+ROW()*0.0000000001),"")</f>
        <v/>
      </c>
      <c r="BI449" s="5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5">
        <f>IF(A449="","",N(INDEX(Projects[Mech Inst],448)))</f>
        <v/>
      </c>
      <c r="BK449" s="5">
        <f>IF(A449="","",N(INDEX(Projects[Elec Inst],448)))</f>
        <v/>
      </c>
      <c r="BL449" s="5">
        <f>IF(A449="","",N(INDEX(Projects[Project Management],448)))</f>
        <v/>
      </c>
      <c r="BM449" s="5">
        <f>IF(A449="","",N(INDEX(Projects[Systems Eng],448)))</f>
        <v/>
      </c>
      <c r="BN449" s="5">
        <f>IF(A449="","",N(INDEX(Projects[Mechanical Eng],448)))</f>
        <v/>
      </c>
      <c r="BO449" s="5">
        <f>IF(A449="","",N(INDEX(Projects[Structural Engineering],448)))</f>
        <v/>
      </c>
      <c r="BP449" s="5">
        <f>IF(A449="","",N(INDEX(Projects[Site Sup],448)))</f>
        <v/>
      </c>
      <c r="BQ449" s="5">
        <f>IF(A449="","",N(INDEX(Projects[Controls Commissioning],448)))</f>
        <v/>
      </c>
      <c r="BR449" s="5">
        <f>IF(A449="","",N(INDEX(Projects[Systems Commissioning],448)))</f>
        <v/>
      </c>
      <c r="BS449" s="5">
        <f>IF(A449="","",N(INDEX(Projects[Service Commissioning],448)))</f>
        <v/>
      </c>
      <c r="BT449" s="5">
        <f>IF(A449="","",N(INDEX(Projects[Controls Eng],448)))</f>
        <v/>
      </c>
      <c r="BU449" s="5">
        <f>IF(A449="","",N(INDEX(Projects[Controls Purchase],448)))</f>
        <v/>
      </c>
      <c r="BV449" s="5">
        <f>IF(A449="","",N(INDEX(Projects[Software Eng],448)))</f>
        <v/>
      </c>
      <c r="BW449" s="5">
        <f>IF(A449="","",N(INDEX(Projects[Misc],448)))</f>
        <v/>
      </c>
      <c r="BX449" s="5">
        <f>IF(A449="","",SUM(BJ449:BW449))</f>
        <v/>
      </c>
      <c r="BY449" s="5">
        <f>IF(A449="","",IFERROR(IF(ISNUMBER(U449),U449,VALUE(SUBSTITUTE(SUBSTITUTE(SUBSTITUTE(UPPER(TRIM(U449)),"M",""),",","")," ",""))),0))</f>
        <v/>
      </c>
      <c r="BZ449" s="5">
        <f>INDEX(Projects[Solution Type],448)&amp;""</f>
        <v/>
      </c>
      <c r="CA449" s="5">
        <f>INDEX(Projects[Client / Region],448)&amp;""</f>
        <v/>
      </c>
      <c r="CB449" s="5">
        <f>INDEX(Projects[Year],448)</f>
        <v/>
      </c>
      <c r="CC449" s="5">
        <f>INDEX(Projects[Won?],448)&amp;""</f>
        <v/>
      </c>
      <c r="CD449" s="5">
        <f>INDEX(Projects[Value (USD M)],448)</f>
        <v/>
      </c>
    </row>
    <row r="450" ht="15" customHeight="1" s="74">
      <c r="A450" s="66">
        <f>INDEX(Projects[Project ID *],449)&amp;""</f>
        <v/>
      </c>
      <c r="B450" s="66">
        <f>INDEX(Projects[Project Name *],449)&amp;""</f>
        <v/>
      </c>
      <c r="C450" s="66">
        <f>INDEX(Projects[MS Shuttles],449)</f>
        <v/>
      </c>
      <c r="D450" s="66">
        <f>INDEX(Projects[MS Tote Locations],449)</f>
        <v/>
      </c>
      <c r="E450" s="66">
        <f>INDEX(Projects[AS Robots],449)</f>
        <v/>
      </c>
      <c r="F450" s="66">
        <f>INDEX(Projects[AS Tote Locations],449)</f>
        <v/>
      </c>
      <c r="G450" s="66">
        <f>INDEX(Projects[PS Shuttles],449)</f>
        <v/>
      </c>
      <c r="H450" s="66">
        <f>INDEX(Projects[PS Pallet Locations],449)</f>
        <v/>
      </c>
      <c r="I450" s="66">
        <f>INDEX(Projects[SRM Cranes],449)</f>
        <v/>
      </c>
      <c r="J450" s="66">
        <f>INDEX(Projects[SRM Pallet Locations],449)</f>
        <v/>
      </c>
      <c r="K450" s="66">
        <f>INDEX(Projects[Case Conv (m)],449)</f>
        <v/>
      </c>
      <c r="L450" s="66">
        <f>INDEX(Projects[Pallet Conv (m)],449)</f>
        <v/>
      </c>
      <c r="M450" s="66">
        <f>INDEX(Projects[Mech Eng (wks)],449)</f>
        <v/>
      </c>
      <c r="N450" s="66">
        <f>INDEX(Projects[Controls Eng (wks)],449)</f>
        <v/>
      </c>
      <c r="O450" s="66">
        <f>INDEX(Projects[Systems Eng (wks)],449)</f>
        <v/>
      </c>
      <c r="P450" s="66">
        <f>INDEX(Projects[Software Eng (wks)],449)</f>
        <v/>
      </c>
      <c r="Q450" s="66">
        <f>INDEX(Projects[M&amp;E Installation (wks)],449)</f>
        <v/>
      </c>
      <c r="R450" s="66">
        <f>INDEX(Projects[Commissioning (wks)],449)</f>
        <v/>
      </c>
      <c r="S450" s="66">
        <f>INDEX(Projects[Total Timeline (wks)],449)</f>
        <v/>
      </c>
      <c r="T450" s="66">
        <f>INDEX(Projects[Currency],449)&amp;""</f>
        <v/>
      </c>
      <c r="U450" s="67">
        <f>INDEX(Projects[Value (M)],449)</f>
        <v/>
      </c>
      <c r="V450" s="66">
        <f>IF('Smart Search'!B13=1,IFERROR(1/'Smart Search'!H13,0),0)</f>
        <v/>
      </c>
      <c r="W450" s="66">
        <f>IF('Smart Search'!B13=1,IFERROR(1/'Smart Search'!H13,0),0)</f>
        <v/>
      </c>
      <c r="X450" s="66">
        <f>IF('Smart Search'!C13=1,IFERROR(1/'Smart Search'!H13,0),0)</f>
        <v/>
      </c>
      <c r="Y450" s="66">
        <f>IF('Smart Search'!C13=1,IFERROR(1/'Smart Search'!H13,0),0)</f>
        <v/>
      </c>
      <c r="Z450" s="66">
        <f>IF('Smart Search'!D13=1,IFERROR(1/'Smart Search'!H13,0),0)</f>
        <v/>
      </c>
      <c r="AA450" s="66">
        <f>IF('Smart Search'!D13=1,IFERROR(1/'Smart Search'!H13,0),0)</f>
        <v/>
      </c>
      <c r="AB450" s="66">
        <f>IF('Smart Search'!E13=1,IFERROR(1/'Smart Search'!H13,0),0)</f>
        <v/>
      </c>
      <c r="AC450" s="66">
        <f>IF('Smart Search'!E13=1,IFERROR(1/'Smart Search'!H13,0),0)</f>
        <v/>
      </c>
      <c r="AD450" s="66">
        <f>IF('Smart Search'!F13=1,IFERROR(1/'Smart Search'!H13,0),0)</f>
        <v/>
      </c>
      <c r="AE450" s="66">
        <f>IF('Smart Search'!F13=1,IFERROR(1/'Smart Search'!H13,0),0)</f>
        <v/>
      </c>
      <c r="AF450" s="66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66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66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66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66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66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66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66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66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66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66">
        <f>AF450*V450</f>
        <v/>
      </c>
      <c r="AQ450" s="66">
        <f>AG450*W450</f>
        <v/>
      </c>
      <c r="AR450" s="66">
        <f>AH450*X450</f>
        <v/>
      </c>
      <c r="AS450" s="66">
        <f>AI450*Y450</f>
        <v/>
      </c>
      <c r="AT450" s="66">
        <f>AJ450*Z450</f>
        <v/>
      </c>
      <c r="AU450" s="66">
        <f>AK450*AA450</f>
        <v/>
      </c>
      <c r="AV450" s="66">
        <f>AL450*AB450</f>
        <v/>
      </c>
      <c r="AW450" s="66">
        <f>AM450*AC450</f>
        <v/>
      </c>
      <c r="AX450" s="66">
        <f>AN450*AD450</f>
        <v/>
      </c>
      <c r="AY450" s="66">
        <f>AO450*AE450</f>
        <v/>
      </c>
      <c r="AZ450" s="66">
        <f>INDEX(Projects[Automation Equipment],449)&amp;""</f>
        <v/>
      </c>
      <c r="BA450" s="66">
        <f>IF(OR(A450="",'Smart Search'!H13=0),"",MAX(0,BE450*BF450*MAX(0,1-BG450)))</f>
        <v/>
      </c>
      <c r="BB450" s="66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66">
        <f>IF('Smart Search'!G13=1,IFERROR(1/'Smart Search'!H13,0),0)</f>
        <v/>
      </c>
      <c r="BD450" s="66">
        <f>BB450*BC450</f>
        <v/>
      </c>
      <c r="BE450" s="66">
        <f>AP450+AQ450+AR450+AS450+AT450+AU450+AV450+AW450+AX450+AY450+BD450</f>
        <v/>
      </c>
      <c r="BF450" s="5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5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5">
        <f>IF(AND(A450&lt;&gt;"",OR('Smart Search'!$L$5="",'Smart Search'!$L$5="All",TRIM(BZ450)=TRIM('Smart Search'!$L$5)),OR(TRIM('Smart Search'!$L$6)="",TRIM('Smart Search'!$L$6)="All",ISNUMBER(SEARCH(SUBSTITUTE(SUBSTITUTE(SUBSTITUTE(TRIM('Smart Search'!$L$6),"~","~~"),"*","~*"),"?","~?"),CA450))),OR('Smart Search'!$L$7="",AND(CB450&lt;&gt;0,CB450='Smart Search'!$L$7)),OR('Smart Search'!$L$8="",'Smart Search'!$L$8="All",TRIM(CC450)=TRIM('Smart Search'!$L$8))),IF(BA450="","",BA450+ROW()*0.0000000001),"")</f>
        <v/>
      </c>
      <c r="BI450" s="5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5">
        <f>IF(A450="","",N(INDEX(Projects[Mech Inst],449)))</f>
        <v/>
      </c>
      <c r="BK450" s="5">
        <f>IF(A450="","",N(INDEX(Projects[Elec Inst],449)))</f>
        <v/>
      </c>
      <c r="BL450" s="5">
        <f>IF(A450="","",N(INDEX(Projects[Project Management],449)))</f>
        <v/>
      </c>
      <c r="BM450" s="5">
        <f>IF(A450="","",N(INDEX(Projects[Systems Eng],449)))</f>
        <v/>
      </c>
      <c r="BN450" s="5">
        <f>IF(A450="","",N(INDEX(Projects[Mechanical Eng],449)))</f>
        <v/>
      </c>
      <c r="BO450" s="5">
        <f>IF(A450="","",N(INDEX(Projects[Structural Engineering],449)))</f>
        <v/>
      </c>
      <c r="BP450" s="5">
        <f>IF(A450="","",N(INDEX(Projects[Site Sup],449)))</f>
        <v/>
      </c>
      <c r="BQ450" s="5">
        <f>IF(A450="","",N(INDEX(Projects[Controls Commissioning],449)))</f>
        <v/>
      </c>
      <c r="BR450" s="5">
        <f>IF(A450="","",N(INDEX(Projects[Systems Commissioning],449)))</f>
        <v/>
      </c>
      <c r="BS450" s="5">
        <f>IF(A450="","",N(INDEX(Projects[Service Commissioning],449)))</f>
        <v/>
      </c>
      <c r="BT450" s="5">
        <f>IF(A450="","",N(INDEX(Projects[Controls Eng],449)))</f>
        <v/>
      </c>
      <c r="BU450" s="5">
        <f>IF(A450="","",N(INDEX(Projects[Controls Purchase],449)))</f>
        <v/>
      </c>
      <c r="BV450" s="5">
        <f>IF(A450="","",N(INDEX(Projects[Software Eng],449)))</f>
        <v/>
      </c>
      <c r="BW450" s="5">
        <f>IF(A450="","",N(INDEX(Projects[Misc],449)))</f>
        <v/>
      </c>
      <c r="BX450" s="5">
        <f>IF(A450="","",SUM(BJ450:BW450))</f>
        <v/>
      </c>
      <c r="BY450" s="5">
        <f>IF(A450="","",IFERROR(IF(ISNUMBER(U450),U450,VALUE(SUBSTITUTE(SUBSTITUTE(SUBSTITUTE(UPPER(TRIM(U450)),"M",""),",","")," ",""))),0))</f>
        <v/>
      </c>
      <c r="BZ450" s="5">
        <f>INDEX(Projects[Solution Type],449)&amp;""</f>
        <v/>
      </c>
      <c r="CA450" s="5">
        <f>INDEX(Projects[Client / Region],449)&amp;""</f>
        <v/>
      </c>
      <c r="CB450" s="5">
        <f>INDEX(Projects[Year],449)</f>
        <v/>
      </c>
      <c r="CC450" s="5">
        <f>INDEX(Projects[Won?],449)&amp;""</f>
        <v/>
      </c>
      <c r="CD450" s="5">
        <f>INDEX(Projects[Value (USD M)],449)</f>
        <v/>
      </c>
    </row>
    <row r="451" ht="15" customHeight="1" s="74">
      <c r="A451" s="66">
        <f>INDEX(Projects[Project ID *],450)&amp;""</f>
        <v/>
      </c>
      <c r="B451" s="66">
        <f>INDEX(Projects[Project Name *],450)&amp;""</f>
        <v/>
      </c>
      <c r="C451" s="66">
        <f>INDEX(Projects[MS Shuttles],450)</f>
        <v/>
      </c>
      <c r="D451" s="66">
        <f>INDEX(Projects[MS Tote Locations],450)</f>
        <v/>
      </c>
      <c r="E451" s="66">
        <f>INDEX(Projects[AS Robots],450)</f>
        <v/>
      </c>
      <c r="F451" s="66">
        <f>INDEX(Projects[AS Tote Locations],450)</f>
        <v/>
      </c>
      <c r="G451" s="66">
        <f>INDEX(Projects[PS Shuttles],450)</f>
        <v/>
      </c>
      <c r="H451" s="66">
        <f>INDEX(Projects[PS Pallet Locations],450)</f>
        <v/>
      </c>
      <c r="I451" s="66">
        <f>INDEX(Projects[SRM Cranes],450)</f>
        <v/>
      </c>
      <c r="J451" s="66">
        <f>INDEX(Projects[SRM Pallet Locations],450)</f>
        <v/>
      </c>
      <c r="K451" s="66">
        <f>INDEX(Projects[Case Conv (m)],450)</f>
        <v/>
      </c>
      <c r="L451" s="66">
        <f>INDEX(Projects[Pallet Conv (m)],450)</f>
        <v/>
      </c>
      <c r="M451" s="66">
        <f>INDEX(Projects[Mech Eng (wks)],450)</f>
        <v/>
      </c>
      <c r="N451" s="66">
        <f>INDEX(Projects[Controls Eng (wks)],450)</f>
        <v/>
      </c>
      <c r="O451" s="66">
        <f>INDEX(Projects[Systems Eng (wks)],450)</f>
        <v/>
      </c>
      <c r="P451" s="66">
        <f>INDEX(Projects[Software Eng (wks)],450)</f>
        <v/>
      </c>
      <c r="Q451" s="66">
        <f>INDEX(Projects[M&amp;E Installation (wks)],450)</f>
        <v/>
      </c>
      <c r="R451" s="66">
        <f>INDEX(Projects[Commissioning (wks)],450)</f>
        <v/>
      </c>
      <c r="S451" s="66">
        <f>INDEX(Projects[Total Timeline (wks)],450)</f>
        <v/>
      </c>
      <c r="T451" s="66">
        <f>INDEX(Projects[Currency],450)&amp;""</f>
        <v/>
      </c>
      <c r="U451" s="67">
        <f>INDEX(Projects[Value (M)],450)</f>
        <v/>
      </c>
      <c r="V451" s="66">
        <f>IF('Smart Search'!B13=1,IFERROR(1/'Smart Search'!H13,0),0)</f>
        <v/>
      </c>
      <c r="W451" s="66">
        <f>IF('Smart Search'!B13=1,IFERROR(1/'Smart Search'!H13,0),0)</f>
        <v/>
      </c>
      <c r="X451" s="66">
        <f>IF('Smart Search'!C13=1,IFERROR(1/'Smart Search'!H13,0),0)</f>
        <v/>
      </c>
      <c r="Y451" s="66">
        <f>IF('Smart Search'!C13=1,IFERROR(1/'Smart Search'!H13,0),0)</f>
        <v/>
      </c>
      <c r="Z451" s="66">
        <f>IF('Smart Search'!D13=1,IFERROR(1/'Smart Search'!H13,0),0)</f>
        <v/>
      </c>
      <c r="AA451" s="66">
        <f>IF('Smart Search'!D13=1,IFERROR(1/'Smart Search'!H13,0),0)</f>
        <v/>
      </c>
      <c r="AB451" s="66">
        <f>IF('Smart Search'!E13=1,IFERROR(1/'Smart Search'!H13,0),0)</f>
        <v/>
      </c>
      <c r="AC451" s="66">
        <f>IF('Smart Search'!E13=1,IFERROR(1/'Smart Search'!H13,0),0)</f>
        <v/>
      </c>
      <c r="AD451" s="66">
        <f>IF('Smart Search'!F13=1,IFERROR(1/'Smart Search'!H13,0),0)</f>
        <v/>
      </c>
      <c r="AE451" s="66">
        <f>IF('Smart Search'!F13=1,IFERROR(1/'Smart Search'!H13,0),0)</f>
        <v/>
      </c>
      <c r="AF451" s="66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66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66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66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66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66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66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66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66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66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66">
        <f>AF451*V451</f>
        <v/>
      </c>
      <c r="AQ451" s="66">
        <f>AG451*W451</f>
        <v/>
      </c>
      <c r="AR451" s="66">
        <f>AH451*X451</f>
        <v/>
      </c>
      <c r="AS451" s="66">
        <f>AI451*Y451</f>
        <v/>
      </c>
      <c r="AT451" s="66">
        <f>AJ451*Z451</f>
        <v/>
      </c>
      <c r="AU451" s="66">
        <f>AK451*AA451</f>
        <v/>
      </c>
      <c r="AV451" s="66">
        <f>AL451*AB451</f>
        <v/>
      </c>
      <c r="AW451" s="66">
        <f>AM451*AC451</f>
        <v/>
      </c>
      <c r="AX451" s="66">
        <f>AN451*AD451</f>
        <v/>
      </c>
      <c r="AY451" s="66">
        <f>AO451*AE451</f>
        <v/>
      </c>
      <c r="AZ451" s="66">
        <f>INDEX(Projects[Automation Equipment],450)&amp;""</f>
        <v/>
      </c>
      <c r="BA451" s="66">
        <f>IF(OR(A451="",'Smart Search'!H13=0),"",MAX(0,BE451*BF451*MAX(0,1-BG451)))</f>
        <v/>
      </c>
      <c r="BB451" s="66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66">
        <f>IF('Smart Search'!G13=1,IFERROR(1/'Smart Search'!H13,0),0)</f>
        <v/>
      </c>
      <c r="BD451" s="66">
        <f>BB451*BC451</f>
        <v/>
      </c>
      <c r="BE451" s="66">
        <f>AP451+AQ451+AR451+AS451+AT451+AU451+AV451+AW451+AX451+AY451+BD451</f>
        <v/>
      </c>
      <c r="BF451" s="5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5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5">
        <f>IF(AND(A451&lt;&gt;"",OR('Smart Search'!$L$5="",'Smart Search'!$L$5="All",TRIM(BZ451)=TRIM('Smart Search'!$L$5)),OR(TRIM('Smart Search'!$L$6)="",TRIM('Smart Search'!$L$6)="All",ISNUMBER(SEARCH(SUBSTITUTE(SUBSTITUTE(SUBSTITUTE(TRIM('Smart Search'!$L$6),"~","~~"),"*","~*"),"?","~?"),CA451))),OR('Smart Search'!$L$7="",AND(CB451&lt;&gt;0,CB451='Smart Search'!$L$7)),OR('Smart Search'!$L$8="",'Smart Search'!$L$8="All",TRIM(CC451)=TRIM('Smart Search'!$L$8))),IF(BA451="","",BA451+ROW()*0.0000000001),"")</f>
        <v/>
      </c>
      <c r="BI451" s="5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5">
        <f>IF(A451="","",N(INDEX(Projects[Mech Inst],450)))</f>
        <v/>
      </c>
      <c r="BK451" s="5">
        <f>IF(A451="","",N(INDEX(Projects[Elec Inst],450)))</f>
        <v/>
      </c>
      <c r="BL451" s="5">
        <f>IF(A451="","",N(INDEX(Projects[Project Management],450)))</f>
        <v/>
      </c>
      <c r="BM451" s="5">
        <f>IF(A451="","",N(INDEX(Projects[Systems Eng],450)))</f>
        <v/>
      </c>
      <c r="BN451" s="5">
        <f>IF(A451="","",N(INDEX(Projects[Mechanical Eng],450)))</f>
        <v/>
      </c>
      <c r="BO451" s="5">
        <f>IF(A451="","",N(INDEX(Projects[Structural Engineering],450)))</f>
        <v/>
      </c>
      <c r="BP451" s="5">
        <f>IF(A451="","",N(INDEX(Projects[Site Sup],450)))</f>
        <v/>
      </c>
      <c r="BQ451" s="5">
        <f>IF(A451="","",N(INDEX(Projects[Controls Commissioning],450)))</f>
        <v/>
      </c>
      <c r="BR451" s="5">
        <f>IF(A451="","",N(INDEX(Projects[Systems Commissioning],450)))</f>
        <v/>
      </c>
      <c r="BS451" s="5">
        <f>IF(A451="","",N(INDEX(Projects[Service Commissioning],450)))</f>
        <v/>
      </c>
      <c r="BT451" s="5">
        <f>IF(A451="","",N(INDEX(Projects[Controls Eng],450)))</f>
        <v/>
      </c>
      <c r="BU451" s="5">
        <f>IF(A451="","",N(INDEX(Projects[Controls Purchase],450)))</f>
        <v/>
      </c>
      <c r="BV451" s="5">
        <f>IF(A451="","",N(INDEX(Projects[Software Eng],450)))</f>
        <v/>
      </c>
      <c r="BW451" s="5">
        <f>IF(A451="","",N(INDEX(Projects[Misc],450)))</f>
        <v/>
      </c>
      <c r="BX451" s="5">
        <f>IF(A451="","",SUM(BJ451:BW451))</f>
        <v/>
      </c>
      <c r="BY451" s="5">
        <f>IF(A451="","",IFERROR(IF(ISNUMBER(U451),U451,VALUE(SUBSTITUTE(SUBSTITUTE(SUBSTITUTE(UPPER(TRIM(U451)),"M",""),",","")," ",""))),0))</f>
        <v/>
      </c>
      <c r="BZ451" s="5">
        <f>INDEX(Projects[Solution Type],450)&amp;""</f>
        <v/>
      </c>
      <c r="CA451" s="5">
        <f>INDEX(Projects[Client / Region],450)&amp;""</f>
        <v/>
      </c>
      <c r="CB451" s="5">
        <f>INDEX(Projects[Year],450)</f>
        <v/>
      </c>
      <c r="CC451" s="5">
        <f>INDEX(Projects[Won?],450)&amp;""</f>
        <v/>
      </c>
      <c r="CD451" s="5">
        <f>INDEX(Projects[Value (USD M)],450)</f>
        <v/>
      </c>
    </row>
    <row r="452" ht="15" customHeight="1" s="74">
      <c r="A452" s="66">
        <f>INDEX(Projects[Project ID *],451)&amp;""</f>
        <v/>
      </c>
      <c r="B452" s="66">
        <f>INDEX(Projects[Project Name *],451)&amp;""</f>
        <v/>
      </c>
      <c r="C452" s="66">
        <f>INDEX(Projects[MS Shuttles],451)</f>
        <v/>
      </c>
      <c r="D452" s="66">
        <f>INDEX(Projects[MS Tote Locations],451)</f>
        <v/>
      </c>
      <c r="E452" s="66">
        <f>INDEX(Projects[AS Robots],451)</f>
        <v/>
      </c>
      <c r="F452" s="66">
        <f>INDEX(Projects[AS Tote Locations],451)</f>
        <v/>
      </c>
      <c r="G452" s="66">
        <f>INDEX(Projects[PS Shuttles],451)</f>
        <v/>
      </c>
      <c r="H452" s="66">
        <f>INDEX(Projects[PS Pallet Locations],451)</f>
        <v/>
      </c>
      <c r="I452" s="66">
        <f>INDEX(Projects[SRM Cranes],451)</f>
        <v/>
      </c>
      <c r="J452" s="66">
        <f>INDEX(Projects[SRM Pallet Locations],451)</f>
        <v/>
      </c>
      <c r="K452" s="66">
        <f>INDEX(Projects[Case Conv (m)],451)</f>
        <v/>
      </c>
      <c r="L452" s="66">
        <f>INDEX(Projects[Pallet Conv (m)],451)</f>
        <v/>
      </c>
      <c r="M452" s="66">
        <f>INDEX(Projects[Mech Eng (wks)],451)</f>
        <v/>
      </c>
      <c r="N452" s="66">
        <f>INDEX(Projects[Controls Eng (wks)],451)</f>
        <v/>
      </c>
      <c r="O452" s="66">
        <f>INDEX(Projects[Systems Eng (wks)],451)</f>
        <v/>
      </c>
      <c r="P452" s="66">
        <f>INDEX(Projects[Software Eng (wks)],451)</f>
        <v/>
      </c>
      <c r="Q452" s="66">
        <f>INDEX(Projects[M&amp;E Installation (wks)],451)</f>
        <v/>
      </c>
      <c r="R452" s="66">
        <f>INDEX(Projects[Commissioning (wks)],451)</f>
        <v/>
      </c>
      <c r="S452" s="66">
        <f>INDEX(Projects[Total Timeline (wks)],451)</f>
        <v/>
      </c>
      <c r="T452" s="66">
        <f>INDEX(Projects[Currency],451)&amp;""</f>
        <v/>
      </c>
      <c r="U452" s="67">
        <f>INDEX(Projects[Value (M)],451)</f>
        <v/>
      </c>
      <c r="V452" s="66">
        <f>IF('Smart Search'!B13=1,IFERROR(1/'Smart Search'!H13,0),0)</f>
        <v/>
      </c>
      <c r="W452" s="66">
        <f>IF('Smart Search'!B13=1,IFERROR(1/'Smart Search'!H13,0),0)</f>
        <v/>
      </c>
      <c r="X452" s="66">
        <f>IF('Smart Search'!C13=1,IFERROR(1/'Smart Search'!H13,0),0)</f>
        <v/>
      </c>
      <c r="Y452" s="66">
        <f>IF('Smart Search'!C13=1,IFERROR(1/'Smart Search'!H13,0),0)</f>
        <v/>
      </c>
      <c r="Z452" s="66">
        <f>IF('Smart Search'!D13=1,IFERROR(1/'Smart Search'!H13,0),0)</f>
        <v/>
      </c>
      <c r="AA452" s="66">
        <f>IF('Smart Search'!D13=1,IFERROR(1/'Smart Search'!H13,0),0)</f>
        <v/>
      </c>
      <c r="AB452" s="66">
        <f>IF('Smart Search'!E13=1,IFERROR(1/'Smart Search'!H13,0),0)</f>
        <v/>
      </c>
      <c r="AC452" s="66">
        <f>IF('Smart Search'!E13=1,IFERROR(1/'Smart Search'!H13,0),0)</f>
        <v/>
      </c>
      <c r="AD452" s="66">
        <f>IF('Smart Search'!F13=1,IFERROR(1/'Smart Search'!H13,0),0)</f>
        <v/>
      </c>
      <c r="AE452" s="66">
        <f>IF('Smart Search'!F13=1,IFERROR(1/'Smart Search'!H13,0),0)</f>
        <v/>
      </c>
      <c r="AF452" s="66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66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66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66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66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66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66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66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66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66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66">
        <f>AF452*V452</f>
        <v/>
      </c>
      <c r="AQ452" s="66">
        <f>AG452*W452</f>
        <v/>
      </c>
      <c r="AR452" s="66">
        <f>AH452*X452</f>
        <v/>
      </c>
      <c r="AS452" s="66">
        <f>AI452*Y452</f>
        <v/>
      </c>
      <c r="AT452" s="66">
        <f>AJ452*Z452</f>
        <v/>
      </c>
      <c r="AU452" s="66">
        <f>AK452*AA452</f>
        <v/>
      </c>
      <c r="AV452" s="66">
        <f>AL452*AB452</f>
        <v/>
      </c>
      <c r="AW452" s="66">
        <f>AM452*AC452</f>
        <v/>
      </c>
      <c r="AX452" s="66">
        <f>AN452*AD452</f>
        <v/>
      </c>
      <c r="AY452" s="66">
        <f>AO452*AE452</f>
        <v/>
      </c>
      <c r="AZ452" s="66">
        <f>INDEX(Projects[Automation Equipment],451)&amp;""</f>
        <v/>
      </c>
      <c r="BA452" s="66">
        <f>IF(OR(A452="",'Smart Search'!H13=0),"",MAX(0,BE452*BF452*MAX(0,1-BG452)))</f>
        <v/>
      </c>
      <c r="BB452" s="66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66">
        <f>IF('Smart Search'!G13=1,IFERROR(1/'Smart Search'!H13,0),0)</f>
        <v/>
      </c>
      <c r="BD452" s="66">
        <f>BB452*BC452</f>
        <v/>
      </c>
      <c r="BE452" s="66">
        <f>AP452+AQ452+AR452+AS452+AT452+AU452+AV452+AW452+AX452+AY452+BD452</f>
        <v/>
      </c>
      <c r="BF452" s="5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5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5">
        <f>IF(AND(A452&lt;&gt;"",OR('Smart Search'!$L$5="",'Smart Search'!$L$5="All",TRIM(BZ452)=TRIM('Smart Search'!$L$5)),OR(TRIM('Smart Search'!$L$6)="",TRIM('Smart Search'!$L$6)="All",ISNUMBER(SEARCH(SUBSTITUTE(SUBSTITUTE(SUBSTITUTE(TRIM('Smart Search'!$L$6),"~","~~"),"*","~*"),"?","~?"),CA452))),OR('Smart Search'!$L$7="",AND(CB452&lt;&gt;0,CB452='Smart Search'!$L$7)),OR('Smart Search'!$L$8="",'Smart Search'!$L$8="All",TRIM(CC452)=TRIM('Smart Search'!$L$8))),IF(BA452="","",BA452+ROW()*0.0000000001),"")</f>
        <v/>
      </c>
      <c r="BI452" s="5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5">
        <f>IF(A452="","",N(INDEX(Projects[Mech Inst],451)))</f>
        <v/>
      </c>
      <c r="BK452" s="5">
        <f>IF(A452="","",N(INDEX(Projects[Elec Inst],451)))</f>
        <v/>
      </c>
      <c r="BL452" s="5">
        <f>IF(A452="","",N(INDEX(Projects[Project Management],451)))</f>
        <v/>
      </c>
      <c r="BM452" s="5">
        <f>IF(A452="","",N(INDEX(Projects[Systems Eng],451)))</f>
        <v/>
      </c>
      <c r="BN452" s="5">
        <f>IF(A452="","",N(INDEX(Projects[Mechanical Eng],451)))</f>
        <v/>
      </c>
      <c r="BO452" s="5">
        <f>IF(A452="","",N(INDEX(Projects[Structural Engineering],451)))</f>
        <v/>
      </c>
      <c r="BP452" s="5">
        <f>IF(A452="","",N(INDEX(Projects[Site Sup],451)))</f>
        <v/>
      </c>
      <c r="BQ452" s="5">
        <f>IF(A452="","",N(INDEX(Projects[Controls Commissioning],451)))</f>
        <v/>
      </c>
      <c r="BR452" s="5">
        <f>IF(A452="","",N(INDEX(Projects[Systems Commissioning],451)))</f>
        <v/>
      </c>
      <c r="BS452" s="5">
        <f>IF(A452="","",N(INDEX(Projects[Service Commissioning],451)))</f>
        <v/>
      </c>
      <c r="BT452" s="5">
        <f>IF(A452="","",N(INDEX(Projects[Controls Eng],451)))</f>
        <v/>
      </c>
      <c r="BU452" s="5">
        <f>IF(A452="","",N(INDEX(Projects[Controls Purchase],451)))</f>
        <v/>
      </c>
      <c r="BV452" s="5">
        <f>IF(A452="","",N(INDEX(Projects[Software Eng],451)))</f>
        <v/>
      </c>
      <c r="BW452" s="5">
        <f>IF(A452="","",N(INDEX(Projects[Misc],451)))</f>
        <v/>
      </c>
      <c r="BX452" s="5">
        <f>IF(A452="","",SUM(BJ452:BW452))</f>
        <v/>
      </c>
      <c r="BY452" s="5">
        <f>IF(A452="","",IFERROR(IF(ISNUMBER(U452),U452,VALUE(SUBSTITUTE(SUBSTITUTE(SUBSTITUTE(UPPER(TRIM(U452)),"M",""),",","")," ",""))),0))</f>
        <v/>
      </c>
      <c r="BZ452" s="5">
        <f>INDEX(Projects[Solution Type],451)&amp;""</f>
        <v/>
      </c>
      <c r="CA452" s="5">
        <f>INDEX(Projects[Client / Region],451)&amp;""</f>
        <v/>
      </c>
      <c r="CB452" s="5">
        <f>INDEX(Projects[Year],451)</f>
        <v/>
      </c>
      <c r="CC452" s="5">
        <f>INDEX(Projects[Won?],451)&amp;""</f>
        <v/>
      </c>
      <c r="CD452" s="5">
        <f>INDEX(Projects[Value (USD M)],451)</f>
        <v/>
      </c>
    </row>
    <row r="453" ht="15" customHeight="1" s="74">
      <c r="A453" s="66">
        <f>INDEX(Projects[Project ID *],452)&amp;""</f>
        <v/>
      </c>
      <c r="B453" s="66">
        <f>INDEX(Projects[Project Name *],452)&amp;""</f>
        <v/>
      </c>
      <c r="C453" s="66">
        <f>INDEX(Projects[MS Shuttles],452)</f>
        <v/>
      </c>
      <c r="D453" s="66">
        <f>INDEX(Projects[MS Tote Locations],452)</f>
        <v/>
      </c>
      <c r="E453" s="66">
        <f>INDEX(Projects[AS Robots],452)</f>
        <v/>
      </c>
      <c r="F453" s="66">
        <f>INDEX(Projects[AS Tote Locations],452)</f>
        <v/>
      </c>
      <c r="G453" s="66">
        <f>INDEX(Projects[PS Shuttles],452)</f>
        <v/>
      </c>
      <c r="H453" s="66">
        <f>INDEX(Projects[PS Pallet Locations],452)</f>
        <v/>
      </c>
      <c r="I453" s="66">
        <f>INDEX(Projects[SRM Cranes],452)</f>
        <v/>
      </c>
      <c r="J453" s="66">
        <f>INDEX(Projects[SRM Pallet Locations],452)</f>
        <v/>
      </c>
      <c r="K453" s="66">
        <f>INDEX(Projects[Case Conv (m)],452)</f>
        <v/>
      </c>
      <c r="L453" s="66">
        <f>INDEX(Projects[Pallet Conv (m)],452)</f>
        <v/>
      </c>
      <c r="M453" s="66">
        <f>INDEX(Projects[Mech Eng (wks)],452)</f>
        <v/>
      </c>
      <c r="N453" s="66">
        <f>INDEX(Projects[Controls Eng (wks)],452)</f>
        <v/>
      </c>
      <c r="O453" s="66">
        <f>INDEX(Projects[Systems Eng (wks)],452)</f>
        <v/>
      </c>
      <c r="P453" s="66">
        <f>INDEX(Projects[Software Eng (wks)],452)</f>
        <v/>
      </c>
      <c r="Q453" s="66">
        <f>INDEX(Projects[M&amp;E Installation (wks)],452)</f>
        <v/>
      </c>
      <c r="R453" s="66">
        <f>INDEX(Projects[Commissioning (wks)],452)</f>
        <v/>
      </c>
      <c r="S453" s="66">
        <f>INDEX(Projects[Total Timeline (wks)],452)</f>
        <v/>
      </c>
      <c r="T453" s="66">
        <f>INDEX(Projects[Currency],452)&amp;""</f>
        <v/>
      </c>
      <c r="U453" s="67">
        <f>INDEX(Projects[Value (M)],452)</f>
        <v/>
      </c>
      <c r="V453" s="66">
        <f>IF('Smart Search'!B13=1,IFERROR(1/'Smart Search'!H13,0),0)</f>
        <v/>
      </c>
      <c r="W453" s="66">
        <f>IF('Smart Search'!B13=1,IFERROR(1/'Smart Search'!H13,0),0)</f>
        <v/>
      </c>
      <c r="X453" s="66">
        <f>IF('Smart Search'!C13=1,IFERROR(1/'Smart Search'!H13,0),0)</f>
        <v/>
      </c>
      <c r="Y453" s="66">
        <f>IF('Smart Search'!C13=1,IFERROR(1/'Smart Search'!H13,0),0)</f>
        <v/>
      </c>
      <c r="Z453" s="66">
        <f>IF('Smart Search'!D13=1,IFERROR(1/'Smart Search'!H13,0),0)</f>
        <v/>
      </c>
      <c r="AA453" s="66">
        <f>IF('Smart Search'!D13=1,IFERROR(1/'Smart Search'!H13,0),0)</f>
        <v/>
      </c>
      <c r="AB453" s="66">
        <f>IF('Smart Search'!E13=1,IFERROR(1/'Smart Search'!H13,0),0)</f>
        <v/>
      </c>
      <c r="AC453" s="66">
        <f>IF('Smart Search'!E13=1,IFERROR(1/'Smart Search'!H13,0),0)</f>
        <v/>
      </c>
      <c r="AD453" s="66">
        <f>IF('Smart Search'!F13=1,IFERROR(1/'Smart Search'!H13,0),0)</f>
        <v/>
      </c>
      <c r="AE453" s="66">
        <f>IF('Smart Search'!F13=1,IFERROR(1/'Smart Search'!H13,0),0)</f>
        <v/>
      </c>
      <c r="AF453" s="66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66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66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66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66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66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66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66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66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66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66">
        <f>AF453*V453</f>
        <v/>
      </c>
      <c r="AQ453" s="66">
        <f>AG453*W453</f>
        <v/>
      </c>
      <c r="AR453" s="66">
        <f>AH453*X453</f>
        <v/>
      </c>
      <c r="AS453" s="66">
        <f>AI453*Y453</f>
        <v/>
      </c>
      <c r="AT453" s="66">
        <f>AJ453*Z453</f>
        <v/>
      </c>
      <c r="AU453" s="66">
        <f>AK453*AA453</f>
        <v/>
      </c>
      <c r="AV453" s="66">
        <f>AL453*AB453</f>
        <v/>
      </c>
      <c r="AW453" s="66">
        <f>AM453*AC453</f>
        <v/>
      </c>
      <c r="AX453" s="66">
        <f>AN453*AD453</f>
        <v/>
      </c>
      <c r="AY453" s="66">
        <f>AO453*AE453</f>
        <v/>
      </c>
      <c r="AZ453" s="66">
        <f>INDEX(Projects[Automation Equipment],452)&amp;""</f>
        <v/>
      </c>
      <c r="BA453" s="66">
        <f>IF(OR(A453="",'Smart Search'!H13=0),"",MAX(0,BE453*BF453*MAX(0,1-BG453)))</f>
        <v/>
      </c>
      <c r="BB453" s="66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66">
        <f>IF('Smart Search'!G13=1,IFERROR(1/'Smart Search'!H13,0),0)</f>
        <v/>
      </c>
      <c r="BD453" s="66">
        <f>BB453*BC453</f>
        <v/>
      </c>
      <c r="BE453" s="66">
        <f>AP453+AQ453+AR453+AS453+AT453+AU453+AV453+AW453+AX453+AY453+BD453</f>
        <v/>
      </c>
      <c r="BF453" s="5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5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5">
        <f>IF(AND(A453&lt;&gt;"",OR('Smart Search'!$L$5="",'Smart Search'!$L$5="All",TRIM(BZ453)=TRIM('Smart Search'!$L$5)),OR(TRIM('Smart Search'!$L$6)="",TRIM('Smart Search'!$L$6)="All",ISNUMBER(SEARCH(SUBSTITUTE(SUBSTITUTE(SUBSTITUTE(TRIM('Smart Search'!$L$6),"~","~~"),"*","~*"),"?","~?"),CA453))),OR('Smart Search'!$L$7="",AND(CB453&lt;&gt;0,CB453='Smart Search'!$L$7)),OR('Smart Search'!$L$8="",'Smart Search'!$L$8="All",TRIM(CC453)=TRIM('Smart Search'!$L$8))),IF(BA453="","",BA453+ROW()*0.0000000001),"")</f>
        <v/>
      </c>
      <c r="BI453" s="5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5">
        <f>IF(A453="","",N(INDEX(Projects[Mech Inst],452)))</f>
        <v/>
      </c>
      <c r="BK453" s="5">
        <f>IF(A453="","",N(INDEX(Projects[Elec Inst],452)))</f>
        <v/>
      </c>
      <c r="BL453" s="5">
        <f>IF(A453="","",N(INDEX(Projects[Project Management],452)))</f>
        <v/>
      </c>
      <c r="BM453" s="5">
        <f>IF(A453="","",N(INDEX(Projects[Systems Eng],452)))</f>
        <v/>
      </c>
      <c r="BN453" s="5">
        <f>IF(A453="","",N(INDEX(Projects[Mechanical Eng],452)))</f>
        <v/>
      </c>
      <c r="BO453" s="5">
        <f>IF(A453="","",N(INDEX(Projects[Structural Engineering],452)))</f>
        <v/>
      </c>
      <c r="BP453" s="5">
        <f>IF(A453="","",N(INDEX(Projects[Site Sup],452)))</f>
        <v/>
      </c>
      <c r="BQ453" s="5">
        <f>IF(A453="","",N(INDEX(Projects[Controls Commissioning],452)))</f>
        <v/>
      </c>
      <c r="BR453" s="5">
        <f>IF(A453="","",N(INDEX(Projects[Systems Commissioning],452)))</f>
        <v/>
      </c>
      <c r="BS453" s="5">
        <f>IF(A453="","",N(INDEX(Projects[Service Commissioning],452)))</f>
        <v/>
      </c>
      <c r="BT453" s="5">
        <f>IF(A453="","",N(INDEX(Projects[Controls Eng],452)))</f>
        <v/>
      </c>
      <c r="BU453" s="5">
        <f>IF(A453="","",N(INDEX(Projects[Controls Purchase],452)))</f>
        <v/>
      </c>
      <c r="BV453" s="5">
        <f>IF(A453="","",N(INDEX(Projects[Software Eng],452)))</f>
        <v/>
      </c>
      <c r="BW453" s="5">
        <f>IF(A453="","",N(INDEX(Projects[Misc],452)))</f>
        <v/>
      </c>
      <c r="BX453" s="5">
        <f>IF(A453="","",SUM(BJ453:BW453))</f>
        <v/>
      </c>
      <c r="BY453" s="5">
        <f>IF(A453="","",IFERROR(IF(ISNUMBER(U453),U453,VALUE(SUBSTITUTE(SUBSTITUTE(SUBSTITUTE(UPPER(TRIM(U453)),"M",""),",","")," ",""))),0))</f>
        <v/>
      </c>
      <c r="BZ453" s="5">
        <f>INDEX(Projects[Solution Type],452)&amp;""</f>
        <v/>
      </c>
      <c r="CA453" s="5">
        <f>INDEX(Projects[Client / Region],452)&amp;""</f>
        <v/>
      </c>
      <c r="CB453" s="5">
        <f>INDEX(Projects[Year],452)</f>
        <v/>
      </c>
      <c r="CC453" s="5">
        <f>INDEX(Projects[Won?],452)&amp;""</f>
        <v/>
      </c>
      <c r="CD453" s="5">
        <f>INDEX(Projects[Value (USD M)],452)</f>
        <v/>
      </c>
    </row>
    <row r="454" ht="15" customHeight="1" s="74">
      <c r="A454" s="66">
        <f>INDEX(Projects[Project ID *],453)&amp;""</f>
        <v/>
      </c>
      <c r="B454" s="66">
        <f>INDEX(Projects[Project Name *],453)&amp;""</f>
        <v/>
      </c>
      <c r="C454" s="66">
        <f>INDEX(Projects[MS Shuttles],453)</f>
        <v/>
      </c>
      <c r="D454" s="66">
        <f>INDEX(Projects[MS Tote Locations],453)</f>
        <v/>
      </c>
      <c r="E454" s="66">
        <f>INDEX(Projects[AS Robots],453)</f>
        <v/>
      </c>
      <c r="F454" s="66">
        <f>INDEX(Projects[AS Tote Locations],453)</f>
        <v/>
      </c>
      <c r="G454" s="66">
        <f>INDEX(Projects[PS Shuttles],453)</f>
        <v/>
      </c>
      <c r="H454" s="66">
        <f>INDEX(Projects[PS Pallet Locations],453)</f>
        <v/>
      </c>
      <c r="I454" s="66">
        <f>INDEX(Projects[SRM Cranes],453)</f>
        <v/>
      </c>
      <c r="J454" s="66">
        <f>INDEX(Projects[SRM Pallet Locations],453)</f>
        <v/>
      </c>
      <c r="K454" s="66">
        <f>INDEX(Projects[Case Conv (m)],453)</f>
        <v/>
      </c>
      <c r="L454" s="66">
        <f>INDEX(Projects[Pallet Conv (m)],453)</f>
        <v/>
      </c>
      <c r="M454" s="66">
        <f>INDEX(Projects[Mech Eng (wks)],453)</f>
        <v/>
      </c>
      <c r="N454" s="66">
        <f>INDEX(Projects[Controls Eng (wks)],453)</f>
        <v/>
      </c>
      <c r="O454" s="66">
        <f>INDEX(Projects[Systems Eng (wks)],453)</f>
        <v/>
      </c>
      <c r="P454" s="66">
        <f>INDEX(Projects[Software Eng (wks)],453)</f>
        <v/>
      </c>
      <c r="Q454" s="66">
        <f>INDEX(Projects[M&amp;E Installation (wks)],453)</f>
        <v/>
      </c>
      <c r="R454" s="66">
        <f>INDEX(Projects[Commissioning (wks)],453)</f>
        <v/>
      </c>
      <c r="S454" s="66">
        <f>INDEX(Projects[Total Timeline (wks)],453)</f>
        <v/>
      </c>
      <c r="T454" s="66">
        <f>INDEX(Projects[Currency],453)&amp;""</f>
        <v/>
      </c>
      <c r="U454" s="67">
        <f>INDEX(Projects[Value (M)],453)</f>
        <v/>
      </c>
      <c r="V454" s="66">
        <f>IF('Smart Search'!B13=1,IFERROR(1/'Smart Search'!H13,0),0)</f>
        <v/>
      </c>
      <c r="W454" s="66">
        <f>IF('Smart Search'!B13=1,IFERROR(1/'Smart Search'!H13,0),0)</f>
        <v/>
      </c>
      <c r="X454" s="66">
        <f>IF('Smart Search'!C13=1,IFERROR(1/'Smart Search'!H13,0),0)</f>
        <v/>
      </c>
      <c r="Y454" s="66">
        <f>IF('Smart Search'!C13=1,IFERROR(1/'Smart Search'!H13,0),0)</f>
        <v/>
      </c>
      <c r="Z454" s="66">
        <f>IF('Smart Search'!D13=1,IFERROR(1/'Smart Search'!H13,0),0)</f>
        <v/>
      </c>
      <c r="AA454" s="66">
        <f>IF('Smart Search'!D13=1,IFERROR(1/'Smart Search'!H13,0),0)</f>
        <v/>
      </c>
      <c r="AB454" s="66">
        <f>IF('Smart Search'!E13=1,IFERROR(1/'Smart Search'!H13,0),0)</f>
        <v/>
      </c>
      <c r="AC454" s="66">
        <f>IF('Smart Search'!E13=1,IFERROR(1/'Smart Search'!H13,0),0)</f>
        <v/>
      </c>
      <c r="AD454" s="66">
        <f>IF('Smart Search'!F13=1,IFERROR(1/'Smart Search'!H13,0),0)</f>
        <v/>
      </c>
      <c r="AE454" s="66">
        <f>IF('Smart Search'!F13=1,IFERROR(1/'Smart Search'!H13,0),0)</f>
        <v/>
      </c>
      <c r="AF454" s="66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66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66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66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66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66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66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66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66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66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66">
        <f>AF454*V454</f>
        <v/>
      </c>
      <c r="AQ454" s="66">
        <f>AG454*W454</f>
        <v/>
      </c>
      <c r="AR454" s="66">
        <f>AH454*X454</f>
        <v/>
      </c>
      <c r="AS454" s="66">
        <f>AI454*Y454</f>
        <v/>
      </c>
      <c r="AT454" s="66">
        <f>AJ454*Z454</f>
        <v/>
      </c>
      <c r="AU454" s="66">
        <f>AK454*AA454</f>
        <v/>
      </c>
      <c r="AV454" s="66">
        <f>AL454*AB454</f>
        <v/>
      </c>
      <c r="AW454" s="66">
        <f>AM454*AC454</f>
        <v/>
      </c>
      <c r="AX454" s="66">
        <f>AN454*AD454</f>
        <v/>
      </c>
      <c r="AY454" s="66">
        <f>AO454*AE454</f>
        <v/>
      </c>
      <c r="AZ454" s="66">
        <f>INDEX(Projects[Automation Equipment],453)&amp;""</f>
        <v/>
      </c>
      <c r="BA454" s="66">
        <f>IF(OR(A454="",'Smart Search'!H13=0),"",MAX(0,BE454*BF454*MAX(0,1-BG454)))</f>
        <v/>
      </c>
      <c r="BB454" s="66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66">
        <f>IF('Smart Search'!G13=1,IFERROR(1/'Smart Search'!H13,0),0)</f>
        <v/>
      </c>
      <c r="BD454" s="66">
        <f>BB454*BC454</f>
        <v/>
      </c>
      <c r="BE454" s="66">
        <f>AP454+AQ454+AR454+AS454+AT454+AU454+AV454+AW454+AX454+AY454+BD454</f>
        <v/>
      </c>
      <c r="BF454" s="5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5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5">
        <f>IF(AND(A454&lt;&gt;"",OR('Smart Search'!$L$5="",'Smart Search'!$L$5="All",TRIM(BZ454)=TRIM('Smart Search'!$L$5)),OR(TRIM('Smart Search'!$L$6)="",TRIM('Smart Search'!$L$6)="All",ISNUMBER(SEARCH(SUBSTITUTE(SUBSTITUTE(SUBSTITUTE(TRIM('Smart Search'!$L$6),"~","~~"),"*","~*"),"?","~?"),CA454))),OR('Smart Search'!$L$7="",AND(CB454&lt;&gt;0,CB454='Smart Search'!$L$7)),OR('Smart Search'!$L$8="",'Smart Search'!$L$8="All",TRIM(CC454)=TRIM('Smart Search'!$L$8))),IF(BA454="","",BA454+ROW()*0.0000000001),"")</f>
        <v/>
      </c>
      <c r="BI454" s="5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5">
        <f>IF(A454="","",N(INDEX(Projects[Mech Inst],453)))</f>
        <v/>
      </c>
      <c r="BK454" s="5">
        <f>IF(A454="","",N(INDEX(Projects[Elec Inst],453)))</f>
        <v/>
      </c>
      <c r="BL454" s="5">
        <f>IF(A454="","",N(INDEX(Projects[Project Management],453)))</f>
        <v/>
      </c>
      <c r="BM454" s="5">
        <f>IF(A454="","",N(INDEX(Projects[Systems Eng],453)))</f>
        <v/>
      </c>
      <c r="BN454" s="5">
        <f>IF(A454="","",N(INDEX(Projects[Mechanical Eng],453)))</f>
        <v/>
      </c>
      <c r="BO454" s="5">
        <f>IF(A454="","",N(INDEX(Projects[Structural Engineering],453)))</f>
        <v/>
      </c>
      <c r="BP454" s="5">
        <f>IF(A454="","",N(INDEX(Projects[Site Sup],453)))</f>
        <v/>
      </c>
      <c r="BQ454" s="5">
        <f>IF(A454="","",N(INDEX(Projects[Controls Commissioning],453)))</f>
        <v/>
      </c>
      <c r="BR454" s="5">
        <f>IF(A454="","",N(INDEX(Projects[Systems Commissioning],453)))</f>
        <v/>
      </c>
      <c r="BS454" s="5">
        <f>IF(A454="","",N(INDEX(Projects[Service Commissioning],453)))</f>
        <v/>
      </c>
      <c r="BT454" s="5">
        <f>IF(A454="","",N(INDEX(Projects[Controls Eng],453)))</f>
        <v/>
      </c>
      <c r="BU454" s="5">
        <f>IF(A454="","",N(INDEX(Projects[Controls Purchase],453)))</f>
        <v/>
      </c>
      <c r="BV454" s="5">
        <f>IF(A454="","",N(INDEX(Projects[Software Eng],453)))</f>
        <v/>
      </c>
      <c r="BW454" s="5">
        <f>IF(A454="","",N(INDEX(Projects[Misc],453)))</f>
        <v/>
      </c>
      <c r="BX454" s="5">
        <f>IF(A454="","",SUM(BJ454:BW454))</f>
        <v/>
      </c>
      <c r="BY454" s="5">
        <f>IF(A454="","",IFERROR(IF(ISNUMBER(U454),U454,VALUE(SUBSTITUTE(SUBSTITUTE(SUBSTITUTE(UPPER(TRIM(U454)),"M",""),",","")," ",""))),0))</f>
        <v/>
      </c>
      <c r="BZ454" s="5">
        <f>INDEX(Projects[Solution Type],453)&amp;""</f>
        <v/>
      </c>
      <c r="CA454" s="5">
        <f>INDEX(Projects[Client / Region],453)&amp;""</f>
        <v/>
      </c>
      <c r="CB454" s="5">
        <f>INDEX(Projects[Year],453)</f>
        <v/>
      </c>
      <c r="CC454" s="5">
        <f>INDEX(Projects[Won?],453)&amp;""</f>
        <v/>
      </c>
      <c r="CD454" s="5">
        <f>INDEX(Projects[Value (USD M)],453)</f>
        <v/>
      </c>
    </row>
    <row r="455" ht="15" customHeight="1" s="74">
      <c r="A455" s="66">
        <f>INDEX(Projects[Project ID *],454)&amp;""</f>
        <v/>
      </c>
      <c r="B455" s="66">
        <f>INDEX(Projects[Project Name *],454)&amp;""</f>
        <v/>
      </c>
      <c r="C455" s="66">
        <f>INDEX(Projects[MS Shuttles],454)</f>
        <v/>
      </c>
      <c r="D455" s="66">
        <f>INDEX(Projects[MS Tote Locations],454)</f>
        <v/>
      </c>
      <c r="E455" s="66">
        <f>INDEX(Projects[AS Robots],454)</f>
        <v/>
      </c>
      <c r="F455" s="66">
        <f>INDEX(Projects[AS Tote Locations],454)</f>
        <v/>
      </c>
      <c r="G455" s="66">
        <f>INDEX(Projects[PS Shuttles],454)</f>
        <v/>
      </c>
      <c r="H455" s="66">
        <f>INDEX(Projects[PS Pallet Locations],454)</f>
        <v/>
      </c>
      <c r="I455" s="66">
        <f>INDEX(Projects[SRM Cranes],454)</f>
        <v/>
      </c>
      <c r="J455" s="66">
        <f>INDEX(Projects[SRM Pallet Locations],454)</f>
        <v/>
      </c>
      <c r="K455" s="66">
        <f>INDEX(Projects[Case Conv (m)],454)</f>
        <v/>
      </c>
      <c r="L455" s="66">
        <f>INDEX(Projects[Pallet Conv (m)],454)</f>
        <v/>
      </c>
      <c r="M455" s="66">
        <f>INDEX(Projects[Mech Eng (wks)],454)</f>
        <v/>
      </c>
      <c r="N455" s="66">
        <f>INDEX(Projects[Controls Eng (wks)],454)</f>
        <v/>
      </c>
      <c r="O455" s="66">
        <f>INDEX(Projects[Systems Eng (wks)],454)</f>
        <v/>
      </c>
      <c r="P455" s="66">
        <f>INDEX(Projects[Software Eng (wks)],454)</f>
        <v/>
      </c>
      <c r="Q455" s="66">
        <f>INDEX(Projects[M&amp;E Installation (wks)],454)</f>
        <v/>
      </c>
      <c r="R455" s="66">
        <f>INDEX(Projects[Commissioning (wks)],454)</f>
        <v/>
      </c>
      <c r="S455" s="66">
        <f>INDEX(Projects[Total Timeline (wks)],454)</f>
        <v/>
      </c>
      <c r="T455" s="66">
        <f>INDEX(Projects[Currency],454)&amp;""</f>
        <v/>
      </c>
      <c r="U455" s="67">
        <f>INDEX(Projects[Value (M)],454)</f>
        <v/>
      </c>
      <c r="V455" s="66">
        <f>IF('Smart Search'!B13=1,IFERROR(1/'Smart Search'!H13,0),0)</f>
        <v/>
      </c>
      <c r="W455" s="66">
        <f>IF('Smart Search'!B13=1,IFERROR(1/'Smart Search'!H13,0),0)</f>
        <v/>
      </c>
      <c r="X455" s="66">
        <f>IF('Smart Search'!C13=1,IFERROR(1/'Smart Search'!H13,0),0)</f>
        <v/>
      </c>
      <c r="Y455" s="66">
        <f>IF('Smart Search'!C13=1,IFERROR(1/'Smart Search'!H13,0),0)</f>
        <v/>
      </c>
      <c r="Z455" s="66">
        <f>IF('Smart Search'!D13=1,IFERROR(1/'Smart Search'!H13,0),0)</f>
        <v/>
      </c>
      <c r="AA455" s="66">
        <f>IF('Smart Search'!D13=1,IFERROR(1/'Smart Search'!H13,0),0)</f>
        <v/>
      </c>
      <c r="AB455" s="66">
        <f>IF('Smart Search'!E13=1,IFERROR(1/'Smart Search'!H13,0),0)</f>
        <v/>
      </c>
      <c r="AC455" s="66">
        <f>IF('Smart Search'!E13=1,IFERROR(1/'Smart Search'!H13,0),0)</f>
        <v/>
      </c>
      <c r="AD455" s="66">
        <f>IF('Smart Search'!F13=1,IFERROR(1/'Smart Search'!H13,0),0)</f>
        <v/>
      </c>
      <c r="AE455" s="66">
        <f>IF('Smart Search'!F13=1,IFERROR(1/'Smart Search'!H13,0),0)</f>
        <v/>
      </c>
      <c r="AF455" s="66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66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66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66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66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66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66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66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66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66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66">
        <f>AF455*V455</f>
        <v/>
      </c>
      <c r="AQ455" s="66">
        <f>AG455*W455</f>
        <v/>
      </c>
      <c r="AR455" s="66">
        <f>AH455*X455</f>
        <v/>
      </c>
      <c r="AS455" s="66">
        <f>AI455*Y455</f>
        <v/>
      </c>
      <c r="AT455" s="66">
        <f>AJ455*Z455</f>
        <v/>
      </c>
      <c r="AU455" s="66">
        <f>AK455*AA455</f>
        <v/>
      </c>
      <c r="AV455" s="66">
        <f>AL455*AB455</f>
        <v/>
      </c>
      <c r="AW455" s="66">
        <f>AM455*AC455</f>
        <v/>
      </c>
      <c r="AX455" s="66">
        <f>AN455*AD455</f>
        <v/>
      </c>
      <c r="AY455" s="66">
        <f>AO455*AE455</f>
        <v/>
      </c>
      <c r="AZ455" s="66">
        <f>INDEX(Projects[Automation Equipment],454)&amp;""</f>
        <v/>
      </c>
      <c r="BA455" s="66">
        <f>IF(OR(A455="",'Smart Search'!H13=0),"",MAX(0,BE455*BF455*MAX(0,1-BG455)))</f>
        <v/>
      </c>
      <c r="BB455" s="66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66">
        <f>IF('Smart Search'!G13=1,IFERROR(1/'Smart Search'!H13,0),0)</f>
        <v/>
      </c>
      <c r="BD455" s="66">
        <f>BB455*BC455</f>
        <v/>
      </c>
      <c r="BE455" s="66">
        <f>AP455+AQ455+AR455+AS455+AT455+AU455+AV455+AW455+AX455+AY455+BD455</f>
        <v/>
      </c>
      <c r="BF455" s="5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5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5">
        <f>IF(AND(A455&lt;&gt;"",OR('Smart Search'!$L$5="",'Smart Search'!$L$5="All",TRIM(BZ455)=TRIM('Smart Search'!$L$5)),OR(TRIM('Smart Search'!$L$6)="",TRIM('Smart Search'!$L$6)="All",ISNUMBER(SEARCH(SUBSTITUTE(SUBSTITUTE(SUBSTITUTE(TRIM('Smart Search'!$L$6),"~","~~"),"*","~*"),"?","~?"),CA455))),OR('Smart Search'!$L$7="",AND(CB455&lt;&gt;0,CB455='Smart Search'!$L$7)),OR('Smart Search'!$L$8="",'Smart Search'!$L$8="All",TRIM(CC455)=TRIM('Smart Search'!$L$8))),IF(BA455="","",BA455+ROW()*0.0000000001),"")</f>
        <v/>
      </c>
      <c r="BI455" s="5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5">
        <f>IF(A455="","",N(INDEX(Projects[Mech Inst],454)))</f>
        <v/>
      </c>
      <c r="BK455" s="5">
        <f>IF(A455="","",N(INDEX(Projects[Elec Inst],454)))</f>
        <v/>
      </c>
      <c r="BL455" s="5">
        <f>IF(A455="","",N(INDEX(Projects[Project Management],454)))</f>
        <v/>
      </c>
      <c r="BM455" s="5">
        <f>IF(A455="","",N(INDEX(Projects[Systems Eng],454)))</f>
        <v/>
      </c>
      <c r="BN455" s="5">
        <f>IF(A455="","",N(INDEX(Projects[Mechanical Eng],454)))</f>
        <v/>
      </c>
      <c r="BO455" s="5">
        <f>IF(A455="","",N(INDEX(Projects[Structural Engineering],454)))</f>
        <v/>
      </c>
      <c r="BP455" s="5">
        <f>IF(A455="","",N(INDEX(Projects[Site Sup],454)))</f>
        <v/>
      </c>
      <c r="BQ455" s="5">
        <f>IF(A455="","",N(INDEX(Projects[Controls Commissioning],454)))</f>
        <v/>
      </c>
      <c r="BR455" s="5">
        <f>IF(A455="","",N(INDEX(Projects[Systems Commissioning],454)))</f>
        <v/>
      </c>
      <c r="BS455" s="5">
        <f>IF(A455="","",N(INDEX(Projects[Service Commissioning],454)))</f>
        <v/>
      </c>
      <c r="BT455" s="5">
        <f>IF(A455="","",N(INDEX(Projects[Controls Eng],454)))</f>
        <v/>
      </c>
      <c r="BU455" s="5">
        <f>IF(A455="","",N(INDEX(Projects[Controls Purchase],454)))</f>
        <v/>
      </c>
      <c r="BV455" s="5">
        <f>IF(A455="","",N(INDEX(Projects[Software Eng],454)))</f>
        <v/>
      </c>
      <c r="BW455" s="5">
        <f>IF(A455="","",N(INDEX(Projects[Misc],454)))</f>
        <v/>
      </c>
      <c r="BX455" s="5">
        <f>IF(A455="","",SUM(BJ455:BW455))</f>
        <v/>
      </c>
      <c r="BY455" s="5">
        <f>IF(A455="","",IFERROR(IF(ISNUMBER(U455),U455,VALUE(SUBSTITUTE(SUBSTITUTE(SUBSTITUTE(UPPER(TRIM(U455)),"M",""),",","")," ",""))),0))</f>
        <v/>
      </c>
      <c r="BZ455" s="5">
        <f>INDEX(Projects[Solution Type],454)&amp;""</f>
        <v/>
      </c>
      <c r="CA455" s="5">
        <f>INDEX(Projects[Client / Region],454)&amp;""</f>
        <v/>
      </c>
      <c r="CB455" s="5">
        <f>INDEX(Projects[Year],454)</f>
        <v/>
      </c>
      <c r="CC455" s="5">
        <f>INDEX(Projects[Won?],454)&amp;""</f>
        <v/>
      </c>
      <c r="CD455" s="5">
        <f>INDEX(Projects[Value (USD M)],454)</f>
        <v/>
      </c>
    </row>
    <row r="456" ht="15" customHeight="1" s="74">
      <c r="A456" s="66">
        <f>INDEX(Projects[Project ID *],455)&amp;""</f>
        <v/>
      </c>
      <c r="B456" s="66">
        <f>INDEX(Projects[Project Name *],455)&amp;""</f>
        <v/>
      </c>
      <c r="C456" s="66">
        <f>INDEX(Projects[MS Shuttles],455)</f>
        <v/>
      </c>
      <c r="D456" s="66">
        <f>INDEX(Projects[MS Tote Locations],455)</f>
        <v/>
      </c>
      <c r="E456" s="66">
        <f>INDEX(Projects[AS Robots],455)</f>
        <v/>
      </c>
      <c r="F456" s="66">
        <f>INDEX(Projects[AS Tote Locations],455)</f>
        <v/>
      </c>
      <c r="G456" s="66">
        <f>INDEX(Projects[PS Shuttles],455)</f>
        <v/>
      </c>
      <c r="H456" s="66">
        <f>INDEX(Projects[PS Pallet Locations],455)</f>
        <v/>
      </c>
      <c r="I456" s="66">
        <f>INDEX(Projects[SRM Cranes],455)</f>
        <v/>
      </c>
      <c r="J456" s="66">
        <f>INDEX(Projects[SRM Pallet Locations],455)</f>
        <v/>
      </c>
      <c r="K456" s="66">
        <f>INDEX(Projects[Case Conv (m)],455)</f>
        <v/>
      </c>
      <c r="L456" s="66">
        <f>INDEX(Projects[Pallet Conv (m)],455)</f>
        <v/>
      </c>
      <c r="M456" s="66">
        <f>INDEX(Projects[Mech Eng (wks)],455)</f>
        <v/>
      </c>
      <c r="N456" s="66">
        <f>INDEX(Projects[Controls Eng (wks)],455)</f>
        <v/>
      </c>
      <c r="O456" s="66">
        <f>INDEX(Projects[Systems Eng (wks)],455)</f>
        <v/>
      </c>
      <c r="P456" s="66">
        <f>INDEX(Projects[Software Eng (wks)],455)</f>
        <v/>
      </c>
      <c r="Q456" s="66">
        <f>INDEX(Projects[M&amp;E Installation (wks)],455)</f>
        <v/>
      </c>
      <c r="R456" s="66">
        <f>INDEX(Projects[Commissioning (wks)],455)</f>
        <v/>
      </c>
      <c r="S456" s="66">
        <f>INDEX(Projects[Total Timeline (wks)],455)</f>
        <v/>
      </c>
      <c r="T456" s="66">
        <f>INDEX(Projects[Currency],455)&amp;""</f>
        <v/>
      </c>
      <c r="U456" s="67">
        <f>INDEX(Projects[Value (M)],455)</f>
        <v/>
      </c>
      <c r="V456" s="66">
        <f>IF('Smart Search'!B13=1,IFERROR(1/'Smart Search'!H13,0),0)</f>
        <v/>
      </c>
      <c r="W456" s="66">
        <f>IF('Smart Search'!B13=1,IFERROR(1/'Smart Search'!H13,0),0)</f>
        <v/>
      </c>
      <c r="X456" s="66">
        <f>IF('Smart Search'!C13=1,IFERROR(1/'Smart Search'!H13,0),0)</f>
        <v/>
      </c>
      <c r="Y456" s="66">
        <f>IF('Smart Search'!C13=1,IFERROR(1/'Smart Search'!H13,0),0)</f>
        <v/>
      </c>
      <c r="Z456" s="66">
        <f>IF('Smart Search'!D13=1,IFERROR(1/'Smart Search'!H13,0),0)</f>
        <v/>
      </c>
      <c r="AA456" s="66">
        <f>IF('Smart Search'!D13=1,IFERROR(1/'Smart Search'!H13,0),0)</f>
        <v/>
      </c>
      <c r="AB456" s="66">
        <f>IF('Smart Search'!E13=1,IFERROR(1/'Smart Search'!H13,0),0)</f>
        <v/>
      </c>
      <c r="AC456" s="66">
        <f>IF('Smart Search'!E13=1,IFERROR(1/'Smart Search'!H13,0),0)</f>
        <v/>
      </c>
      <c r="AD456" s="66">
        <f>IF('Smart Search'!F13=1,IFERROR(1/'Smart Search'!H13,0),0)</f>
        <v/>
      </c>
      <c r="AE456" s="66">
        <f>IF('Smart Search'!F13=1,IFERROR(1/'Smart Search'!H13,0),0)</f>
        <v/>
      </c>
      <c r="AF456" s="66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66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66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66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66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66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66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66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66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66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66">
        <f>AF456*V456</f>
        <v/>
      </c>
      <c r="AQ456" s="66">
        <f>AG456*W456</f>
        <v/>
      </c>
      <c r="AR456" s="66">
        <f>AH456*X456</f>
        <v/>
      </c>
      <c r="AS456" s="66">
        <f>AI456*Y456</f>
        <v/>
      </c>
      <c r="AT456" s="66">
        <f>AJ456*Z456</f>
        <v/>
      </c>
      <c r="AU456" s="66">
        <f>AK456*AA456</f>
        <v/>
      </c>
      <c r="AV456" s="66">
        <f>AL456*AB456</f>
        <v/>
      </c>
      <c r="AW456" s="66">
        <f>AM456*AC456</f>
        <v/>
      </c>
      <c r="AX456" s="66">
        <f>AN456*AD456</f>
        <v/>
      </c>
      <c r="AY456" s="66">
        <f>AO456*AE456</f>
        <v/>
      </c>
      <c r="AZ456" s="66">
        <f>INDEX(Projects[Automation Equipment],455)&amp;""</f>
        <v/>
      </c>
      <c r="BA456" s="66">
        <f>IF(OR(A456="",'Smart Search'!H13=0),"",MAX(0,BE456*BF456*MAX(0,1-BG456)))</f>
        <v/>
      </c>
      <c r="BB456" s="66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66">
        <f>IF('Smart Search'!G13=1,IFERROR(1/'Smart Search'!H13,0),0)</f>
        <v/>
      </c>
      <c r="BD456" s="66">
        <f>BB456*BC456</f>
        <v/>
      </c>
      <c r="BE456" s="66">
        <f>AP456+AQ456+AR456+AS456+AT456+AU456+AV456+AW456+AX456+AY456+BD456</f>
        <v/>
      </c>
      <c r="BF456" s="5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5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5">
        <f>IF(AND(A456&lt;&gt;"",OR('Smart Search'!$L$5="",'Smart Search'!$L$5="All",TRIM(BZ456)=TRIM('Smart Search'!$L$5)),OR(TRIM('Smart Search'!$L$6)="",TRIM('Smart Search'!$L$6)="All",ISNUMBER(SEARCH(SUBSTITUTE(SUBSTITUTE(SUBSTITUTE(TRIM('Smart Search'!$L$6),"~","~~"),"*","~*"),"?","~?"),CA456))),OR('Smart Search'!$L$7="",AND(CB456&lt;&gt;0,CB456='Smart Search'!$L$7)),OR('Smart Search'!$L$8="",'Smart Search'!$L$8="All",TRIM(CC456)=TRIM('Smart Search'!$L$8))),IF(BA456="","",BA456+ROW()*0.0000000001),"")</f>
        <v/>
      </c>
      <c r="BI456" s="5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5">
        <f>IF(A456="","",N(INDEX(Projects[Mech Inst],455)))</f>
        <v/>
      </c>
      <c r="BK456" s="5">
        <f>IF(A456="","",N(INDEX(Projects[Elec Inst],455)))</f>
        <v/>
      </c>
      <c r="BL456" s="5">
        <f>IF(A456="","",N(INDEX(Projects[Project Management],455)))</f>
        <v/>
      </c>
      <c r="BM456" s="5">
        <f>IF(A456="","",N(INDEX(Projects[Systems Eng],455)))</f>
        <v/>
      </c>
      <c r="BN456" s="5">
        <f>IF(A456="","",N(INDEX(Projects[Mechanical Eng],455)))</f>
        <v/>
      </c>
      <c r="BO456" s="5">
        <f>IF(A456="","",N(INDEX(Projects[Structural Engineering],455)))</f>
        <v/>
      </c>
      <c r="BP456" s="5">
        <f>IF(A456="","",N(INDEX(Projects[Site Sup],455)))</f>
        <v/>
      </c>
      <c r="BQ456" s="5">
        <f>IF(A456="","",N(INDEX(Projects[Controls Commissioning],455)))</f>
        <v/>
      </c>
      <c r="BR456" s="5">
        <f>IF(A456="","",N(INDEX(Projects[Systems Commissioning],455)))</f>
        <v/>
      </c>
      <c r="BS456" s="5">
        <f>IF(A456="","",N(INDEX(Projects[Service Commissioning],455)))</f>
        <v/>
      </c>
      <c r="BT456" s="5">
        <f>IF(A456="","",N(INDEX(Projects[Controls Eng],455)))</f>
        <v/>
      </c>
      <c r="BU456" s="5">
        <f>IF(A456="","",N(INDEX(Projects[Controls Purchase],455)))</f>
        <v/>
      </c>
      <c r="BV456" s="5">
        <f>IF(A456="","",N(INDEX(Projects[Software Eng],455)))</f>
        <v/>
      </c>
      <c r="BW456" s="5">
        <f>IF(A456="","",N(INDEX(Projects[Misc],455)))</f>
        <v/>
      </c>
      <c r="BX456" s="5">
        <f>IF(A456="","",SUM(BJ456:BW456))</f>
        <v/>
      </c>
      <c r="BY456" s="5">
        <f>IF(A456="","",IFERROR(IF(ISNUMBER(U456),U456,VALUE(SUBSTITUTE(SUBSTITUTE(SUBSTITUTE(UPPER(TRIM(U456)),"M",""),",","")," ",""))),0))</f>
        <v/>
      </c>
      <c r="BZ456" s="5">
        <f>INDEX(Projects[Solution Type],455)&amp;""</f>
        <v/>
      </c>
      <c r="CA456" s="5">
        <f>INDEX(Projects[Client / Region],455)&amp;""</f>
        <v/>
      </c>
      <c r="CB456" s="5">
        <f>INDEX(Projects[Year],455)</f>
        <v/>
      </c>
      <c r="CC456" s="5">
        <f>INDEX(Projects[Won?],455)&amp;""</f>
        <v/>
      </c>
      <c r="CD456" s="5">
        <f>INDEX(Projects[Value (USD M)],455)</f>
        <v/>
      </c>
    </row>
    <row r="457" ht="15" customHeight="1" s="74">
      <c r="A457" s="66">
        <f>INDEX(Projects[Project ID *],456)&amp;""</f>
        <v/>
      </c>
      <c r="B457" s="66">
        <f>INDEX(Projects[Project Name *],456)&amp;""</f>
        <v/>
      </c>
      <c r="C457" s="66">
        <f>INDEX(Projects[MS Shuttles],456)</f>
        <v/>
      </c>
      <c r="D457" s="66">
        <f>INDEX(Projects[MS Tote Locations],456)</f>
        <v/>
      </c>
      <c r="E457" s="66">
        <f>INDEX(Projects[AS Robots],456)</f>
        <v/>
      </c>
      <c r="F457" s="66">
        <f>INDEX(Projects[AS Tote Locations],456)</f>
        <v/>
      </c>
      <c r="G457" s="66">
        <f>INDEX(Projects[PS Shuttles],456)</f>
        <v/>
      </c>
      <c r="H457" s="66">
        <f>INDEX(Projects[PS Pallet Locations],456)</f>
        <v/>
      </c>
      <c r="I457" s="66">
        <f>INDEX(Projects[SRM Cranes],456)</f>
        <v/>
      </c>
      <c r="J457" s="66">
        <f>INDEX(Projects[SRM Pallet Locations],456)</f>
        <v/>
      </c>
      <c r="K457" s="66">
        <f>INDEX(Projects[Case Conv (m)],456)</f>
        <v/>
      </c>
      <c r="L457" s="66">
        <f>INDEX(Projects[Pallet Conv (m)],456)</f>
        <v/>
      </c>
      <c r="M457" s="66">
        <f>INDEX(Projects[Mech Eng (wks)],456)</f>
        <v/>
      </c>
      <c r="N457" s="66">
        <f>INDEX(Projects[Controls Eng (wks)],456)</f>
        <v/>
      </c>
      <c r="O457" s="66">
        <f>INDEX(Projects[Systems Eng (wks)],456)</f>
        <v/>
      </c>
      <c r="P457" s="66">
        <f>INDEX(Projects[Software Eng (wks)],456)</f>
        <v/>
      </c>
      <c r="Q457" s="66">
        <f>INDEX(Projects[M&amp;E Installation (wks)],456)</f>
        <v/>
      </c>
      <c r="R457" s="66">
        <f>INDEX(Projects[Commissioning (wks)],456)</f>
        <v/>
      </c>
      <c r="S457" s="66">
        <f>INDEX(Projects[Total Timeline (wks)],456)</f>
        <v/>
      </c>
      <c r="T457" s="66">
        <f>INDEX(Projects[Currency],456)&amp;""</f>
        <v/>
      </c>
      <c r="U457" s="67">
        <f>INDEX(Projects[Value (M)],456)</f>
        <v/>
      </c>
      <c r="V457" s="66">
        <f>IF('Smart Search'!B13=1,IFERROR(1/'Smart Search'!H13,0),0)</f>
        <v/>
      </c>
      <c r="W457" s="66">
        <f>IF('Smart Search'!B13=1,IFERROR(1/'Smart Search'!H13,0),0)</f>
        <v/>
      </c>
      <c r="X457" s="66">
        <f>IF('Smart Search'!C13=1,IFERROR(1/'Smart Search'!H13,0),0)</f>
        <v/>
      </c>
      <c r="Y457" s="66">
        <f>IF('Smart Search'!C13=1,IFERROR(1/'Smart Search'!H13,0),0)</f>
        <v/>
      </c>
      <c r="Z457" s="66">
        <f>IF('Smart Search'!D13=1,IFERROR(1/'Smart Search'!H13,0),0)</f>
        <v/>
      </c>
      <c r="AA457" s="66">
        <f>IF('Smart Search'!D13=1,IFERROR(1/'Smart Search'!H13,0),0)</f>
        <v/>
      </c>
      <c r="AB457" s="66">
        <f>IF('Smart Search'!E13=1,IFERROR(1/'Smart Search'!H13,0),0)</f>
        <v/>
      </c>
      <c r="AC457" s="66">
        <f>IF('Smart Search'!E13=1,IFERROR(1/'Smart Search'!H13,0),0)</f>
        <v/>
      </c>
      <c r="AD457" s="66">
        <f>IF('Smart Search'!F13=1,IFERROR(1/'Smart Search'!H13,0),0)</f>
        <v/>
      </c>
      <c r="AE457" s="66">
        <f>IF('Smart Search'!F13=1,IFERROR(1/'Smart Search'!H13,0),0)</f>
        <v/>
      </c>
      <c r="AF457" s="66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66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66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66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66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66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66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66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66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66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66">
        <f>AF457*V457</f>
        <v/>
      </c>
      <c r="AQ457" s="66">
        <f>AG457*W457</f>
        <v/>
      </c>
      <c r="AR457" s="66">
        <f>AH457*X457</f>
        <v/>
      </c>
      <c r="AS457" s="66">
        <f>AI457*Y457</f>
        <v/>
      </c>
      <c r="AT457" s="66">
        <f>AJ457*Z457</f>
        <v/>
      </c>
      <c r="AU457" s="66">
        <f>AK457*AA457</f>
        <v/>
      </c>
      <c r="AV457" s="66">
        <f>AL457*AB457</f>
        <v/>
      </c>
      <c r="AW457" s="66">
        <f>AM457*AC457</f>
        <v/>
      </c>
      <c r="AX457" s="66">
        <f>AN457*AD457</f>
        <v/>
      </c>
      <c r="AY457" s="66">
        <f>AO457*AE457</f>
        <v/>
      </c>
      <c r="AZ457" s="66">
        <f>INDEX(Projects[Automation Equipment],456)&amp;""</f>
        <v/>
      </c>
      <c r="BA457" s="66">
        <f>IF(OR(A457="",'Smart Search'!H13=0),"",MAX(0,BE457*BF457*MAX(0,1-BG457)))</f>
        <v/>
      </c>
      <c r="BB457" s="66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66">
        <f>IF('Smart Search'!G13=1,IFERROR(1/'Smart Search'!H13,0),0)</f>
        <v/>
      </c>
      <c r="BD457" s="66">
        <f>BB457*BC457</f>
        <v/>
      </c>
      <c r="BE457" s="66">
        <f>AP457+AQ457+AR457+AS457+AT457+AU457+AV457+AW457+AX457+AY457+BD457</f>
        <v/>
      </c>
      <c r="BF457" s="5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5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5">
        <f>IF(AND(A457&lt;&gt;"",OR('Smart Search'!$L$5="",'Smart Search'!$L$5="All",TRIM(BZ457)=TRIM('Smart Search'!$L$5)),OR(TRIM('Smart Search'!$L$6)="",TRIM('Smart Search'!$L$6)="All",ISNUMBER(SEARCH(SUBSTITUTE(SUBSTITUTE(SUBSTITUTE(TRIM('Smart Search'!$L$6),"~","~~"),"*","~*"),"?","~?"),CA457))),OR('Smart Search'!$L$7="",AND(CB457&lt;&gt;0,CB457='Smart Search'!$L$7)),OR('Smart Search'!$L$8="",'Smart Search'!$L$8="All",TRIM(CC457)=TRIM('Smart Search'!$L$8))),IF(BA457="","",BA457+ROW()*0.0000000001),"")</f>
        <v/>
      </c>
      <c r="BI457" s="5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5">
        <f>IF(A457="","",N(INDEX(Projects[Mech Inst],456)))</f>
        <v/>
      </c>
      <c r="BK457" s="5">
        <f>IF(A457="","",N(INDEX(Projects[Elec Inst],456)))</f>
        <v/>
      </c>
      <c r="BL457" s="5">
        <f>IF(A457="","",N(INDEX(Projects[Project Management],456)))</f>
        <v/>
      </c>
      <c r="BM457" s="5">
        <f>IF(A457="","",N(INDEX(Projects[Systems Eng],456)))</f>
        <v/>
      </c>
      <c r="BN457" s="5">
        <f>IF(A457="","",N(INDEX(Projects[Mechanical Eng],456)))</f>
        <v/>
      </c>
      <c r="BO457" s="5">
        <f>IF(A457="","",N(INDEX(Projects[Structural Engineering],456)))</f>
        <v/>
      </c>
      <c r="BP457" s="5">
        <f>IF(A457="","",N(INDEX(Projects[Site Sup],456)))</f>
        <v/>
      </c>
      <c r="BQ457" s="5">
        <f>IF(A457="","",N(INDEX(Projects[Controls Commissioning],456)))</f>
        <v/>
      </c>
      <c r="BR457" s="5">
        <f>IF(A457="","",N(INDEX(Projects[Systems Commissioning],456)))</f>
        <v/>
      </c>
      <c r="BS457" s="5">
        <f>IF(A457="","",N(INDEX(Projects[Service Commissioning],456)))</f>
        <v/>
      </c>
      <c r="BT457" s="5">
        <f>IF(A457="","",N(INDEX(Projects[Controls Eng],456)))</f>
        <v/>
      </c>
      <c r="BU457" s="5">
        <f>IF(A457="","",N(INDEX(Projects[Controls Purchase],456)))</f>
        <v/>
      </c>
      <c r="BV457" s="5">
        <f>IF(A457="","",N(INDEX(Projects[Software Eng],456)))</f>
        <v/>
      </c>
      <c r="BW457" s="5">
        <f>IF(A457="","",N(INDEX(Projects[Misc],456)))</f>
        <v/>
      </c>
      <c r="BX457" s="5">
        <f>IF(A457="","",SUM(BJ457:BW457))</f>
        <v/>
      </c>
      <c r="BY457" s="5">
        <f>IF(A457="","",IFERROR(IF(ISNUMBER(U457),U457,VALUE(SUBSTITUTE(SUBSTITUTE(SUBSTITUTE(UPPER(TRIM(U457)),"M",""),",","")," ",""))),0))</f>
        <v/>
      </c>
      <c r="BZ457" s="5">
        <f>INDEX(Projects[Solution Type],456)&amp;""</f>
        <v/>
      </c>
      <c r="CA457" s="5">
        <f>INDEX(Projects[Client / Region],456)&amp;""</f>
        <v/>
      </c>
      <c r="CB457" s="5">
        <f>INDEX(Projects[Year],456)</f>
        <v/>
      </c>
      <c r="CC457" s="5">
        <f>INDEX(Projects[Won?],456)&amp;""</f>
        <v/>
      </c>
      <c r="CD457" s="5">
        <f>INDEX(Projects[Value (USD M)],456)</f>
        <v/>
      </c>
    </row>
    <row r="458" ht="15" customHeight="1" s="74">
      <c r="A458" s="66">
        <f>INDEX(Projects[Project ID *],457)&amp;""</f>
        <v/>
      </c>
      <c r="B458" s="66">
        <f>INDEX(Projects[Project Name *],457)&amp;""</f>
        <v/>
      </c>
      <c r="C458" s="66">
        <f>INDEX(Projects[MS Shuttles],457)</f>
        <v/>
      </c>
      <c r="D458" s="66">
        <f>INDEX(Projects[MS Tote Locations],457)</f>
        <v/>
      </c>
      <c r="E458" s="66">
        <f>INDEX(Projects[AS Robots],457)</f>
        <v/>
      </c>
      <c r="F458" s="66">
        <f>INDEX(Projects[AS Tote Locations],457)</f>
        <v/>
      </c>
      <c r="G458" s="66">
        <f>INDEX(Projects[PS Shuttles],457)</f>
        <v/>
      </c>
      <c r="H458" s="66">
        <f>INDEX(Projects[PS Pallet Locations],457)</f>
        <v/>
      </c>
      <c r="I458" s="66">
        <f>INDEX(Projects[SRM Cranes],457)</f>
        <v/>
      </c>
      <c r="J458" s="66">
        <f>INDEX(Projects[SRM Pallet Locations],457)</f>
        <v/>
      </c>
      <c r="K458" s="66">
        <f>INDEX(Projects[Case Conv (m)],457)</f>
        <v/>
      </c>
      <c r="L458" s="66">
        <f>INDEX(Projects[Pallet Conv (m)],457)</f>
        <v/>
      </c>
      <c r="M458" s="66">
        <f>INDEX(Projects[Mech Eng (wks)],457)</f>
        <v/>
      </c>
      <c r="N458" s="66">
        <f>INDEX(Projects[Controls Eng (wks)],457)</f>
        <v/>
      </c>
      <c r="O458" s="66">
        <f>INDEX(Projects[Systems Eng (wks)],457)</f>
        <v/>
      </c>
      <c r="P458" s="66">
        <f>INDEX(Projects[Software Eng (wks)],457)</f>
        <v/>
      </c>
      <c r="Q458" s="66">
        <f>INDEX(Projects[M&amp;E Installation (wks)],457)</f>
        <v/>
      </c>
      <c r="R458" s="66">
        <f>INDEX(Projects[Commissioning (wks)],457)</f>
        <v/>
      </c>
      <c r="S458" s="66">
        <f>INDEX(Projects[Total Timeline (wks)],457)</f>
        <v/>
      </c>
      <c r="T458" s="66">
        <f>INDEX(Projects[Currency],457)&amp;""</f>
        <v/>
      </c>
      <c r="U458" s="67">
        <f>INDEX(Projects[Value (M)],457)</f>
        <v/>
      </c>
      <c r="V458" s="66">
        <f>IF('Smart Search'!B13=1,IFERROR(1/'Smart Search'!H13,0),0)</f>
        <v/>
      </c>
      <c r="W458" s="66">
        <f>IF('Smart Search'!B13=1,IFERROR(1/'Smart Search'!H13,0),0)</f>
        <v/>
      </c>
      <c r="X458" s="66">
        <f>IF('Smart Search'!C13=1,IFERROR(1/'Smart Search'!H13,0),0)</f>
        <v/>
      </c>
      <c r="Y458" s="66">
        <f>IF('Smart Search'!C13=1,IFERROR(1/'Smart Search'!H13,0),0)</f>
        <v/>
      </c>
      <c r="Z458" s="66">
        <f>IF('Smart Search'!D13=1,IFERROR(1/'Smart Search'!H13,0),0)</f>
        <v/>
      </c>
      <c r="AA458" s="66">
        <f>IF('Smart Search'!D13=1,IFERROR(1/'Smart Search'!H13,0),0)</f>
        <v/>
      </c>
      <c r="AB458" s="66">
        <f>IF('Smart Search'!E13=1,IFERROR(1/'Smart Search'!H13,0),0)</f>
        <v/>
      </c>
      <c r="AC458" s="66">
        <f>IF('Smart Search'!E13=1,IFERROR(1/'Smart Search'!H13,0),0)</f>
        <v/>
      </c>
      <c r="AD458" s="66">
        <f>IF('Smart Search'!F13=1,IFERROR(1/'Smart Search'!H13,0),0)</f>
        <v/>
      </c>
      <c r="AE458" s="66">
        <f>IF('Smart Search'!F13=1,IFERROR(1/'Smart Search'!H13,0),0)</f>
        <v/>
      </c>
      <c r="AF458" s="66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66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66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66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66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66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66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66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66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66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66">
        <f>AF458*V458</f>
        <v/>
      </c>
      <c r="AQ458" s="66">
        <f>AG458*W458</f>
        <v/>
      </c>
      <c r="AR458" s="66">
        <f>AH458*X458</f>
        <v/>
      </c>
      <c r="AS458" s="66">
        <f>AI458*Y458</f>
        <v/>
      </c>
      <c r="AT458" s="66">
        <f>AJ458*Z458</f>
        <v/>
      </c>
      <c r="AU458" s="66">
        <f>AK458*AA458</f>
        <v/>
      </c>
      <c r="AV458" s="66">
        <f>AL458*AB458</f>
        <v/>
      </c>
      <c r="AW458" s="66">
        <f>AM458*AC458</f>
        <v/>
      </c>
      <c r="AX458" s="66">
        <f>AN458*AD458</f>
        <v/>
      </c>
      <c r="AY458" s="66">
        <f>AO458*AE458</f>
        <v/>
      </c>
      <c r="AZ458" s="66">
        <f>INDEX(Projects[Automation Equipment],457)&amp;""</f>
        <v/>
      </c>
      <c r="BA458" s="66">
        <f>IF(OR(A458="",'Smart Search'!H13=0),"",MAX(0,BE458*BF458*MAX(0,1-BG458)))</f>
        <v/>
      </c>
      <c r="BB458" s="66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66">
        <f>IF('Smart Search'!G13=1,IFERROR(1/'Smart Search'!H13,0),0)</f>
        <v/>
      </c>
      <c r="BD458" s="66">
        <f>BB458*BC458</f>
        <v/>
      </c>
      <c r="BE458" s="66">
        <f>AP458+AQ458+AR458+AS458+AT458+AU458+AV458+AW458+AX458+AY458+BD458</f>
        <v/>
      </c>
      <c r="BF458" s="5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5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5">
        <f>IF(AND(A458&lt;&gt;"",OR('Smart Search'!$L$5="",'Smart Search'!$L$5="All",TRIM(BZ458)=TRIM('Smart Search'!$L$5)),OR(TRIM('Smart Search'!$L$6)="",TRIM('Smart Search'!$L$6)="All",ISNUMBER(SEARCH(SUBSTITUTE(SUBSTITUTE(SUBSTITUTE(TRIM('Smart Search'!$L$6),"~","~~"),"*","~*"),"?","~?"),CA458))),OR('Smart Search'!$L$7="",AND(CB458&lt;&gt;0,CB458='Smart Search'!$L$7)),OR('Smart Search'!$L$8="",'Smart Search'!$L$8="All",TRIM(CC458)=TRIM('Smart Search'!$L$8))),IF(BA458="","",BA458+ROW()*0.0000000001),"")</f>
        <v/>
      </c>
      <c r="BI458" s="5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5">
        <f>IF(A458="","",N(INDEX(Projects[Mech Inst],457)))</f>
        <v/>
      </c>
      <c r="BK458" s="5">
        <f>IF(A458="","",N(INDEX(Projects[Elec Inst],457)))</f>
        <v/>
      </c>
      <c r="BL458" s="5">
        <f>IF(A458="","",N(INDEX(Projects[Project Management],457)))</f>
        <v/>
      </c>
      <c r="BM458" s="5">
        <f>IF(A458="","",N(INDEX(Projects[Systems Eng],457)))</f>
        <v/>
      </c>
      <c r="BN458" s="5">
        <f>IF(A458="","",N(INDEX(Projects[Mechanical Eng],457)))</f>
        <v/>
      </c>
      <c r="BO458" s="5">
        <f>IF(A458="","",N(INDEX(Projects[Structural Engineering],457)))</f>
        <v/>
      </c>
      <c r="BP458" s="5">
        <f>IF(A458="","",N(INDEX(Projects[Site Sup],457)))</f>
        <v/>
      </c>
      <c r="BQ458" s="5">
        <f>IF(A458="","",N(INDEX(Projects[Controls Commissioning],457)))</f>
        <v/>
      </c>
      <c r="BR458" s="5">
        <f>IF(A458="","",N(INDEX(Projects[Systems Commissioning],457)))</f>
        <v/>
      </c>
      <c r="BS458" s="5">
        <f>IF(A458="","",N(INDEX(Projects[Service Commissioning],457)))</f>
        <v/>
      </c>
      <c r="BT458" s="5">
        <f>IF(A458="","",N(INDEX(Projects[Controls Eng],457)))</f>
        <v/>
      </c>
      <c r="BU458" s="5">
        <f>IF(A458="","",N(INDEX(Projects[Controls Purchase],457)))</f>
        <v/>
      </c>
      <c r="BV458" s="5">
        <f>IF(A458="","",N(INDEX(Projects[Software Eng],457)))</f>
        <v/>
      </c>
      <c r="BW458" s="5">
        <f>IF(A458="","",N(INDEX(Projects[Misc],457)))</f>
        <v/>
      </c>
      <c r="BX458" s="5">
        <f>IF(A458="","",SUM(BJ458:BW458))</f>
        <v/>
      </c>
      <c r="BY458" s="5">
        <f>IF(A458="","",IFERROR(IF(ISNUMBER(U458),U458,VALUE(SUBSTITUTE(SUBSTITUTE(SUBSTITUTE(UPPER(TRIM(U458)),"M",""),",","")," ",""))),0))</f>
        <v/>
      </c>
      <c r="BZ458" s="5">
        <f>INDEX(Projects[Solution Type],457)&amp;""</f>
        <v/>
      </c>
      <c r="CA458" s="5">
        <f>INDEX(Projects[Client / Region],457)&amp;""</f>
        <v/>
      </c>
      <c r="CB458" s="5">
        <f>INDEX(Projects[Year],457)</f>
        <v/>
      </c>
      <c r="CC458" s="5">
        <f>INDEX(Projects[Won?],457)&amp;""</f>
        <v/>
      </c>
      <c r="CD458" s="5">
        <f>INDEX(Projects[Value (USD M)],457)</f>
        <v/>
      </c>
    </row>
    <row r="459" ht="15" customHeight="1" s="74">
      <c r="A459" s="66">
        <f>INDEX(Projects[Project ID *],458)&amp;""</f>
        <v/>
      </c>
      <c r="B459" s="66">
        <f>INDEX(Projects[Project Name *],458)&amp;""</f>
        <v/>
      </c>
      <c r="C459" s="66">
        <f>INDEX(Projects[MS Shuttles],458)</f>
        <v/>
      </c>
      <c r="D459" s="66">
        <f>INDEX(Projects[MS Tote Locations],458)</f>
        <v/>
      </c>
      <c r="E459" s="66">
        <f>INDEX(Projects[AS Robots],458)</f>
        <v/>
      </c>
      <c r="F459" s="66">
        <f>INDEX(Projects[AS Tote Locations],458)</f>
        <v/>
      </c>
      <c r="G459" s="66">
        <f>INDEX(Projects[PS Shuttles],458)</f>
        <v/>
      </c>
      <c r="H459" s="66">
        <f>INDEX(Projects[PS Pallet Locations],458)</f>
        <v/>
      </c>
      <c r="I459" s="66">
        <f>INDEX(Projects[SRM Cranes],458)</f>
        <v/>
      </c>
      <c r="J459" s="66">
        <f>INDEX(Projects[SRM Pallet Locations],458)</f>
        <v/>
      </c>
      <c r="K459" s="66">
        <f>INDEX(Projects[Case Conv (m)],458)</f>
        <v/>
      </c>
      <c r="L459" s="66">
        <f>INDEX(Projects[Pallet Conv (m)],458)</f>
        <v/>
      </c>
      <c r="M459" s="66">
        <f>INDEX(Projects[Mech Eng (wks)],458)</f>
        <v/>
      </c>
      <c r="N459" s="66">
        <f>INDEX(Projects[Controls Eng (wks)],458)</f>
        <v/>
      </c>
      <c r="O459" s="66">
        <f>INDEX(Projects[Systems Eng (wks)],458)</f>
        <v/>
      </c>
      <c r="P459" s="66">
        <f>INDEX(Projects[Software Eng (wks)],458)</f>
        <v/>
      </c>
      <c r="Q459" s="66">
        <f>INDEX(Projects[M&amp;E Installation (wks)],458)</f>
        <v/>
      </c>
      <c r="R459" s="66">
        <f>INDEX(Projects[Commissioning (wks)],458)</f>
        <v/>
      </c>
      <c r="S459" s="66">
        <f>INDEX(Projects[Total Timeline (wks)],458)</f>
        <v/>
      </c>
      <c r="T459" s="66">
        <f>INDEX(Projects[Currency],458)&amp;""</f>
        <v/>
      </c>
      <c r="U459" s="67">
        <f>INDEX(Projects[Value (M)],458)</f>
        <v/>
      </c>
      <c r="V459" s="66">
        <f>IF('Smart Search'!B13=1,IFERROR(1/'Smart Search'!H13,0),0)</f>
        <v/>
      </c>
      <c r="W459" s="66">
        <f>IF('Smart Search'!B13=1,IFERROR(1/'Smart Search'!H13,0),0)</f>
        <v/>
      </c>
      <c r="X459" s="66">
        <f>IF('Smart Search'!C13=1,IFERROR(1/'Smart Search'!H13,0),0)</f>
        <v/>
      </c>
      <c r="Y459" s="66">
        <f>IF('Smart Search'!C13=1,IFERROR(1/'Smart Search'!H13,0),0)</f>
        <v/>
      </c>
      <c r="Z459" s="66">
        <f>IF('Smart Search'!D13=1,IFERROR(1/'Smart Search'!H13,0),0)</f>
        <v/>
      </c>
      <c r="AA459" s="66">
        <f>IF('Smart Search'!D13=1,IFERROR(1/'Smart Search'!H13,0),0)</f>
        <v/>
      </c>
      <c r="AB459" s="66">
        <f>IF('Smart Search'!E13=1,IFERROR(1/'Smart Search'!H13,0),0)</f>
        <v/>
      </c>
      <c r="AC459" s="66">
        <f>IF('Smart Search'!E13=1,IFERROR(1/'Smart Search'!H13,0),0)</f>
        <v/>
      </c>
      <c r="AD459" s="66">
        <f>IF('Smart Search'!F13=1,IFERROR(1/'Smart Search'!H13,0),0)</f>
        <v/>
      </c>
      <c r="AE459" s="66">
        <f>IF('Smart Search'!F13=1,IFERROR(1/'Smart Search'!H13,0),0)</f>
        <v/>
      </c>
      <c r="AF459" s="66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66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66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66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66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66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66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66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66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66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66">
        <f>AF459*V459</f>
        <v/>
      </c>
      <c r="AQ459" s="66">
        <f>AG459*W459</f>
        <v/>
      </c>
      <c r="AR459" s="66">
        <f>AH459*X459</f>
        <v/>
      </c>
      <c r="AS459" s="66">
        <f>AI459*Y459</f>
        <v/>
      </c>
      <c r="AT459" s="66">
        <f>AJ459*Z459</f>
        <v/>
      </c>
      <c r="AU459" s="66">
        <f>AK459*AA459</f>
        <v/>
      </c>
      <c r="AV459" s="66">
        <f>AL459*AB459</f>
        <v/>
      </c>
      <c r="AW459" s="66">
        <f>AM459*AC459</f>
        <v/>
      </c>
      <c r="AX459" s="66">
        <f>AN459*AD459</f>
        <v/>
      </c>
      <c r="AY459" s="66">
        <f>AO459*AE459</f>
        <v/>
      </c>
      <c r="AZ459" s="66">
        <f>INDEX(Projects[Automation Equipment],458)&amp;""</f>
        <v/>
      </c>
      <c r="BA459" s="66">
        <f>IF(OR(A459="",'Smart Search'!H13=0),"",MAX(0,BE459*BF459*MAX(0,1-BG459)))</f>
        <v/>
      </c>
      <c r="BB459" s="66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66">
        <f>IF('Smart Search'!G13=1,IFERROR(1/'Smart Search'!H13,0),0)</f>
        <v/>
      </c>
      <c r="BD459" s="66">
        <f>BB459*BC459</f>
        <v/>
      </c>
      <c r="BE459" s="66">
        <f>AP459+AQ459+AR459+AS459+AT459+AU459+AV459+AW459+AX459+AY459+BD459</f>
        <v/>
      </c>
      <c r="BF459" s="5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5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5">
        <f>IF(AND(A459&lt;&gt;"",OR('Smart Search'!$L$5="",'Smart Search'!$L$5="All",TRIM(BZ459)=TRIM('Smart Search'!$L$5)),OR(TRIM('Smart Search'!$L$6)="",TRIM('Smart Search'!$L$6)="All",ISNUMBER(SEARCH(SUBSTITUTE(SUBSTITUTE(SUBSTITUTE(TRIM('Smart Search'!$L$6),"~","~~"),"*","~*"),"?","~?"),CA459))),OR('Smart Search'!$L$7="",AND(CB459&lt;&gt;0,CB459='Smart Search'!$L$7)),OR('Smart Search'!$L$8="",'Smart Search'!$L$8="All",TRIM(CC459)=TRIM('Smart Search'!$L$8))),IF(BA459="","",BA459+ROW()*0.0000000001),"")</f>
        <v/>
      </c>
      <c r="BI459" s="5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5">
        <f>IF(A459="","",N(INDEX(Projects[Mech Inst],458)))</f>
        <v/>
      </c>
      <c r="BK459" s="5">
        <f>IF(A459="","",N(INDEX(Projects[Elec Inst],458)))</f>
        <v/>
      </c>
      <c r="BL459" s="5">
        <f>IF(A459="","",N(INDEX(Projects[Project Management],458)))</f>
        <v/>
      </c>
      <c r="BM459" s="5">
        <f>IF(A459="","",N(INDEX(Projects[Systems Eng],458)))</f>
        <v/>
      </c>
      <c r="BN459" s="5">
        <f>IF(A459="","",N(INDEX(Projects[Mechanical Eng],458)))</f>
        <v/>
      </c>
      <c r="BO459" s="5">
        <f>IF(A459="","",N(INDEX(Projects[Structural Engineering],458)))</f>
        <v/>
      </c>
      <c r="BP459" s="5">
        <f>IF(A459="","",N(INDEX(Projects[Site Sup],458)))</f>
        <v/>
      </c>
      <c r="BQ459" s="5">
        <f>IF(A459="","",N(INDEX(Projects[Controls Commissioning],458)))</f>
        <v/>
      </c>
      <c r="BR459" s="5">
        <f>IF(A459="","",N(INDEX(Projects[Systems Commissioning],458)))</f>
        <v/>
      </c>
      <c r="BS459" s="5">
        <f>IF(A459="","",N(INDEX(Projects[Service Commissioning],458)))</f>
        <v/>
      </c>
      <c r="BT459" s="5">
        <f>IF(A459="","",N(INDEX(Projects[Controls Eng],458)))</f>
        <v/>
      </c>
      <c r="BU459" s="5">
        <f>IF(A459="","",N(INDEX(Projects[Controls Purchase],458)))</f>
        <v/>
      </c>
      <c r="BV459" s="5">
        <f>IF(A459="","",N(INDEX(Projects[Software Eng],458)))</f>
        <v/>
      </c>
      <c r="BW459" s="5">
        <f>IF(A459="","",N(INDEX(Projects[Misc],458)))</f>
        <v/>
      </c>
      <c r="BX459" s="5">
        <f>IF(A459="","",SUM(BJ459:BW459))</f>
        <v/>
      </c>
      <c r="BY459" s="5">
        <f>IF(A459="","",IFERROR(IF(ISNUMBER(U459),U459,VALUE(SUBSTITUTE(SUBSTITUTE(SUBSTITUTE(UPPER(TRIM(U459)),"M",""),",","")," ",""))),0))</f>
        <v/>
      </c>
      <c r="BZ459" s="5">
        <f>INDEX(Projects[Solution Type],458)&amp;""</f>
        <v/>
      </c>
      <c r="CA459" s="5">
        <f>INDEX(Projects[Client / Region],458)&amp;""</f>
        <v/>
      </c>
      <c r="CB459" s="5">
        <f>INDEX(Projects[Year],458)</f>
        <v/>
      </c>
      <c r="CC459" s="5">
        <f>INDEX(Projects[Won?],458)&amp;""</f>
        <v/>
      </c>
      <c r="CD459" s="5">
        <f>INDEX(Projects[Value (USD M)],458)</f>
        <v/>
      </c>
    </row>
    <row r="460" ht="15" customHeight="1" s="74">
      <c r="A460" s="66">
        <f>INDEX(Projects[Project ID *],459)&amp;""</f>
        <v/>
      </c>
      <c r="B460" s="66">
        <f>INDEX(Projects[Project Name *],459)&amp;""</f>
        <v/>
      </c>
      <c r="C460" s="66">
        <f>INDEX(Projects[MS Shuttles],459)</f>
        <v/>
      </c>
      <c r="D460" s="66">
        <f>INDEX(Projects[MS Tote Locations],459)</f>
        <v/>
      </c>
      <c r="E460" s="66">
        <f>INDEX(Projects[AS Robots],459)</f>
        <v/>
      </c>
      <c r="F460" s="66">
        <f>INDEX(Projects[AS Tote Locations],459)</f>
        <v/>
      </c>
      <c r="G460" s="66">
        <f>INDEX(Projects[PS Shuttles],459)</f>
        <v/>
      </c>
      <c r="H460" s="66">
        <f>INDEX(Projects[PS Pallet Locations],459)</f>
        <v/>
      </c>
      <c r="I460" s="66">
        <f>INDEX(Projects[SRM Cranes],459)</f>
        <v/>
      </c>
      <c r="J460" s="66">
        <f>INDEX(Projects[SRM Pallet Locations],459)</f>
        <v/>
      </c>
      <c r="K460" s="66">
        <f>INDEX(Projects[Case Conv (m)],459)</f>
        <v/>
      </c>
      <c r="L460" s="66">
        <f>INDEX(Projects[Pallet Conv (m)],459)</f>
        <v/>
      </c>
      <c r="M460" s="66">
        <f>INDEX(Projects[Mech Eng (wks)],459)</f>
        <v/>
      </c>
      <c r="N460" s="66">
        <f>INDEX(Projects[Controls Eng (wks)],459)</f>
        <v/>
      </c>
      <c r="O460" s="66">
        <f>INDEX(Projects[Systems Eng (wks)],459)</f>
        <v/>
      </c>
      <c r="P460" s="66">
        <f>INDEX(Projects[Software Eng (wks)],459)</f>
        <v/>
      </c>
      <c r="Q460" s="66">
        <f>INDEX(Projects[M&amp;E Installation (wks)],459)</f>
        <v/>
      </c>
      <c r="R460" s="66">
        <f>INDEX(Projects[Commissioning (wks)],459)</f>
        <v/>
      </c>
      <c r="S460" s="66">
        <f>INDEX(Projects[Total Timeline (wks)],459)</f>
        <v/>
      </c>
      <c r="T460" s="66">
        <f>INDEX(Projects[Currency],459)&amp;""</f>
        <v/>
      </c>
      <c r="U460" s="67">
        <f>INDEX(Projects[Value (M)],459)</f>
        <v/>
      </c>
      <c r="V460" s="66">
        <f>IF('Smart Search'!B13=1,IFERROR(1/'Smart Search'!H13,0),0)</f>
        <v/>
      </c>
      <c r="W460" s="66">
        <f>IF('Smart Search'!B13=1,IFERROR(1/'Smart Search'!H13,0),0)</f>
        <v/>
      </c>
      <c r="X460" s="66">
        <f>IF('Smart Search'!C13=1,IFERROR(1/'Smart Search'!H13,0),0)</f>
        <v/>
      </c>
      <c r="Y460" s="66">
        <f>IF('Smart Search'!C13=1,IFERROR(1/'Smart Search'!H13,0),0)</f>
        <v/>
      </c>
      <c r="Z460" s="66">
        <f>IF('Smart Search'!D13=1,IFERROR(1/'Smart Search'!H13,0),0)</f>
        <v/>
      </c>
      <c r="AA460" s="66">
        <f>IF('Smart Search'!D13=1,IFERROR(1/'Smart Search'!H13,0),0)</f>
        <v/>
      </c>
      <c r="AB460" s="66">
        <f>IF('Smart Search'!E13=1,IFERROR(1/'Smart Search'!H13,0),0)</f>
        <v/>
      </c>
      <c r="AC460" s="66">
        <f>IF('Smart Search'!E13=1,IFERROR(1/'Smart Search'!H13,0),0)</f>
        <v/>
      </c>
      <c r="AD460" s="66">
        <f>IF('Smart Search'!F13=1,IFERROR(1/'Smart Search'!H13,0),0)</f>
        <v/>
      </c>
      <c r="AE460" s="66">
        <f>IF('Smart Search'!F13=1,IFERROR(1/'Smart Search'!H13,0),0)</f>
        <v/>
      </c>
      <c r="AF460" s="66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66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66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66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66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66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66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66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66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66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66">
        <f>AF460*V460</f>
        <v/>
      </c>
      <c r="AQ460" s="66">
        <f>AG460*W460</f>
        <v/>
      </c>
      <c r="AR460" s="66">
        <f>AH460*X460</f>
        <v/>
      </c>
      <c r="AS460" s="66">
        <f>AI460*Y460</f>
        <v/>
      </c>
      <c r="AT460" s="66">
        <f>AJ460*Z460</f>
        <v/>
      </c>
      <c r="AU460" s="66">
        <f>AK460*AA460</f>
        <v/>
      </c>
      <c r="AV460" s="66">
        <f>AL460*AB460</f>
        <v/>
      </c>
      <c r="AW460" s="66">
        <f>AM460*AC460</f>
        <v/>
      </c>
      <c r="AX460" s="66">
        <f>AN460*AD460</f>
        <v/>
      </c>
      <c r="AY460" s="66">
        <f>AO460*AE460</f>
        <v/>
      </c>
      <c r="AZ460" s="66">
        <f>INDEX(Projects[Automation Equipment],459)&amp;""</f>
        <v/>
      </c>
      <c r="BA460" s="66">
        <f>IF(OR(A460="",'Smart Search'!H13=0),"",MAX(0,BE460*BF460*MAX(0,1-BG460)))</f>
        <v/>
      </c>
      <c r="BB460" s="66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66">
        <f>IF('Smart Search'!G13=1,IFERROR(1/'Smart Search'!H13,0),0)</f>
        <v/>
      </c>
      <c r="BD460" s="66">
        <f>BB460*BC460</f>
        <v/>
      </c>
      <c r="BE460" s="66">
        <f>AP460+AQ460+AR460+AS460+AT460+AU460+AV460+AW460+AX460+AY460+BD460</f>
        <v/>
      </c>
      <c r="BF460" s="5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5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5">
        <f>IF(AND(A460&lt;&gt;"",OR('Smart Search'!$L$5="",'Smart Search'!$L$5="All",TRIM(BZ460)=TRIM('Smart Search'!$L$5)),OR(TRIM('Smart Search'!$L$6)="",TRIM('Smart Search'!$L$6)="All",ISNUMBER(SEARCH(SUBSTITUTE(SUBSTITUTE(SUBSTITUTE(TRIM('Smart Search'!$L$6),"~","~~"),"*","~*"),"?","~?"),CA460))),OR('Smart Search'!$L$7="",AND(CB460&lt;&gt;0,CB460='Smart Search'!$L$7)),OR('Smart Search'!$L$8="",'Smart Search'!$L$8="All",TRIM(CC460)=TRIM('Smart Search'!$L$8))),IF(BA460="","",BA460+ROW()*0.0000000001),"")</f>
        <v/>
      </c>
      <c r="BI460" s="5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5">
        <f>IF(A460="","",N(INDEX(Projects[Mech Inst],459)))</f>
        <v/>
      </c>
      <c r="BK460" s="5">
        <f>IF(A460="","",N(INDEX(Projects[Elec Inst],459)))</f>
        <v/>
      </c>
      <c r="BL460" s="5">
        <f>IF(A460="","",N(INDEX(Projects[Project Management],459)))</f>
        <v/>
      </c>
      <c r="BM460" s="5">
        <f>IF(A460="","",N(INDEX(Projects[Systems Eng],459)))</f>
        <v/>
      </c>
      <c r="BN460" s="5">
        <f>IF(A460="","",N(INDEX(Projects[Mechanical Eng],459)))</f>
        <v/>
      </c>
      <c r="BO460" s="5">
        <f>IF(A460="","",N(INDEX(Projects[Structural Engineering],459)))</f>
        <v/>
      </c>
      <c r="BP460" s="5">
        <f>IF(A460="","",N(INDEX(Projects[Site Sup],459)))</f>
        <v/>
      </c>
      <c r="BQ460" s="5">
        <f>IF(A460="","",N(INDEX(Projects[Controls Commissioning],459)))</f>
        <v/>
      </c>
      <c r="BR460" s="5">
        <f>IF(A460="","",N(INDEX(Projects[Systems Commissioning],459)))</f>
        <v/>
      </c>
      <c r="BS460" s="5">
        <f>IF(A460="","",N(INDEX(Projects[Service Commissioning],459)))</f>
        <v/>
      </c>
      <c r="BT460" s="5">
        <f>IF(A460="","",N(INDEX(Projects[Controls Eng],459)))</f>
        <v/>
      </c>
      <c r="BU460" s="5">
        <f>IF(A460="","",N(INDEX(Projects[Controls Purchase],459)))</f>
        <v/>
      </c>
      <c r="BV460" s="5">
        <f>IF(A460="","",N(INDEX(Projects[Software Eng],459)))</f>
        <v/>
      </c>
      <c r="BW460" s="5">
        <f>IF(A460="","",N(INDEX(Projects[Misc],459)))</f>
        <v/>
      </c>
      <c r="BX460" s="5">
        <f>IF(A460="","",SUM(BJ460:BW460))</f>
        <v/>
      </c>
      <c r="BY460" s="5">
        <f>IF(A460="","",IFERROR(IF(ISNUMBER(U460),U460,VALUE(SUBSTITUTE(SUBSTITUTE(SUBSTITUTE(UPPER(TRIM(U460)),"M",""),",","")," ",""))),0))</f>
        <v/>
      </c>
      <c r="BZ460" s="5">
        <f>INDEX(Projects[Solution Type],459)&amp;""</f>
        <v/>
      </c>
      <c r="CA460" s="5">
        <f>INDEX(Projects[Client / Region],459)&amp;""</f>
        <v/>
      </c>
      <c r="CB460" s="5">
        <f>INDEX(Projects[Year],459)</f>
        <v/>
      </c>
      <c r="CC460" s="5">
        <f>INDEX(Projects[Won?],459)&amp;""</f>
        <v/>
      </c>
      <c r="CD460" s="5">
        <f>INDEX(Projects[Value (USD M)],459)</f>
        <v/>
      </c>
    </row>
    <row r="461" ht="15" customHeight="1" s="74">
      <c r="A461" s="66">
        <f>INDEX(Projects[Project ID *],460)&amp;""</f>
        <v/>
      </c>
      <c r="B461" s="66">
        <f>INDEX(Projects[Project Name *],460)&amp;""</f>
        <v/>
      </c>
      <c r="C461" s="66">
        <f>INDEX(Projects[MS Shuttles],460)</f>
        <v/>
      </c>
      <c r="D461" s="66">
        <f>INDEX(Projects[MS Tote Locations],460)</f>
        <v/>
      </c>
      <c r="E461" s="66">
        <f>INDEX(Projects[AS Robots],460)</f>
        <v/>
      </c>
      <c r="F461" s="66">
        <f>INDEX(Projects[AS Tote Locations],460)</f>
        <v/>
      </c>
      <c r="G461" s="66">
        <f>INDEX(Projects[PS Shuttles],460)</f>
        <v/>
      </c>
      <c r="H461" s="66">
        <f>INDEX(Projects[PS Pallet Locations],460)</f>
        <v/>
      </c>
      <c r="I461" s="66">
        <f>INDEX(Projects[SRM Cranes],460)</f>
        <v/>
      </c>
      <c r="J461" s="66">
        <f>INDEX(Projects[SRM Pallet Locations],460)</f>
        <v/>
      </c>
      <c r="K461" s="66">
        <f>INDEX(Projects[Case Conv (m)],460)</f>
        <v/>
      </c>
      <c r="L461" s="66">
        <f>INDEX(Projects[Pallet Conv (m)],460)</f>
        <v/>
      </c>
      <c r="M461" s="66">
        <f>INDEX(Projects[Mech Eng (wks)],460)</f>
        <v/>
      </c>
      <c r="N461" s="66">
        <f>INDEX(Projects[Controls Eng (wks)],460)</f>
        <v/>
      </c>
      <c r="O461" s="66">
        <f>INDEX(Projects[Systems Eng (wks)],460)</f>
        <v/>
      </c>
      <c r="P461" s="66">
        <f>INDEX(Projects[Software Eng (wks)],460)</f>
        <v/>
      </c>
      <c r="Q461" s="66">
        <f>INDEX(Projects[M&amp;E Installation (wks)],460)</f>
        <v/>
      </c>
      <c r="R461" s="66">
        <f>INDEX(Projects[Commissioning (wks)],460)</f>
        <v/>
      </c>
      <c r="S461" s="66">
        <f>INDEX(Projects[Total Timeline (wks)],460)</f>
        <v/>
      </c>
      <c r="T461" s="66">
        <f>INDEX(Projects[Currency],460)&amp;""</f>
        <v/>
      </c>
      <c r="U461" s="67">
        <f>INDEX(Projects[Value (M)],460)</f>
        <v/>
      </c>
      <c r="V461" s="66">
        <f>IF('Smart Search'!B13=1,IFERROR(1/'Smart Search'!H13,0),0)</f>
        <v/>
      </c>
      <c r="W461" s="66">
        <f>IF('Smart Search'!B13=1,IFERROR(1/'Smart Search'!H13,0),0)</f>
        <v/>
      </c>
      <c r="X461" s="66">
        <f>IF('Smart Search'!C13=1,IFERROR(1/'Smart Search'!H13,0),0)</f>
        <v/>
      </c>
      <c r="Y461" s="66">
        <f>IF('Smart Search'!C13=1,IFERROR(1/'Smart Search'!H13,0),0)</f>
        <v/>
      </c>
      <c r="Z461" s="66">
        <f>IF('Smart Search'!D13=1,IFERROR(1/'Smart Search'!H13,0),0)</f>
        <v/>
      </c>
      <c r="AA461" s="66">
        <f>IF('Smart Search'!D13=1,IFERROR(1/'Smart Search'!H13,0),0)</f>
        <v/>
      </c>
      <c r="AB461" s="66">
        <f>IF('Smart Search'!E13=1,IFERROR(1/'Smart Search'!H13,0),0)</f>
        <v/>
      </c>
      <c r="AC461" s="66">
        <f>IF('Smart Search'!E13=1,IFERROR(1/'Smart Search'!H13,0),0)</f>
        <v/>
      </c>
      <c r="AD461" s="66">
        <f>IF('Smart Search'!F13=1,IFERROR(1/'Smart Search'!H13,0),0)</f>
        <v/>
      </c>
      <c r="AE461" s="66">
        <f>IF('Smart Search'!F13=1,IFERROR(1/'Smart Search'!H13,0),0)</f>
        <v/>
      </c>
      <c r="AF461" s="66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66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66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66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66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66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66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66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66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66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66">
        <f>AF461*V461</f>
        <v/>
      </c>
      <c r="AQ461" s="66">
        <f>AG461*W461</f>
        <v/>
      </c>
      <c r="AR461" s="66">
        <f>AH461*X461</f>
        <v/>
      </c>
      <c r="AS461" s="66">
        <f>AI461*Y461</f>
        <v/>
      </c>
      <c r="AT461" s="66">
        <f>AJ461*Z461</f>
        <v/>
      </c>
      <c r="AU461" s="66">
        <f>AK461*AA461</f>
        <v/>
      </c>
      <c r="AV461" s="66">
        <f>AL461*AB461</f>
        <v/>
      </c>
      <c r="AW461" s="66">
        <f>AM461*AC461</f>
        <v/>
      </c>
      <c r="AX461" s="66">
        <f>AN461*AD461</f>
        <v/>
      </c>
      <c r="AY461" s="66">
        <f>AO461*AE461</f>
        <v/>
      </c>
      <c r="AZ461" s="66">
        <f>INDEX(Projects[Automation Equipment],460)&amp;""</f>
        <v/>
      </c>
      <c r="BA461" s="66">
        <f>IF(OR(A461="",'Smart Search'!H13=0),"",MAX(0,BE461*BF461*MAX(0,1-BG461)))</f>
        <v/>
      </c>
      <c r="BB461" s="66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66">
        <f>IF('Smart Search'!G13=1,IFERROR(1/'Smart Search'!H13,0),0)</f>
        <v/>
      </c>
      <c r="BD461" s="66">
        <f>BB461*BC461</f>
        <v/>
      </c>
      <c r="BE461" s="66">
        <f>AP461+AQ461+AR461+AS461+AT461+AU461+AV461+AW461+AX461+AY461+BD461</f>
        <v/>
      </c>
      <c r="BF461" s="5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5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5">
        <f>IF(AND(A461&lt;&gt;"",OR('Smart Search'!$L$5="",'Smart Search'!$L$5="All",TRIM(BZ461)=TRIM('Smart Search'!$L$5)),OR(TRIM('Smart Search'!$L$6)="",TRIM('Smart Search'!$L$6)="All",ISNUMBER(SEARCH(SUBSTITUTE(SUBSTITUTE(SUBSTITUTE(TRIM('Smart Search'!$L$6),"~","~~"),"*","~*"),"?","~?"),CA461))),OR('Smart Search'!$L$7="",AND(CB461&lt;&gt;0,CB461='Smart Search'!$L$7)),OR('Smart Search'!$L$8="",'Smart Search'!$L$8="All",TRIM(CC461)=TRIM('Smart Search'!$L$8))),IF(BA461="","",BA461+ROW()*0.0000000001),"")</f>
        <v/>
      </c>
      <c r="BI461" s="5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5">
        <f>IF(A461="","",N(INDEX(Projects[Mech Inst],460)))</f>
        <v/>
      </c>
      <c r="BK461" s="5">
        <f>IF(A461="","",N(INDEX(Projects[Elec Inst],460)))</f>
        <v/>
      </c>
      <c r="BL461" s="5">
        <f>IF(A461="","",N(INDEX(Projects[Project Management],460)))</f>
        <v/>
      </c>
      <c r="BM461" s="5">
        <f>IF(A461="","",N(INDEX(Projects[Systems Eng],460)))</f>
        <v/>
      </c>
      <c r="BN461" s="5">
        <f>IF(A461="","",N(INDEX(Projects[Mechanical Eng],460)))</f>
        <v/>
      </c>
      <c r="BO461" s="5">
        <f>IF(A461="","",N(INDEX(Projects[Structural Engineering],460)))</f>
        <v/>
      </c>
      <c r="BP461" s="5">
        <f>IF(A461="","",N(INDEX(Projects[Site Sup],460)))</f>
        <v/>
      </c>
      <c r="BQ461" s="5">
        <f>IF(A461="","",N(INDEX(Projects[Controls Commissioning],460)))</f>
        <v/>
      </c>
      <c r="BR461" s="5">
        <f>IF(A461="","",N(INDEX(Projects[Systems Commissioning],460)))</f>
        <v/>
      </c>
      <c r="BS461" s="5">
        <f>IF(A461="","",N(INDEX(Projects[Service Commissioning],460)))</f>
        <v/>
      </c>
      <c r="BT461" s="5">
        <f>IF(A461="","",N(INDEX(Projects[Controls Eng],460)))</f>
        <v/>
      </c>
      <c r="BU461" s="5">
        <f>IF(A461="","",N(INDEX(Projects[Controls Purchase],460)))</f>
        <v/>
      </c>
      <c r="BV461" s="5">
        <f>IF(A461="","",N(INDEX(Projects[Software Eng],460)))</f>
        <v/>
      </c>
      <c r="BW461" s="5">
        <f>IF(A461="","",N(INDEX(Projects[Misc],460)))</f>
        <v/>
      </c>
      <c r="BX461" s="5">
        <f>IF(A461="","",SUM(BJ461:BW461))</f>
        <v/>
      </c>
      <c r="BY461" s="5">
        <f>IF(A461="","",IFERROR(IF(ISNUMBER(U461),U461,VALUE(SUBSTITUTE(SUBSTITUTE(SUBSTITUTE(UPPER(TRIM(U461)),"M",""),",","")," ",""))),0))</f>
        <v/>
      </c>
      <c r="BZ461" s="5">
        <f>INDEX(Projects[Solution Type],460)&amp;""</f>
        <v/>
      </c>
      <c r="CA461" s="5">
        <f>INDEX(Projects[Client / Region],460)&amp;""</f>
        <v/>
      </c>
      <c r="CB461" s="5">
        <f>INDEX(Projects[Year],460)</f>
        <v/>
      </c>
      <c r="CC461" s="5">
        <f>INDEX(Projects[Won?],460)&amp;""</f>
        <v/>
      </c>
      <c r="CD461" s="5">
        <f>INDEX(Projects[Value (USD M)],460)</f>
        <v/>
      </c>
    </row>
    <row r="462" ht="15" customHeight="1" s="74">
      <c r="A462" s="66">
        <f>INDEX(Projects[Project ID *],461)&amp;""</f>
        <v/>
      </c>
      <c r="B462" s="66">
        <f>INDEX(Projects[Project Name *],461)&amp;""</f>
        <v/>
      </c>
      <c r="C462" s="66">
        <f>INDEX(Projects[MS Shuttles],461)</f>
        <v/>
      </c>
      <c r="D462" s="66">
        <f>INDEX(Projects[MS Tote Locations],461)</f>
        <v/>
      </c>
      <c r="E462" s="66">
        <f>INDEX(Projects[AS Robots],461)</f>
        <v/>
      </c>
      <c r="F462" s="66">
        <f>INDEX(Projects[AS Tote Locations],461)</f>
        <v/>
      </c>
      <c r="G462" s="66">
        <f>INDEX(Projects[PS Shuttles],461)</f>
        <v/>
      </c>
      <c r="H462" s="66">
        <f>INDEX(Projects[PS Pallet Locations],461)</f>
        <v/>
      </c>
      <c r="I462" s="66">
        <f>INDEX(Projects[SRM Cranes],461)</f>
        <v/>
      </c>
      <c r="J462" s="66">
        <f>INDEX(Projects[SRM Pallet Locations],461)</f>
        <v/>
      </c>
      <c r="K462" s="66">
        <f>INDEX(Projects[Case Conv (m)],461)</f>
        <v/>
      </c>
      <c r="L462" s="66">
        <f>INDEX(Projects[Pallet Conv (m)],461)</f>
        <v/>
      </c>
      <c r="M462" s="66">
        <f>INDEX(Projects[Mech Eng (wks)],461)</f>
        <v/>
      </c>
      <c r="N462" s="66">
        <f>INDEX(Projects[Controls Eng (wks)],461)</f>
        <v/>
      </c>
      <c r="O462" s="66">
        <f>INDEX(Projects[Systems Eng (wks)],461)</f>
        <v/>
      </c>
      <c r="P462" s="66">
        <f>INDEX(Projects[Software Eng (wks)],461)</f>
        <v/>
      </c>
      <c r="Q462" s="66">
        <f>INDEX(Projects[M&amp;E Installation (wks)],461)</f>
        <v/>
      </c>
      <c r="R462" s="66">
        <f>INDEX(Projects[Commissioning (wks)],461)</f>
        <v/>
      </c>
      <c r="S462" s="66">
        <f>INDEX(Projects[Total Timeline (wks)],461)</f>
        <v/>
      </c>
      <c r="T462" s="66">
        <f>INDEX(Projects[Currency],461)&amp;""</f>
        <v/>
      </c>
      <c r="U462" s="67">
        <f>INDEX(Projects[Value (M)],461)</f>
        <v/>
      </c>
      <c r="V462" s="66">
        <f>IF('Smart Search'!B13=1,IFERROR(1/'Smart Search'!H13,0),0)</f>
        <v/>
      </c>
      <c r="W462" s="66">
        <f>IF('Smart Search'!B13=1,IFERROR(1/'Smart Search'!H13,0),0)</f>
        <v/>
      </c>
      <c r="X462" s="66">
        <f>IF('Smart Search'!C13=1,IFERROR(1/'Smart Search'!H13,0),0)</f>
        <v/>
      </c>
      <c r="Y462" s="66">
        <f>IF('Smart Search'!C13=1,IFERROR(1/'Smart Search'!H13,0),0)</f>
        <v/>
      </c>
      <c r="Z462" s="66">
        <f>IF('Smart Search'!D13=1,IFERROR(1/'Smart Search'!H13,0),0)</f>
        <v/>
      </c>
      <c r="AA462" s="66">
        <f>IF('Smart Search'!D13=1,IFERROR(1/'Smart Search'!H13,0),0)</f>
        <v/>
      </c>
      <c r="AB462" s="66">
        <f>IF('Smart Search'!E13=1,IFERROR(1/'Smart Search'!H13,0),0)</f>
        <v/>
      </c>
      <c r="AC462" s="66">
        <f>IF('Smart Search'!E13=1,IFERROR(1/'Smart Search'!H13,0),0)</f>
        <v/>
      </c>
      <c r="AD462" s="66">
        <f>IF('Smart Search'!F13=1,IFERROR(1/'Smart Search'!H13,0),0)</f>
        <v/>
      </c>
      <c r="AE462" s="66">
        <f>IF('Smart Search'!F13=1,IFERROR(1/'Smart Search'!H13,0),0)</f>
        <v/>
      </c>
      <c r="AF462" s="66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66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66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66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66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66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66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66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66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66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66">
        <f>AF462*V462</f>
        <v/>
      </c>
      <c r="AQ462" s="66">
        <f>AG462*W462</f>
        <v/>
      </c>
      <c r="AR462" s="66">
        <f>AH462*X462</f>
        <v/>
      </c>
      <c r="AS462" s="66">
        <f>AI462*Y462</f>
        <v/>
      </c>
      <c r="AT462" s="66">
        <f>AJ462*Z462</f>
        <v/>
      </c>
      <c r="AU462" s="66">
        <f>AK462*AA462</f>
        <v/>
      </c>
      <c r="AV462" s="66">
        <f>AL462*AB462</f>
        <v/>
      </c>
      <c r="AW462" s="66">
        <f>AM462*AC462</f>
        <v/>
      </c>
      <c r="AX462" s="66">
        <f>AN462*AD462</f>
        <v/>
      </c>
      <c r="AY462" s="66">
        <f>AO462*AE462</f>
        <v/>
      </c>
      <c r="AZ462" s="66">
        <f>INDEX(Projects[Automation Equipment],461)&amp;""</f>
        <v/>
      </c>
      <c r="BA462" s="66">
        <f>IF(OR(A462="",'Smart Search'!H13=0),"",MAX(0,BE462*BF462*MAX(0,1-BG462)))</f>
        <v/>
      </c>
      <c r="BB462" s="66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66">
        <f>IF('Smart Search'!G13=1,IFERROR(1/'Smart Search'!H13,0),0)</f>
        <v/>
      </c>
      <c r="BD462" s="66">
        <f>BB462*BC462</f>
        <v/>
      </c>
      <c r="BE462" s="66">
        <f>AP462+AQ462+AR462+AS462+AT462+AU462+AV462+AW462+AX462+AY462+BD462</f>
        <v/>
      </c>
      <c r="BF462" s="5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5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5">
        <f>IF(AND(A462&lt;&gt;"",OR('Smart Search'!$L$5="",'Smart Search'!$L$5="All",TRIM(BZ462)=TRIM('Smart Search'!$L$5)),OR(TRIM('Smart Search'!$L$6)="",TRIM('Smart Search'!$L$6)="All",ISNUMBER(SEARCH(SUBSTITUTE(SUBSTITUTE(SUBSTITUTE(TRIM('Smart Search'!$L$6),"~","~~"),"*","~*"),"?","~?"),CA462))),OR('Smart Search'!$L$7="",AND(CB462&lt;&gt;0,CB462='Smart Search'!$L$7)),OR('Smart Search'!$L$8="",'Smart Search'!$L$8="All",TRIM(CC462)=TRIM('Smart Search'!$L$8))),IF(BA462="","",BA462+ROW()*0.0000000001),"")</f>
        <v/>
      </c>
      <c r="BI462" s="5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5">
        <f>IF(A462="","",N(INDEX(Projects[Mech Inst],461)))</f>
        <v/>
      </c>
      <c r="BK462" s="5">
        <f>IF(A462="","",N(INDEX(Projects[Elec Inst],461)))</f>
        <v/>
      </c>
      <c r="BL462" s="5">
        <f>IF(A462="","",N(INDEX(Projects[Project Management],461)))</f>
        <v/>
      </c>
      <c r="BM462" s="5">
        <f>IF(A462="","",N(INDEX(Projects[Systems Eng],461)))</f>
        <v/>
      </c>
      <c r="BN462" s="5">
        <f>IF(A462="","",N(INDEX(Projects[Mechanical Eng],461)))</f>
        <v/>
      </c>
      <c r="BO462" s="5">
        <f>IF(A462="","",N(INDEX(Projects[Structural Engineering],461)))</f>
        <v/>
      </c>
      <c r="BP462" s="5">
        <f>IF(A462="","",N(INDEX(Projects[Site Sup],461)))</f>
        <v/>
      </c>
      <c r="BQ462" s="5">
        <f>IF(A462="","",N(INDEX(Projects[Controls Commissioning],461)))</f>
        <v/>
      </c>
      <c r="BR462" s="5">
        <f>IF(A462="","",N(INDEX(Projects[Systems Commissioning],461)))</f>
        <v/>
      </c>
      <c r="BS462" s="5">
        <f>IF(A462="","",N(INDEX(Projects[Service Commissioning],461)))</f>
        <v/>
      </c>
      <c r="BT462" s="5">
        <f>IF(A462="","",N(INDEX(Projects[Controls Eng],461)))</f>
        <v/>
      </c>
      <c r="BU462" s="5">
        <f>IF(A462="","",N(INDEX(Projects[Controls Purchase],461)))</f>
        <v/>
      </c>
      <c r="BV462" s="5">
        <f>IF(A462="","",N(INDEX(Projects[Software Eng],461)))</f>
        <v/>
      </c>
      <c r="BW462" s="5">
        <f>IF(A462="","",N(INDEX(Projects[Misc],461)))</f>
        <v/>
      </c>
      <c r="BX462" s="5">
        <f>IF(A462="","",SUM(BJ462:BW462))</f>
        <v/>
      </c>
      <c r="BY462" s="5">
        <f>IF(A462="","",IFERROR(IF(ISNUMBER(U462),U462,VALUE(SUBSTITUTE(SUBSTITUTE(SUBSTITUTE(UPPER(TRIM(U462)),"M",""),",","")," ",""))),0))</f>
        <v/>
      </c>
      <c r="BZ462" s="5">
        <f>INDEX(Projects[Solution Type],461)&amp;""</f>
        <v/>
      </c>
      <c r="CA462" s="5">
        <f>INDEX(Projects[Client / Region],461)&amp;""</f>
        <v/>
      </c>
      <c r="CB462" s="5">
        <f>INDEX(Projects[Year],461)</f>
        <v/>
      </c>
      <c r="CC462" s="5">
        <f>INDEX(Projects[Won?],461)&amp;""</f>
        <v/>
      </c>
      <c r="CD462" s="5">
        <f>INDEX(Projects[Value (USD M)],461)</f>
        <v/>
      </c>
    </row>
    <row r="463" ht="15" customHeight="1" s="74">
      <c r="A463" s="66">
        <f>INDEX(Projects[Project ID *],462)&amp;""</f>
        <v/>
      </c>
      <c r="B463" s="66">
        <f>INDEX(Projects[Project Name *],462)&amp;""</f>
        <v/>
      </c>
      <c r="C463" s="66">
        <f>INDEX(Projects[MS Shuttles],462)</f>
        <v/>
      </c>
      <c r="D463" s="66">
        <f>INDEX(Projects[MS Tote Locations],462)</f>
        <v/>
      </c>
      <c r="E463" s="66">
        <f>INDEX(Projects[AS Robots],462)</f>
        <v/>
      </c>
      <c r="F463" s="66">
        <f>INDEX(Projects[AS Tote Locations],462)</f>
        <v/>
      </c>
      <c r="G463" s="66">
        <f>INDEX(Projects[PS Shuttles],462)</f>
        <v/>
      </c>
      <c r="H463" s="66">
        <f>INDEX(Projects[PS Pallet Locations],462)</f>
        <v/>
      </c>
      <c r="I463" s="66">
        <f>INDEX(Projects[SRM Cranes],462)</f>
        <v/>
      </c>
      <c r="J463" s="66">
        <f>INDEX(Projects[SRM Pallet Locations],462)</f>
        <v/>
      </c>
      <c r="K463" s="66">
        <f>INDEX(Projects[Case Conv (m)],462)</f>
        <v/>
      </c>
      <c r="L463" s="66">
        <f>INDEX(Projects[Pallet Conv (m)],462)</f>
        <v/>
      </c>
      <c r="M463" s="66">
        <f>INDEX(Projects[Mech Eng (wks)],462)</f>
        <v/>
      </c>
      <c r="N463" s="66">
        <f>INDEX(Projects[Controls Eng (wks)],462)</f>
        <v/>
      </c>
      <c r="O463" s="66">
        <f>INDEX(Projects[Systems Eng (wks)],462)</f>
        <v/>
      </c>
      <c r="P463" s="66">
        <f>INDEX(Projects[Software Eng (wks)],462)</f>
        <v/>
      </c>
      <c r="Q463" s="66">
        <f>INDEX(Projects[M&amp;E Installation (wks)],462)</f>
        <v/>
      </c>
      <c r="R463" s="66">
        <f>INDEX(Projects[Commissioning (wks)],462)</f>
        <v/>
      </c>
      <c r="S463" s="66">
        <f>INDEX(Projects[Total Timeline (wks)],462)</f>
        <v/>
      </c>
      <c r="T463" s="66">
        <f>INDEX(Projects[Currency],462)&amp;""</f>
        <v/>
      </c>
      <c r="U463" s="67">
        <f>INDEX(Projects[Value (M)],462)</f>
        <v/>
      </c>
      <c r="V463" s="66">
        <f>IF('Smart Search'!B13=1,IFERROR(1/'Smart Search'!H13,0),0)</f>
        <v/>
      </c>
      <c r="W463" s="66">
        <f>IF('Smart Search'!B13=1,IFERROR(1/'Smart Search'!H13,0),0)</f>
        <v/>
      </c>
      <c r="X463" s="66">
        <f>IF('Smart Search'!C13=1,IFERROR(1/'Smart Search'!H13,0),0)</f>
        <v/>
      </c>
      <c r="Y463" s="66">
        <f>IF('Smart Search'!C13=1,IFERROR(1/'Smart Search'!H13,0),0)</f>
        <v/>
      </c>
      <c r="Z463" s="66">
        <f>IF('Smart Search'!D13=1,IFERROR(1/'Smart Search'!H13,0),0)</f>
        <v/>
      </c>
      <c r="AA463" s="66">
        <f>IF('Smart Search'!D13=1,IFERROR(1/'Smart Search'!H13,0),0)</f>
        <v/>
      </c>
      <c r="AB463" s="66">
        <f>IF('Smart Search'!E13=1,IFERROR(1/'Smart Search'!H13,0),0)</f>
        <v/>
      </c>
      <c r="AC463" s="66">
        <f>IF('Smart Search'!E13=1,IFERROR(1/'Smart Search'!H13,0),0)</f>
        <v/>
      </c>
      <c r="AD463" s="66">
        <f>IF('Smart Search'!F13=1,IFERROR(1/'Smart Search'!H13,0),0)</f>
        <v/>
      </c>
      <c r="AE463" s="66">
        <f>IF('Smart Search'!F13=1,IFERROR(1/'Smart Search'!H13,0),0)</f>
        <v/>
      </c>
      <c r="AF463" s="66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66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66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66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66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66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66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66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66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66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66">
        <f>AF463*V463</f>
        <v/>
      </c>
      <c r="AQ463" s="66">
        <f>AG463*W463</f>
        <v/>
      </c>
      <c r="AR463" s="66">
        <f>AH463*X463</f>
        <v/>
      </c>
      <c r="AS463" s="66">
        <f>AI463*Y463</f>
        <v/>
      </c>
      <c r="AT463" s="66">
        <f>AJ463*Z463</f>
        <v/>
      </c>
      <c r="AU463" s="66">
        <f>AK463*AA463</f>
        <v/>
      </c>
      <c r="AV463" s="66">
        <f>AL463*AB463</f>
        <v/>
      </c>
      <c r="AW463" s="66">
        <f>AM463*AC463</f>
        <v/>
      </c>
      <c r="AX463" s="66">
        <f>AN463*AD463</f>
        <v/>
      </c>
      <c r="AY463" s="66">
        <f>AO463*AE463</f>
        <v/>
      </c>
      <c r="AZ463" s="66">
        <f>INDEX(Projects[Automation Equipment],462)&amp;""</f>
        <v/>
      </c>
      <c r="BA463" s="66">
        <f>IF(OR(A463="",'Smart Search'!H13=0),"",MAX(0,BE463*BF463*MAX(0,1-BG463)))</f>
        <v/>
      </c>
      <c r="BB463" s="66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66">
        <f>IF('Smart Search'!G13=1,IFERROR(1/'Smart Search'!H13,0),0)</f>
        <v/>
      </c>
      <c r="BD463" s="66">
        <f>BB463*BC463</f>
        <v/>
      </c>
      <c r="BE463" s="66">
        <f>AP463+AQ463+AR463+AS463+AT463+AU463+AV463+AW463+AX463+AY463+BD463</f>
        <v/>
      </c>
      <c r="BF463" s="5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5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5">
        <f>IF(AND(A463&lt;&gt;"",OR('Smart Search'!$L$5="",'Smart Search'!$L$5="All",TRIM(BZ463)=TRIM('Smart Search'!$L$5)),OR(TRIM('Smart Search'!$L$6)="",TRIM('Smart Search'!$L$6)="All",ISNUMBER(SEARCH(SUBSTITUTE(SUBSTITUTE(SUBSTITUTE(TRIM('Smart Search'!$L$6),"~","~~"),"*","~*"),"?","~?"),CA463))),OR('Smart Search'!$L$7="",AND(CB463&lt;&gt;0,CB463='Smart Search'!$L$7)),OR('Smart Search'!$L$8="",'Smart Search'!$L$8="All",TRIM(CC463)=TRIM('Smart Search'!$L$8))),IF(BA463="","",BA463+ROW()*0.0000000001),"")</f>
        <v/>
      </c>
      <c r="BI463" s="5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5">
        <f>IF(A463="","",N(INDEX(Projects[Mech Inst],462)))</f>
        <v/>
      </c>
      <c r="BK463" s="5">
        <f>IF(A463="","",N(INDEX(Projects[Elec Inst],462)))</f>
        <v/>
      </c>
      <c r="BL463" s="5">
        <f>IF(A463="","",N(INDEX(Projects[Project Management],462)))</f>
        <v/>
      </c>
      <c r="BM463" s="5">
        <f>IF(A463="","",N(INDEX(Projects[Systems Eng],462)))</f>
        <v/>
      </c>
      <c r="BN463" s="5">
        <f>IF(A463="","",N(INDEX(Projects[Mechanical Eng],462)))</f>
        <v/>
      </c>
      <c r="BO463" s="5">
        <f>IF(A463="","",N(INDEX(Projects[Structural Engineering],462)))</f>
        <v/>
      </c>
      <c r="BP463" s="5">
        <f>IF(A463="","",N(INDEX(Projects[Site Sup],462)))</f>
        <v/>
      </c>
      <c r="BQ463" s="5">
        <f>IF(A463="","",N(INDEX(Projects[Controls Commissioning],462)))</f>
        <v/>
      </c>
      <c r="BR463" s="5">
        <f>IF(A463="","",N(INDEX(Projects[Systems Commissioning],462)))</f>
        <v/>
      </c>
      <c r="BS463" s="5">
        <f>IF(A463="","",N(INDEX(Projects[Service Commissioning],462)))</f>
        <v/>
      </c>
      <c r="BT463" s="5">
        <f>IF(A463="","",N(INDEX(Projects[Controls Eng],462)))</f>
        <v/>
      </c>
      <c r="BU463" s="5">
        <f>IF(A463="","",N(INDEX(Projects[Controls Purchase],462)))</f>
        <v/>
      </c>
      <c r="BV463" s="5">
        <f>IF(A463="","",N(INDEX(Projects[Software Eng],462)))</f>
        <v/>
      </c>
      <c r="BW463" s="5">
        <f>IF(A463="","",N(INDEX(Projects[Misc],462)))</f>
        <v/>
      </c>
      <c r="BX463" s="5">
        <f>IF(A463="","",SUM(BJ463:BW463))</f>
        <v/>
      </c>
      <c r="BY463" s="5">
        <f>IF(A463="","",IFERROR(IF(ISNUMBER(U463),U463,VALUE(SUBSTITUTE(SUBSTITUTE(SUBSTITUTE(UPPER(TRIM(U463)),"M",""),",","")," ",""))),0))</f>
        <v/>
      </c>
      <c r="BZ463" s="5">
        <f>INDEX(Projects[Solution Type],462)&amp;""</f>
        <v/>
      </c>
      <c r="CA463" s="5">
        <f>INDEX(Projects[Client / Region],462)&amp;""</f>
        <v/>
      </c>
      <c r="CB463" s="5">
        <f>INDEX(Projects[Year],462)</f>
        <v/>
      </c>
      <c r="CC463" s="5">
        <f>INDEX(Projects[Won?],462)&amp;""</f>
        <v/>
      </c>
      <c r="CD463" s="5">
        <f>INDEX(Projects[Value (USD M)],462)</f>
        <v/>
      </c>
    </row>
    <row r="464" ht="15" customHeight="1" s="74">
      <c r="A464" s="66">
        <f>INDEX(Projects[Project ID *],463)&amp;""</f>
        <v/>
      </c>
      <c r="B464" s="66">
        <f>INDEX(Projects[Project Name *],463)&amp;""</f>
        <v/>
      </c>
      <c r="C464" s="66">
        <f>INDEX(Projects[MS Shuttles],463)</f>
        <v/>
      </c>
      <c r="D464" s="66">
        <f>INDEX(Projects[MS Tote Locations],463)</f>
        <v/>
      </c>
      <c r="E464" s="66">
        <f>INDEX(Projects[AS Robots],463)</f>
        <v/>
      </c>
      <c r="F464" s="66">
        <f>INDEX(Projects[AS Tote Locations],463)</f>
        <v/>
      </c>
      <c r="G464" s="66">
        <f>INDEX(Projects[PS Shuttles],463)</f>
        <v/>
      </c>
      <c r="H464" s="66">
        <f>INDEX(Projects[PS Pallet Locations],463)</f>
        <v/>
      </c>
      <c r="I464" s="66">
        <f>INDEX(Projects[SRM Cranes],463)</f>
        <v/>
      </c>
      <c r="J464" s="66">
        <f>INDEX(Projects[SRM Pallet Locations],463)</f>
        <v/>
      </c>
      <c r="K464" s="66">
        <f>INDEX(Projects[Case Conv (m)],463)</f>
        <v/>
      </c>
      <c r="L464" s="66">
        <f>INDEX(Projects[Pallet Conv (m)],463)</f>
        <v/>
      </c>
      <c r="M464" s="66">
        <f>INDEX(Projects[Mech Eng (wks)],463)</f>
        <v/>
      </c>
      <c r="N464" s="66">
        <f>INDEX(Projects[Controls Eng (wks)],463)</f>
        <v/>
      </c>
      <c r="O464" s="66">
        <f>INDEX(Projects[Systems Eng (wks)],463)</f>
        <v/>
      </c>
      <c r="P464" s="66">
        <f>INDEX(Projects[Software Eng (wks)],463)</f>
        <v/>
      </c>
      <c r="Q464" s="66">
        <f>INDEX(Projects[M&amp;E Installation (wks)],463)</f>
        <v/>
      </c>
      <c r="R464" s="66">
        <f>INDEX(Projects[Commissioning (wks)],463)</f>
        <v/>
      </c>
      <c r="S464" s="66">
        <f>INDEX(Projects[Total Timeline (wks)],463)</f>
        <v/>
      </c>
      <c r="T464" s="66">
        <f>INDEX(Projects[Currency],463)&amp;""</f>
        <v/>
      </c>
      <c r="U464" s="67">
        <f>INDEX(Projects[Value (M)],463)</f>
        <v/>
      </c>
      <c r="V464" s="66">
        <f>IF('Smart Search'!B13=1,IFERROR(1/'Smart Search'!H13,0),0)</f>
        <v/>
      </c>
      <c r="W464" s="66">
        <f>IF('Smart Search'!B13=1,IFERROR(1/'Smart Search'!H13,0),0)</f>
        <v/>
      </c>
      <c r="X464" s="66">
        <f>IF('Smart Search'!C13=1,IFERROR(1/'Smart Search'!H13,0),0)</f>
        <v/>
      </c>
      <c r="Y464" s="66">
        <f>IF('Smart Search'!C13=1,IFERROR(1/'Smart Search'!H13,0),0)</f>
        <v/>
      </c>
      <c r="Z464" s="66">
        <f>IF('Smart Search'!D13=1,IFERROR(1/'Smart Search'!H13,0),0)</f>
        <v/>
      </c>
      <c r="AA464" s="66">
        <f>IF('Smart Search'!D13=1,IFERROR(1/'Smart Search'!H13,0),0)</f>
        <v/>
      </c>
      <c r="AB464" s="66">
        <f>IF('Smart Search'!E13=1,IFERROR(1/'Smart Search'!H13,0),0)</f>
        <v/>
      </c>
      <c r="AC464" s="66">
        <f>IF('Smart Search'!E13=1,IFERROR(1/'Smart Search'!H13,0),0)</f>
        <v/>
      </c>
      <c r="AD464" s="66">
        <f>IF('Smart Search'!F13=1,IFERROR(1/'Smart Search'!H13,0),0)</f>
        <v/>
      </c>
      <c r="AE464" s="66">
        <f>IF('Smart Search'!F13=1,IFERROR(1/'Smart Search'!H13,0),0)</f>
        <v/>
      </c>
      <c r="AF464" s="66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66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66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66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66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66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66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66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66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66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66">
        <f>AF464*V464</f>
        <v/>
      </c>
      <c r="AQ464" s="66">
        <f>AG464*W464</f>
        <v/>
      </c>
      <c r="AR464" s="66">
        <f>AH464*X464</f>
        <v/>
      </c>
      <c r="AS464" s="66">
        <f>AI464*Y464</f>
        <v/>
      </c>
      <c r="AT464" s="66">
        <f>AJ464*Z464</f>
        <v/>
      </c>
      <c r="AU464" s="66">
        <f>AK464*AA464</f>
        <v/>
      </c>
      <c r="AV464" s="66">
        <f>AL464*AB464</f>
        <v/>
      </c>
      <c r="AW464" s="66">
        <f>AM464*AC464</f>
        <v/>
      </c>
      <c r="AX464" s="66">
        <f>AN464*AD464</f>
        <v/>
      </c>
      <c r="AY464" s="66">
        <f>AO464*AE464</f>
        <v/>
      </c>
      <c r="AZ464" s="66">
        <f>INDEX(Projects[Automation Equipment],463)&amp;""</f>
        <v/>
      </c>
      <c r="BA464" s="66">
        <f>IF(OR(A464="",'Smart Search'!H13=0),"",MAX(0,BE464*BF464*MAX(0,1-BG464)))</f>
        <v/>
      </c>
      <c r="BB464" s="66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66">
        <f>IF('Smart Search'!G13=1,IFERROR(1/'Smart Search'!H13,0),0)</f>
        <v/>
      </c>
      <c r="BD464" s="66">
        <f>BB464*BC464</f>
        <v/>
      </c>
      <c r="BE464" s="66">
        <f>AP464+AQ464+AR464+AS464+AT464+AU464+AV464+AW464+AX464+AY464+BD464</f>
        <v/>
      </c>
      <c r="BF464" s="5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5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5">
        <f>IF(AND(A464&lt;&gt;"",OR('Smart Search'!$L$5="",'Smart Search'!$L$5="All",TRIM(BZ464)=TRIM('Smart Search'!$L$5)),OR(TRIM('Smart Search'!$L$6)="",TRIM('Smart Search'!$L$6)="All",ISNUMBER(SEARCH(SUBSTITUTE(SUBSTITUTE(SUBSTITUTE(TRIM('Smart Search'!$L$6),"~","~~"),"*","~*"),"?","~?"),CA464))),OR('Smart Search'!$L$7="",AND(CB464&lt;&gt;0,CB464='Smart Search'!$L$7)),OR('Smart Search'!$L$8="",'Smart Search'!$L$8="All",TRIM(CC464)=TRIM('Smart Search'!$L$8))),IF(BA464="","",BA464+ROW()*0.0000000001),"")</f>
        <v/>
      </c>
      <c r="BI464" s="5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5">
        <f>IF(A464="","",N(INDEX(Projects[Mech Inst],463)))</f>
        <v/>
      </c>
      <c r="BK464" s="5">
        <f>IF(A464="","",N(INDEX(Projects[Elec Inst],463)))</f>
        <v/>
      </c>
      <c r="BL464" s="5">
        <f>IF(A464="","",N(INDEX(Projects[Project Management],463)))</f>
        <v/>
      </c>
      <c r="BM464" s="5">
        <f>IF(A464="","",N(INDEX(Projects[Systems Eng],463)))</f>
        <v/>
      </c>
      <c r="BN464" s="5">
        <f>IF(A464="","",N(INDEX(Projects[Mechanical Eng],463)))</f>
        <v/>
      </c>
      <c r="BO464" s="5">
        <f>IF(A464="","",N(INDEX(Projects[Structural Engineering],463)))</f>
        <v/>
      </c>
      <c r="BP464" s="5">
        <f>IF(A464="","",N(INDEX(Projects[Site Sup],463)))</f>
        <v/>
      </c>
      <c r="BQ464" s="5">
        <f>IF(A464="","",N(INDEX(Projects[Controls Commissioning],463)))</f>
        <v/>
      </c>
      <c r="BR464" s="5">
        <f>IF(A464="","",N(INDEX(Projects[Systems Commissioning],463)))</f>
        <v/>
      </c>
      <c r="BS464" s="5">
        <f>IF(A464="","",N(INDEX(Projects[Service Commissioning],463)))</f>
        <v/>
      </c>
      <c r="BT464" s="5">
        <f>IF(A464="","",N(INDEX(Projects[Controls Eng],463)))</f>
        <v/>
      </c>
      <c r="BU464" s="5">
        <f>IF(A464="","",N(INDEX(Projects[Controls Purchase],463)))</f>
        <v/>
      </c>
      <c r="BV464" s="5">
        <f>IF(A464="","",N(INDEX(Projects[Software Eng],463)))</f>
        <v/>
      </c>
      <c r="BW464" s="5">
        <f>IF(A464="","",N(INDEX(Projects[Misc],463)))</f>
        <v/>
      </c>
      <c r="BX464" s="5">
        <f>IF(A464="","",SUM(BJ464:BW464))</f>
        <v/>
      </c>
      <c r="BY464" s="5">
        <f>IF(A464="","",IFERROR(IF(ISNUMBER(U464),U464,VALUE(SUBSTITUTE(SUBSTITUTE(SUBSTITUTE(UPPER(TRIM(U464)),"M",""),",","")," ",""))),0))</f>
        <v/>
      </c>
      <c r="BZ464" s="5">
        <f>INDEX(Projects[Solution Type],463)&amp;""</f>
        <v/>
      </c>
      <c r="CA464" s="5">
        <f>INDEX(Projects[Client / Region],463)&amp;""</f>
        <v/>
      </c>
      <c r="CB464" s="5">
        <f>INDEX(Projects[Year],463)</f>
        <v/>
      </c>
      <c r="CC464" s="5">
        <f>INDEX(Projects[Won?],463)&amp;""</f>
        <v/>
      </c>
      <c r="CD464" s="5">
        <f>INDEX(Projects[Value (USD M)],463)</f>
        <v/>
      </c>
    </row>
    <row r="465" ht="15" customHeight="1" s="74">
      <c r="A465" s="66">
        <f>INDEX(Projects[Project ID *],464)&amp;""</f>
        <v/>
      </c>
      <c r="B465" s="66">
        <f>INDEX(Projects[Project Name *],464)&amp;""</f>
        <v/>
      </c>
      <c r="C465" s="66">
        <f>INDEX(Projects[MS Shuttles],464)</f>
        <v/>
      </c>
      <c r="D465" s="66">
        <f>INDEX(Projects[MS Tote Locations],464)</f>
        <v/>
      </c>
      <c r="E465" s="66">
        <f>INDEX(Projects[AS Robots],464)</f>
        <v/>
      </c>
      <c r="F465" s="66">
        <f>INDEX(Projects[AS Tote Locations],464)</f>
        <v/>
      </c>
      <c r="G465" s="66">
        <f>INDEX(Projects[PS Shuttles],464)</f>
        <v/>
      </c>
      <c r="H465" s="66">
        <f>INDEX(Projects[PS Pallet Locations],464)</f>
        <v/>
      </c>
      <c r="I465" s="66">
        <f>INDEX(Projects[SRM Cranes],464)</f>
        <v/>
      </c>
      <c r="J465" s="66">
        <f>INDEX(Projects[SRM Pallet Locations],464)</f>
        <v/>
      </c>
      <c r="K465" s="66">
        <f>INDEX(Projects[Case Conv (m)],464)</f>
        <v/>
      </c>
      <c r="L465" s="66">
        <f>INDEX(Projects[Pallet Conv (m)],464)</f>
        <v/>
      </c>
      <c r="M465" s="66">
        <f>INDEX(Projects[Mech Eng (wks)],464)</f>
        <v/>
      </c>
      <c r="N465" s="66">
        <f>INDEX(Projects[Controls Eng (wks)],464)</f>
        <v/>
      </c>
      <c r="O465" s="66">
        <f>INDEX(Projects[Systems Eng (wks)],464)</f>
        <v/>
      </c>
      <c r="P465" s="66">
        <f>INDEX(Projects[Software Eng (wks)],464)</f>
        <v/>
      </c>
      <c r="Q465" s="66">
        <f>INDEX(Projects[M&amp;E Installation (wks)],464)</f>
        <v/>
      </c>
      <c r="R465" s="66">
        <f>INDEX(Projects[Commissioning (wks)],464)</f>
        <v/>
      </c>
      <c r="S465" s="66">
        <f>INDEX(Projects[Total Timeline (wks)],464)</f>
        <v/>
      </c>
      <c r="T465" s="66">
        <f>INDEX(Projects[Currency],464)&amp;""</f>
        <v/>
      </c>
      <c r="U465" s="67">
        <f>INDEX(Projects[Value (M)],464)</f>
        <v/>
      </c>
      <c r="V465" s="66">
        <f>IF('Smart Search'!B13=1,IFERROR(1/'Smart Search'!H13,0),0)</f>
        <v/>
      </c>
      <c r="W465" s="66">
        <f>IF('Smart Search'!B13=1,IFERROR(1/'Smart Search'!H13,0),0)</f>
        <v/>
      </c>
      <c r="X465" s="66">
        <f>IF('Smart Search'!C13=1,IFERROR(1/'Smart Search'!H13,0),0)</f>
        <v/>
      </c>
      <c r="Y465" s="66">
        <f>IF('Smart Search'!C13=1,IFERROR(1/'Smart Search'!H13,0),0)</f>
        <v/>
      </c>
      <c r="Z465" s="66">
        <f>IF('Smart Search'!D13=1,IFERROR(1/'Smart Search'!H13,0),0)</f>
        <v/>
      </c>
      <c r="AA465" s="66">
        <f>IF('Smart Search'!D13=1,IFERROR(1/'Smart Search'!H13,0),0)</f>
        <v/>
      </c>
      <c r="AB465" s="66">
        <f>IF('Smart Search'!E13=1,IFERROR(1/'Smart Search'!H13,0),0)</f>
        <v/>
      </c>
      <c r="AC465" s="66">
        <f>IF('Smart Search'!E13=1,IFERROR(1/'Smart Search'!H13,0),0)</f>
        <v/>
      </c>
      <c r="AD465" s="66">
        <f>IF('Smart Search'!F13=1,IFERROR(1/'Smart Search'!H13,0),0)</f>
        <v/>
      </c>
      <c r="AE465" s="66">
        <f>IF('Smart Search'!F13=1,IFERROR(1/'Smart Search'!H13,0),0)</f>
        <v/>
      </c>
      <c r="AF465" s="66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66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66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66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66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66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66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66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66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66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66">
        <f>AF465*V465</f>
        <v/>
      </c>
      <c r="AQ465" s="66">
        <f>AG465*W465</f>
        <v/>
      </c>
      <c r="AR465" s="66">
        <f>AH465*X465</f>
        <v/>
      </c>
      <c r="AS465" s="66">
        <f>AI465*Y465</f>
        <v/>
      </c>
      <c r="AT465" s="66">
        <f>AJ465*Z465</f>
        <v/>
      </c>
      <c r="AU465" s="66">
        <f>AK465*AA465</f>
        <v/>
      </c>
      <c r="AV465" s="66">
        <f>AL465*AB465</f>
        <v/>
      </c>
      <c r="AW465" s="66">
        <f>AM465*AC465</f>
        <v/>
      </c>
      <c r="AX465" s="66">
        <f>AN465*AD465</f>
        <v/>
      </c>
      <c r="AY465" s="66">
        <f>AO465*AE465</f>
        <v/>
      </c>
      <c r="AZ465" s="66">
        <f>INDEX(Projects[Automation Equipment],464)&amp;""</f>
        <v/>
      </c>
      <c r="BA465" s="66">
        <f>IF(OR(A465="",'Smart Search'!H13=0),"",MAX(0,BE465*BF465*MAX(0,1-BG465)))</f>
        <v/>
      </c>
      <c r="BB465" s="66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66">
        <f>IF('Smart Search'!G13=1,IFERROR(1/'Smart Search'!H13,0),0)</f>
        <v/>
      </c>
      <c r="BD465" s="66">
        <f>BB465*BC465</f>
        <v/>
      </c>
      <c r="BE465" s="66">
        <f>AP465+AQ465+AR465+AS465+AT465+AU465+AV465+AW465+AX465+AY465+BD465</f>
        <v/>
      </c>
      <c r="BF465" s="5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5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5">
        <f>IF(AND(A465&lt;&gt;"",OR('Smart Search'!$L$5="",'Smart Search'!$L$5="All",TRIM(BZ465)=TRIM('Smart Search'!$L$5)),OR(TRIM('Smart Search'!$L$6)="",TRIM('Smart Search'!$L$6)="All",ISNUMBER(SEARCH(SUBSTITUTE(SUBSTITUTE(SUBSTITUTE(TRIM('Smart Search'!$L$6),"~","~~"),"*","~*"),"?","~?"),CA465))),OR('Smart Search'!$L$7="",AND(CB465&lt;&gt;0,CB465='Smart Search'!$L$7)),OR('Smart Search'!$L$8="",'Smart Search'!$L$8="All",TRIM(CC465)=TRIM('Smart Search'!$L$8))),IF(BA465="","",BA465+ROW()*0.0000000001),"")</f>
        <v/>
      </c>
      <c r="BI465" s="5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5">
        <f>IF(A465="","",N(INDEX(Projects[Mech Inst],464)))</f>
        <v/>
      </c>
      <c r="BK465" s="5">
        <f>IF(A465="","",N(INDEX(Projects[Elec Inst],464)))</f>
        <v/>
      </c>
      <c r="BL465" s="5">
        <f>IF(A465="","",N(INDEX(Projects[Project Management],464)))</f>
        <v/>
      </c>
      <c r="BM465" s="5">
        <f>IF(A465="","",N(INDEX(Projects[Systems Eng],464)))</f>
        <v/>
      </c>
      <c r="BN465" s="5">
        <f>IF(A465="","",N(INDEX(Projects[Mechanical Eng],464)))</f>
        <v/>
      </c>
      <c r="BO465" s="5">
        <f>IF(A465="","",N(INDEX(Projects[Structural Engineering],464)))</f>
        <v/>
      </c>
      <c r="BP465" s="5">
        <f>IF(A465="","",N(INDEX(Projects[Site Sup],464)))</f>
        <v/>
      </c>
      <c r="BQ465" s="5">
        <f>IF(A465="","",N(INDEX(Projects[Controls Commissioning],464)))</f>
        <v/>
      </c>
      <c r="BR465" s="5">
        <f>IF(A465="","",N(INDEX(Projects[Systems Commissioning],464)))</f>
        <v/>
      </c>
      <c r="BS465" s="5">
        <f>IF(A465="","",N(INDEX(Projects[Service Commissioning],464)))</f>
        <v/>
      </c>
      <c r="BT465" s="5">
        <f>IF(A465="","",N(INDEX(Projects[Controls Eng],464)))</f>
        <v/>
      </c>
      <c r="BU465" s="5">
        <f>IF(A465="","",N(INDEX(Projects[Controls Purchase],464)))</f>
        <v/>
      </c>
      <c r="BV465" s="5">
        <f>IF(A465="","",N(INDEX(Projects[Software Eng],464)))</f>
        <v/>
      </c>
      <c r="BW465" s="5">
        <f>IF(A465="","",N(INDEX(Projects[Misc],464)))</f>
        <v/>
      </c>
      <c r="BX465" s="5">
        <f>IF(A465="","",SUM(BJ465:BW465))</f>
        <v/>
      </c>
      <c r="BY465" s="5">
        <f>IF(A465="","",IFERROR(IF(ISNUMBER(U465),U465,VALUE(SUBSTITUTE(SUBSTITUTE(SUBSTITUTE(UPPER(TRIM(U465)),"M",""),",","")," ",""))),0))</f>
        <v/>
      </c>
      <c r="BZ465" s="5">
        <f>INDEX(Projects[Solution Type],464)&amp;""</f>
        <v/>
      </c>
      <c r="CA465" s="5">
        <f>INDEX(Projects[Client / Region],464)&amp;""</f>
        <v/>
      </c>
      <c r="CB465" s="5">
        <f>INDEX(Projects[Year],464)</f>
        <v/>
      </c>
      <c r="CC465" s="5">
        <f>INDEX(Projects[Won?],464)&amp;""</f>
        <v/>
      </c>
      <c r="CD465" s="5">
        <f>INDEX(Projects[Value (USD M)],464)</f>
        <v/>
      </c>
    </row>
    <row r="466" ht="15" customHeight="1" s="74">
      <c r="A466" s="66">
        <f>INDEX(Projects[Project ID *],465)&amp;""</f>
        <v/>
      </c>
      <c r="B466" s="66">
        <f>INDEX(Projects[Project Name *],465)&amp;""</f>
        <v/>
      </c>
      <c r="C466" s="66">
        <f>INDEX(Projects[MS Shuttles],465)</f>
        <v/>
      </c>
      <c r="D466" s="66">
        <f>INDEX(Projects[MS Tote Locations],465)</f>
        <v/>
      </c>
      <c r="E466" s="66">
        <f>INDEX(Projects[AS Robots],465)</f>
        <v/>
      </c>
      <c r="F466" s="66">
        <f>INDEX(Projects[AS Tote Locations],465)</f>
        <v/>
      </c>
      <c r="G466" s="66">
        <f>INDEX(Projects[PS Shuttles],465)</f>
        <v/>
      </c>
      <c r="H466" s="66">
        <f>INDEX(Projects[PS Pallet Locations],465)</f>
        <v/>
      </c>
      <c r="I466" s="66">
        <f>INDEX(Projects[SRM Cranes],465)</f>
        <v/>
      </c>
      <c r="J466" s="66">
        <f>INDEX(Projects[SRM Pallet Locations],465)</f>
        <v/>
      </c>
      <c r="K466" s="66">
        <f>INDEX(Projects[Case Conv (m)],465)</f>
        <v/>
      </c>
      <c r="L466" s="66">
        <f>INDEX(Projects[Pallet Conv (m)],465)</f>
        <v/>
      </c>
      <c r="M466" s="66">
        <f>INDEX(Projects[Mech Eng (wks)],465)</f>
        <v/>
      </c>
      <c r="N466" s="66">
        <f>INDEX(Projects[Controls Eng (wks)],465)</f>
        <v/>
      </c>
      <c r="O466" s="66">
        <f>INDEX(Projects[Systems Eng (wks)],465)</f>
        <v/>
      </c>
      <c r="P466" s="66">
        <f>INDEX(Projects[Software Eng (wks)],465)</f>
        <v/>
      </c>
      <c r="Q466" s="66">
        <f>INDEX(Projects[M&amp;E Installation (wks)],465)</f>
        <v/>
      </c>
      <c r="R466" s="66">
        <f>INDEX(Projects[Commissioning (wks)],465)</f>
        <v/>
      </c>
      <c r="S466" s="66">
        <f>INDEX(Projects[Total Timeline (wks)],465)</f>
        <v/>
      </c>
      <c r="T466" s="66">
        <f>INDEX(Projects[Currency],465)&amp;""</f>
        <v/>
      </c>
      <c r="U466" s="67">
        <f>INDEX(Projects[Value (M)],465)</f>
        <v/>
      </c>
      <c r="V466" s="66">
        <f>IF('Smart Search'!B13=1,IFERROR(1/'Smart Search'!H13,0),0)</f>
        <v/>
      </c>
      <c r="W466" s="66">
        <f>IF('Smart Search'!B13=1,IFERROR(1/'Smart Search'!H13,0),0)</f>
        <v/>
      </c>
      <c r="X466" s="66">
        <f>IF('Smart Search'!C13=1,IFERROR(1/'Smart Search'!H13,0),0)</f>
        <v/>
      </c>
      <c r="Y466" s="66">
        <f>IF('Smart Search'!C13=1,IFERROR(1/'Smart Search'!H13,0),0)</f>
        <v/>
      </c>
      <c r="Z466" s="66">
        <f>IF('Smart Search'!D13=1,IFERROR(1/'Smart Search'!H13,0),0)</f>
        <v/>
      </c>
      <c r="AA466" s="66">
        <f>IF('Smart Search'!D13=1,IFERROR(1/'Smart Search'!H13,0),0)</f>
        <v/>
      </c>
      <c r="AB466" s="66">
        <f>IF('Smart Search'!E13=1,IFERROR(1/'Smart Search'!H13,0),0)</f>
        <v/>
      </c>
      <c r="AC466" s="66">
        <f>IF('Smart Search'!E13=1,IFERROR(1/'Smart Search'!H13,0),0)</f>
        <v/>
      </c>
      <c r="AD466" s="66">
        <f>IF('Smart Search'!F13=1,IFERROR(1/'Smart Search'!H13,0),0)</f>
        <v/>
      </c>
      <c r="AE466" s="66">
        <f>IF('Smart Search'!F13=1,IFERROR(1/'Smart Search'!H13,0),0)</f>
        <v/>
      </c>
      <c r="AF466" s="66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66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66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66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66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66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66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66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66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66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66">
        <f>AF466*V466</f>
        <v/>
      </c>
      <c r="AQ466" s="66">
        <f>AG466*W466</f>
        <v/>
      </c>
      <c r="AR466" s="66">
        <f>AH466*X466</f>
        <v/>
      </c>
      <c r="AS466" s="66">
        <f>AI466*Y466</f>
        <v/>
      </c>
      <c r="AT466" s="66">
        <f>AJ466*Z466</f>
        <v/>
      </c>
      <c r="AU466" s="66">
        <f>AK466*AA466</f>
        <v/>
      </c>
      <c r="AV466" s="66">
        <f>AL466*AB466</f>
        <v/>
      </c>
      <c r="AW466" s="66">
        <f>AM466*AC466</f>
        <v/>
      </c>
      <c r="AX466" s="66">
        <f>AN466*AD466</f>
        <v/>
      </c>
      <c r="AY466" s="66">
        <f>AO466*AE466</f>
        <v/>
      </c>
      <c r="AZ466" s="66">
        <f>INDEX(Projects[Automation Equipment],465)&amp;""</f>
        <v/>
      </c>
      <c r="BA466" s="66">
        <f>IF(OR(A466="",'Smart Search'!H13=0),"",MAX(0,BE466*BF466*MAX(0,1-BG466)))</f>
        <v/>
      </c>
      <c r="BB466" s="66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66">
        <f>IF('Smart Search'!G13=1,IFERROR(1/'Smart Search'!H13,0),0)</f>
        <v/>
      </c>
      <c r="BD466" s="66">
        <f>BB466*BC466</f>
        <v/>
      </c>
      <c r="BE466" s="66">
        <f>AP466+AQ466+AR466+AS466+AT466+AU466+AV466+AW466+AX466+AY466+BD466</f>
        <v/>
      </c>
      <c r="BF466" s="5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5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5">
        <f>IF(AND(A466&lt;&gt;"",OR('Smart Search'!$L$5="",'Smart Search'!$L$5="All",TRIM(BZ466)=TRIM('Smart Search'!$L$5)),OR(TRIM('Smart Search'!$L$6)="",TRIM('Smart Search'!$L$6)="All",ISNUMBER(SEARCH(SUBSTITUTE(SUBSTITUTE(SUBSTITUTE(TRIM('Smart Search'!$L$6),"~","~~"),"*","~*"),"?","~?"),CA466))),OR('Smart Search'!$L$7="",AND(CB466&lt;&gt;0,CB466='Smart Search'!$L$7)),OR('Smart Search'!$L$8="",'Smart Search'!$L$8="All",TRIM(CC466)=TRIM('Smart Search'!$L$8))),IF(BA466="","",BA466+ROW()*0.0000000001),"")</f>
        <v/>
      </c>
      <c r="BI466" s="5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5">
        <f>IF(A466="","",N(INDEX(Projects[Mech Inst],465)))</f>
        <v/>
      </c>
      <c r="BK466" s="5">
        <f>IF(A466="","",N(INDEX(Projects[Elec Inst],465)))</f>
        <v/>
      </c>
      <c r="BL466" s="5">
        <f>IF(A466="","",N(INDEX(Projects[Project Management],465)))</f>
        <v/>
      </c>
      <c r="BM466" s="5">
        <f>IF(A466="","",N(INDEX(Projects[Systems Eng],465)))</f>
        <v/>
      </c>
      <c r="BN466" s="5">
        <f>IF(A466="","",N(INDEX(Projects[Mechanical Eng],465)))</f>
        <v/>
      </c>
      <c r="BO466" s="5">
        <f>IF(A466="","",N(INDEX(Projects[Structural Engineering],465)))</f>
        <v/>
      </c>
      <c r="BP466" s="5">
        <f>IF(A466="","",N(INDEX(Projects[Site Sup],465)))</f>
        <v/>
      </c>
      <c r="BQ466" s="5">
        <f>IF(A466="","",N(INDEX(Projects[Controls Commissioning],465)))</f>
        <v/>
      </c>
      <c r="BR466" s="5">
        <f>IF(A466="","",N(INDEX(Projects[Systems Commissioning],465)))</f>
        <v/>
      </c>
      <c r="BS466" s="5">
        <f>IF(A466="","",N(INDEX(Projects[Service Commissioning],465)))</f>
        <v/>
      </c>
      <c r="BT466" s="5">
        <f>IF(A466="","",N(INDEX(Projects[Controls Eng],465)))</f>
        <v/>
      </c>
      <c r="BU466" s="5">
        <f>IF(A466="","",N(INDEX(Projects[Controls Purchase],465)))</f>
        <v/>
      </c>
      <c r="BV466" s="5">
        <f>IF(A466="","",N(INDEX(Projects[Software Eng],465)))</f>
        <v/>
      </c>
      <c r="BW466" s="5">
        <f>IF(A466="","",N(INDEX(Projects[Misc],465)))</f>
        <v/>
      </c>
      <c r="BX466" s="5">
        <f>IF(A466="","",SUM(BJ466:BW466))</f>
        <v/>
      </c>
      <c r="BY466" s="5">
        <f>IF(A466="","",IFERROR(IF(ISNUMBER(U466),U466,VALUE(SUBSTITUTE(SUBSTITUTE(SUBSTITUTE(UPPER(TRIM(U466)),"M",""),",","")," ",""))),0))</f>
        <v/>
      </c>
      <c r="BZ466" s="5">
        <f>INDEX(Projects[Solution Type],465)&amp;""</f>
        <v/>
      </c>
      <c r="CA466" s="5">
        <f>INDEX(Projects[Client / Region],465)&amp;""</f>
        <v/>
      </c>
      <c r="CB466" s="5">
        <f>INDEX(Projects[Year],465)</f>
        <v/>
      </c>
      <c r="CC466" s="5">
        <f>INDEX(Projects[Won?],465)&amp;""</f>
        <v/>
      </c>
      <c r="CD466" s="5">
        <f>INDEX(Projects[Value (USD M)],465)</f>
        <v/>
      </c>
    </row>
    <row r="467" ht="15" customHeight="1" s="74">
      <c r="A467" s="66">
        <f>INDEX(Projects[Project ID *],466)&amp;""</f>
        <v/>
      </c>
      <c r="B467" s="66">
        <f>INDEX(Projects[Project Name *],466)&amp;""</f>
        <v/>
      </c>
      <c r="C467" s="66">
        <f>INDEX(Projects[MS Shuttles],466)</f>
        <v/>
      </c>
      <c r="D467" s="66">
        <f>INDEX(Projects[MS Tote Locations],466)</f>
        <v/>
      </c>
      <c r="E467" s="66">
        <f>INDEX(Projects[AS Robots],466)</f>
        <v/>
      </c>
      <c r="F467" s="66">
        <f>INDEX(Projects[AS Tote Locations],466)</f>
        <v/>
      </c>
      <c r="G467" s="66">
        <f>INDEX(Projects[PS Shuttles],466)</f>
        <v/>
      </c>
      <c r="H467" s="66">
        <f>INDEX(Projects[PS Pallet Locations],466)</f>
        <v/>
      </c>
      <c r="I467" s="66">
        <f>INDEX(Projects[SRM Cranes],466)</f>
        <v/>
      </c>
      <c r="J467" s="66">
        <f>INDEX(Projects[SRM Pallet Locations],466)</f>
        <v/>
      </c>
      <c r="K467" s="66">
        <f>INDEX(Projects[Case Conv (m)],466)</f>
        <v/>
      </c>
      <c r="L467" s="66">
        <f>INDEX(Projects[Pallet Conv (m)],466)</f>
        <v/>
      </c>
      <c r="M467" s="66">
        <f>INDEX(Projects[Mech Eng (wks)],466)</f>
        <v/>
      </c>
      <c r="N467" s="66">
        <f>INDEX(Projects[Controls Eng (wks)],466)</f>
        <v/>
      </c>
      <c r="O467" s="66">
        <f>INDEX(Projects[Systems Eng (wks)],466)</f>
        <v/>
      </c>
      <c r="P467" s="66">
        <f>INDEX(Projects[Software Eng (wks)],466)</f>
        <v/>
      </c>
      <c r="Q467" s="66">
        <f>INDEX(Projects[M&amp;E Installation (wks)],466)</f>
        <v/>
      </c>
      <c r="R467" s="66">
        <f>INDEX(Projects[Commissioning (wks)],466)</f>
        <v/>
      </c>
      <c r="S467" s="66">
        <f>INDEX(Projects[Total Timeline (wks)],466)</f>
        <v/>
      </c>
      <c r="T467" s="66">
        <f>INDEX(Projects[Currency],466)&amp;""</f>
        <v/>
      </c>
      <c r="U467" s="67">
        <f>INDEX(Projects[Value (M)],466)</f>
        <v/>
      </c>
      <c r="V467" s="66">
        <f>IF('Smart Search'!B13=1,IFERROR(1/'Smart Search'!H13,0),0)</f>
        <v/>
      </c>
      <c r="W467" s="66">
        <f>IF('Smart Search'!B13=1,IFERROR(1/'Smart Search'!H13,0),0)</f>
        <v/>
      </c>
      <c r="X467" s="66">
        <f>IF('Smart Search'!C13=1,IFERROR(1/'Smart Search'!H13,0),0)</f>
        <v/>
      </c>
      <c r="Y467" s="66">
        <f>IF('Smart Search'!C13=1,IFERROR(1/'Smart Search'!H13,0),0)</f>
        <v/>
      </c>
      <c r="Z467" s="66">
        <f>IF('Smart Search'!D13=1,IFERROR(1/'Smart Search'!H13,0),0)</f>
        <v/>
      </c>
      <c r="AA467" s="66">
        <f>IF('Smart Search'!D13=1,IFERROR(1/'Smart Search'!H13,0),0)</f>
        <v/>
      </c>
      <c r="AB467" s="66">
        <f>IF('Smart Search'!E13=1,IFERROR(1/'Smart Search'!H13,0),0)</f>
        <v/>
      </c>
      <c r="AC467" s="66">
        <f>IF('Smart Search'!E13=1,IFERROR(1/'Smart Search'!H13,0),0)</f>
        <v/>
      </c>
      <c r="AD467" s="66">
        <f>IF('Smart Search'!F13=1,IFERROR(1/'Smart Search'!H13,0),0)</f>
        <v/>
      </c>
      <c r="AE467" s="66">
        <f>IF('Smart Search'!F13=1,IFERROR(1/'Smart Search'!H13,0),0)</f>
        <v/>
      </c>
      <c r="AF467" s="66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66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66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66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66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66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66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66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66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66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66">
        <f>AF467*V467</f>
        <v/>
      </c>
      <c r="AQ467" s="66">
        <f>AG467*W467</f>
        <v/>
      </c>
      <c r="AR467" s="66">
        <f>AH467*X467</f>
        <v/>
      </c>
      <c r="AS467" s="66">
        <f>AI467*Y467</f>
        <v/>
      </c>
      <c r="AT467" s="66">
        <f>AJ467*Z467</f>
        <v/>
      </c>
      <c r="AU467" s="66">
        <f>AK467*AA467</f>
        <v/>
      </c>
      <c r="AV467" s="66">
        <f>AL467*AB467</f>
        <v/>
      </c>
      <c r="AW467" s="66">
        <f>AM467*AC467</f>
        <v/>
      </c>
      <c r="AX467" s="66">
        <f>AN467*AD467</f>
        <v/>
      </c>
      <c r="AY467" s="66">
        <f>AO467*AE467</f>
        <v/>
      </c>
      <c r="AZ467" s="66">
        <f>INDEX(Projects[Automation Equipment],466)&amp;""</f>
        <v/>
      </c>
      <c r="BA467" s="66">
        <f>IF(OR(A467="",'Smart Search'!H13=0),"",MAX(0,BE467*BF467*MAX(0,1-BG467)))</f>
        <v/>
      </c>
      <c r="BB467" s="66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66">
        <f>IF('Smart Search'!G13=1,IFERROR(1/'Smart Search'!H13,0),0)</f>
        <v/>
      </c>
      <c r="BD467" s="66">
        <f>BB467*BC467</f>
        <v/>
      </c>
      <c r="BE467" s="66">
        <f>AP467+AQ467+AR467+AS467+AT467+AU467+AV467+AW467+AX467+AY467+BD467</f>
        <v/>
      </c>
      <c r="BF467" s="5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5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5">
        <f>IF(AND(A467&lt;&gt;"",OR('Smart Search'!$L$5="",'Smart Search'!$L$5="All",TRIM(BZ467)=TRIM('Smart Search'!$L$5)),OR(TRIM('Smart Search'!$L$6)="",TRIM('Smart Search'!$L$6)="All",ISNUMBER(SEARCH(SUBSTITUTE(SUBSTITUTE(SUBSTITUTE(TRIM('Smart Search'!$L$6),"~","~~"),"*","~*"),"?","~?"),CA467))),OR('Smart Search'!$L$7="",AND(CB467&lt;&gt;0,CB467='Smart Search'!$L$7)),OR('Smart Search'!$L$8="",'Smart Search'!$L$8="All",TRIM(CC467)=TRIM('Smart Search'!$L$8))),IF(BA467="","",BA467+ROW()*0.0000000001),"")</f>
        <v/>
      </c>
      <c r="BI467" s="5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5">
        <f>IF(A467="","",N(INDEX(Projects[Mech Inst],466)))</f>
        <v/>
      </c>
      <c r="BK467" s="5">
        <f>IF(A467="","",N(INDEX(Projects[Elec Inst],466)))</f>
        <v/>
      </c>
      <c r="BL467" s="5">
        <f>IF(A467="","",N(INDEX(Projects[Project Management],466)))</f>
        <v/>
      </c>
      <c r="BM467" s="5">
        <f>IF(A467="","",N(INDEX(Projects[Systems Eng],466)))</f>
        <v/>
      </c>
      <c r="BN467" s="5">
        <f>IF(A467="","",N(INDEX(Projects[Mechanical Eng],466)))</f>
        <v/>
      </c>
      <c r="BO467" s="5">
        <f>IF(A467="","",N(INDEX(Projects[Structural Engineering],466)))</f>
        <v/>
      </c>
      <c r="BP467" s="5">
        <f>IF(A467="","",N(INDEX(Projects[Site Sup],466)))</f>
        <v/>
      </c>
      <c r="BQ467" s="5">
        <f>IF(A467="","",N(INDEX(Projects[Controls Commissioning],466)))</f>
        <v/>
      </c>
      <c r="BR467" s="5">
        <f>IF(A467="","",N(INDEX(Projects[Systems Commissioning],466)))</f>
        <v/>
      </c>
      <c r="BS467" s="5">
        <f>IF(A467="","",N(INDEX(Projects[Service Commissioning],466)))</f>
        <v/>
      </c>
      <c r="BT467" s="5">
        <f>IF(A467="","",N(INDEX(Projects[Controls Eng],466)))</f>
        <v/>
      </c>
      <c r="BU467" s="5">
        <f>IF(A467="","",N(INDEX(Projects[Controls Purchase],466)))</f>
        <v/>
      </c>
      <c r="BV467" s="5">
        <f>IF(A467="","",N(INDEX(Projects[Software Eng],466)))</f>
        <v/>
      </c>
      <c r="BW467" s="5">
        <f>IF(A467="","",N(INDEX(Projects[Misc],466)))</f>
        <v/>
      </c>
      <c r="BX467" s="5">
        <f>IF(A467="","",SUM(BJ467:BW467))</f>
        <v/>
      </c>
      <c r="BY467" s="5">
        <f>IF(A467="","",IFERROR(IF(ISNUMBER(U467),U467,VALUE(SUBSTITUTE(SUBSTITUTE(SUBSTITUTE(UPPER(TRIM(U467)),"M",""),",","")," ",""))),0))</f>
        <v/>
      </c>
      <c r="BZ467" s="5">
        <f>INDEX(Projects[Solution Type],466)&amp;""</f>
        <v/>
      </c>
      <c r="CA467" s="5">
        <f>INDEX(Projects[Client / Region],466)&amp;""</f>
        <v/>
      </c>
      <c r="CB467" s="5">
        <f>INDEX(Projects[Year],466)</f>
        <v/>
      </c>
      <c r="CC467" s="5">
        <f>INDEX(Projects[Won?],466)&amp;""</f>
        <v/>
      </c>
      <c r="CD467" s="5">
        <f>INDEX(Projects[Value (USD M)],466)</f>
        <v/>
      </c>
    </row>
    <row r="468" ht="15" customHeight="1" s="74">
      <c r="A468" s="66">
        <f>INDEX(Projects[Project ID *],467)&amp;""</f>
        <v/>
      </c>
      <c r="B468" s="66">
        <f>INDEX(Projects[Project Name *],467)&amp;""</f>
        <v/>
      </c>
      <c r="C468" s="66">
        <f>INDEX(Projects[MS Shuttles],467)</f>
        <v/>
      </c>
      <c r="D468" s="66">
        <f>INDEX(Projects[MS Tote Locations],467)</f>
        <v/>
      </c>
      <c r="E468" s="66">
        <f>INDEX(Projects[AS Robots],467)</f>
        <v/>
      </c>
      <c r="F468" s="66">
        <f>INDEX(Projects[AS Tote Locations],467)</f>
        <v/>
      </c>
      <c r="G468" s="66">
        <f>INDEX(Projects[PS Shuttles],467)</f>
        <v/>
      </c>
      <c r="H468" s="66">
        <f>INDEX(Projects[PS Pallet Locations],467)</f>
        <v/>
      </c>
      <c r="I468" s="66">
        <f>INDEX(Projects[SRM Cranes],467)</f>
        <v/>
      </c>
      <c r="J468" s="66">
        <f>INDEX(Projects[SRM Pallet Locations],467)</f>
        <v/>
      </c>
      <c r="K468" s="66">
        <f>INDEX(Projects[Case Conv (m)],467)</f>
        <v/>
      </c>
      <c r="L468" s="66">
        <f>INDEX(Projects[Pallet Conv (m)],467)</f>
        <v/>
      </c>
      <c r="M468" s="66">
        <f>INDEX(Projects[Mech Eng (wks)],467)</f>
        <v/>
      </c>
      <c r="N468" s="66">
        <f>INDEX(Projects[Controls Eng (wks)],467)</f>
        <v/>
      </c>
      <c r="O468" s="66">
        <f>INDEX(Projects[Systems Eng (wks)],467)</f>
        <v/>
      </c>
      <c r="P468" s="66">
        <f>INDEX(Projects[Software Eng (wks)],467)</f>
        <v/>
      </c>
      <c r="Q468" s="66">
        <f>INDEX(Projects[M&amp;E Installation (wks)],467)</f>
        <v/>
      </c>
      <c r="R468" s="66">
        <f>INDEX(Projects[Commissioning (wks)],467)</f>
        <v/>
      </c>
      <c r="S468" s="66">
        <f>INDEX(Projects[Total Timeline (wks)],467)</f>
        <v/>
      </c>
      <c r="T468" s="66">
        <f>INDEX(Projects[Currency],467)&amp;""</f>
        <v/>
      </c>
      <c r="U468" s="67">
        <f>INDEX(Projects[Value (M)],467)</f>
        <v/>
      </c>
      <c r="V468" s="66">
        <f>IF('Smart Search'!B13=1,IFERROR(1/'Smart Search'!H13,0),0)</f>
        <v/>
      </c>
      <c r="W468" s="66">
        <f>IF('Smart Search'!B13=1,IFERROR(1/'Smart Search'!H13,0),0)</f>
        <v/>
      </c>
      <c r="X468" s="66">
        <f>IF('Smart Search'!C13=1,IFERROR(1/'Smart Search'!H13,0),0)</f>
        <v/>
      </c>
      <c r="Y468" s="66">
        <f>IF('Smart Search'!C13=1,IFERROR(1/'Smart Search'!H13,0),0)</f>
        <v/>
      </c>
      <c r="Z468" s="66">
        <f>IF('Smart Search'!D13=1,IFERROR(1/'Smart Search'!H13,0),0)</f>
        <v/>
      </c>
      <c r="AA468" s="66">
        <f>IF('Smart Search'!D13=1,IFERROR(1/'Smart Search'!H13,0),0)</f>
        <v/>
      </c>
      <c r="AB468" s="66">
        <f>IF('Smart Search'!E13=1,IFERROR(1/'Smart Search'!H13,0),0)</f>
        <v/>
      </c>
      <c r="AC468" s="66">
        <f>IF('Smart Search'!E13=1,IFERROR(1/'Smart Search'!H13,0),0)</f>
        <v/>
      </c>
      <c r="AD468" s="66">
        <f>IF('Smart Search'!F13=1,IFERROR(1/'Smart Search'!H13,0),0)</f>
        <v/>
      </c>
      <c r="AE468" s="66">
        <f>IF('Smart Search'!F13=1,IFERROR(1/'Smart Search'!H13,0),0)</f>
        <v/>
      </c>
      <c r="AF468" s="66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66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66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66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66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66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66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66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66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66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66">
        <f>AF468*V468</f>
        <v/>
      </c>
      <c r="AQ468" s="66">
        <f>AG468*W468</f>
        <v/>
      </c>
      <c r="AR468" s="66">
        <f>AH468*X468</f>
        <v/>
      </c>
      <c r="AS468" s="66">
        <f>AI468*Y468</f>
        <v/>
      </c>
      <c r="AT468" s="66">
        <f>AJ468*Z468</f>
        <v/>
      </c>
      <c r="AU468" s="66">
        <f>AK468*AA468</f>
        <v/>
      </c>
      <c r="AV468" s="66">
        <f>AL468*AB468</f>
        <v/>
      </c>
      <c r="AW468" s="66">
        <f>AM468*AC468</f>
        <v/>
      </c>
      <c r="AX468" s="66">
        <f>AN468*AD468</f>
        <v/>
      </c>
      <c r="AY468" s="66">
        <f>AO468*AE468</f>
        <v/>
      </c>
      <c r="AZ468" s="66">
        <f>INDEX(Projects[Automation Equipment],467)&amp;""</f>
        <v/>
      </c>
      <c r="BA468" s="66">
        <f>IF(OR(A468="",'Smart Search'!H13=0),"",MAX(0,BE468*BF468*MAX(0,1-BG468)))</f>
        <v/>
      </c>
      <c r="BB468" s="66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66">
        <f>IF('Smart Search'!G13=1,IFERROR(1/'Smart Search'!H13,0),0)</f>
        <v/>
      </c>
      <c r="BD468" s="66">
        <f>BB468*BC468</f>
        <v/>
      </c>
      <c r="BE468" s="66">
        <f>AP468+AQ468+AR468+AS468+AT468+AU468+AV468+AW468+AX468+AY468+BD468</f>
        <v/>
      </c>
      <c r="BF468" s="5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5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5">
        <f>IF(AND(A468&lt;&gt;"",OR('Smart Search'!$L$5="",'Smart Search'!$L$5="All",TRIM(BZ468)=TRIM('Smart Search'!$L$5)),OR(TRIM('Smart Search'!$L$6)="",TRIM('Smart Search'!$L$6)="All",ISNUMBER(SEARCH(SUBSTITUTE(SUBSTITUTE(SUBSTITUTE(TRIM('Smart Search'!$L$6),"~","~~"),"*","~*"),"?","~?"),CA468))),OR('Smart Search'!$L$7="",AND(CB468&lt;&gt;0,CB468='Smart Search'!$L$7)),OR('Smart Search'!$L$8="",'Smart Search'!$L$8="All",TRIM(CC468)=TRIM('Smart Search'!$L$8))),IF(BA468="","",BA468+ROW()*0.0000000001),"")</f>
        <v/>
      </c>
      <c r="BI468" s="5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5">
        <f>IF(A468="","",N(INDEX(Projects[Mech Inst],467)))</f>
        <v/>
      </c>
      <c r="BK468" s="5">
        <f>IF(A468="","",N(INDEX(Projects[Elec Inst],467)))</f>
        <v/>
      </c>
      <c r="BL468" s="5">
        <f>IF(A468="","",N(INDEX(Projects[Project Management],467)))</f>
        <v/>
      </c>
      <c r="BM468" s="5">
        <f>IF(A468="","",N(INDEX(Projects[Systems Eng],467)))</f>
        <v/>
      </c>
      <c r="BN468" s="5">
        <f>IF(A468="","",N(INDEX(Projects[Mechanical Eng],467)))</f>
        <v/>
      </c>
      <c r="BO468" s="5">
        <f>IF(A468="","",N(INDEX(Projects[Structural Engineering],467)))</f>
        <v/>
      </c>
      <c r="BP468" s="5">
        <f>IF(A468="","",N(INDEX(Projects[Site Sup],467)))</f>
        <v/>
      </c>
      <c r="BQ468" s="5">
        <f>IF(A468="","",N(INDEX(Projects[Controls Commissioning],467)))</f>
        <v/>
      </c>
      <c r="BR468" s="5">
        <f>IF(A468="","",N(INDEX(Projects[Systems Commissioning],467)))</f>
        <v/>
      </c>
      <c r="BS468" s="5">
        <f>IF(A468="","",N(INDEX(Projects[Service Commissioning],467)))</f>
        <v/>
      </c>
      <c r="BT468" s="5">
        <f>IF(A468="","",N(INDEX(Projects[Controls Eng],467)))</f>
        <v/>
      </c>
      <c r="BU468" s="5">
        <f>IF(A468="","",N(INDEX(Projects[Controls Purchase],467)))</f>
        <v/>
      </c>
      <c r="BV468" s="5">
        <f>IF(A468="","",N(INDEX(Projects[Software Eng],467)))</f>
        <v/>
      </c>
      <c r="BW468" s="5">
        <f>IF(A468="","",N(INDEX(Projects[Misc],467)))</f>
        <v/>
      </c>
      <c r="BX468" s="5">
        <f>IF(A468="","",SUM(BJ468:BW468))</f>
        <v/>
      </c>
      <c r="BY468" s="5">
        <f>IF(A468="","",IFERROR(IF(ISNUMBER(U468),U468,VALUE(SUBSTITUTE(SUBSTITUTE(SUBSTITUTE(UPPER(TRIM(U468)),"M",""),",","")," ",""))),0))</f>
        <v/>
      </c>
      <c r="BZ468" s="5">
        <f>INDEX(Projects[Solution Type],467)&amp;""</f>
        <v/>
      </c>
      <c r="CA468" s="5">
        <f>INDEX(Projects[Client / Region],467)&amp;""</f>
        <v/>
      </c>
      <c r="CB468" s="5">
        <f>INDEX(Projects[Year],467)</f>
        <v/>
      </c>
      <c r="CC468" s="5">
        <f>INDEX(Projects[Won?],467)&amp;""</f>
        <v/>
      </c>
      <c r="CD468" s="5">
        <f>INDEX(Projects[Value (USD M)],467)</f>
        <v/>
      </c>
    </row>
    <row r="469" ht="15" customHeight="1" s="74">
      <c r="A469" s="66">
        <f>INDEX(Projects[Project ID *],468)&amp;""</f>
        <v/>
      </c>
      <c r="B469" s="66">
        <f>INDEX(Projects[Project Name *],468)&amp;""</f>
        <v/>
      </c>
      <c r="C469" s="66">
        <f>INDEX(Projects[MS Shuttles],468)</f>
        <v/>
      </c>
      <c r="D469" s="66">
        <f>INDEX(Projects[MS Tote Locations],468)</f>
        <v/>
      </c>
      <c r="E469" s="66">
        <f>INDEX(Projects[AS Robots],468)</f>
        <v/>
      </c>
      <c r="F469" s="66">
        <f>INDEX(Projects[AS Tote Locations],468)</f>
        <v/>
      </c>
      <c r="G469" s="66">
        <f>INDEX(Projects[PS Shuttles],468)</f>
        <v/>
      </c>
      <c r="H469" s="66">
        <f>INDEX(Projects[PS Pallet Locations],468)</f>
        <v/>
      </c>
      <c r="I469" s="66">
        <f>INDEX(Projects[SRM Cranes],468)</f>
        <v/>
      </c>
      <c r="J469" s="66">
        <f>INDEX(Projects[SRM Pallet Locations],468)</f>
        <v/>
      </c>
      <c r="K469" s="66">
        <f>INDEX(Projects[Case Conv (m)],468)</f>
        <v/>
      </c>
      <c r="L469" s="66">
        <f>INDEX(Projects[Pallet Conv (m)],468)</f>
        <v/>
      </c>
      <c r="M469" s="66">
        <f>INDEX(Projects[Mech Eng (wks)],468)</f>
        <v/>
      </c>
      <c r="N469" s="66">
        <f>INDEX(Projects[Controls Eng (wks)],468)</f>
        <v/>
      </c>
      <c r="O469" s="66">
        <f>INDEX(Projects[Systems Eng (wks)],468)</f>
        <v/>
      </c>
      <c r="P469" s="66">
        <f>INDEX(Projects[Software Eng (wks)],468)</f>
        <v/>
      </c>
      <c r="Q469" s="66">
        <f>INDEX(Projects[M&amp;E Installation (wks)],468)</f>
        <v/>
      </c>
      <c r="R469" s="66">
        <f>INDEX(Projects[Commissioning (wks)],468)</f>
        <v/>
      </c>
      <c r="S469" s="66">
        <f>INDEX(Projects[Total Timeline (wks)],468)</f>
        <v/>
      </c>
      <c r="T469" s="66">
        <f>INDEX(Projects[Currency],468)&amp;""</f>
        <v/>
      </c>
      <c r="U469" s="67">
        <f>INDEX(Projects[Value (M)],468)</f>
        <v/>
      </c>
      <c r="V469" s="66">
        <f>IF('Smart Search'!B13=1,IFERROR(1/'Smart Search'!H13,0),0)</f>
        <v/>
      </c>
      <c r="W469" s="66">
        <f>IF('Smart Search'!B13=1,IFERROR(1/'Smart Search'!H13,0),0)</f>
        <v/>
      </c>
      <c r="X469" s="66">
        <f>IF('Smart Search'!C13=1,IFERROR(1/'Smart Search'!H13,0),0)</f>
        <v/>
      </c>
      <c r="Y469" s="66">
        <f>IF('Smart Search'!C13=1,IFERROR(1/'Smart Search'!H13,0),0)</f>
        <v/>
      </c>
      <c r="Z469" s="66">
        <f>IF('Smart Search'!D13=1,IFERROR(1/'Smart Search'!H13,0),0)</f>
        <v/>
      </c>
      <c r="AA469" s="66">
        <f>IF('Smart Search'!D13=1,IFERROR(1/'Smart Search'!H13,0),0)</f>
        <v/>
      </c>
      <c r="AB469" s="66">
        <f>IF('Smart Search'!E13=1,IFERROR(1/'Smart Search'!H13,0),0)</f>
        <v/>
      </c>
      <c r="AC469" s="66">
        <f>IF('Smart Search'!E13=1,IFERROR(1/'Smart Search'!H13,0),0)</f>
        <v/>
      </c>
      <c r="AD469" s="66">
        <f>IF('Smart Search'!F13=1,IFERROR(1/'Smart Search'!H13,0),0)</f>
        <v/>
      </c>
      <c r="AE469" s="66">
        <f>IF('Smart Search'!F13=1,IFERROR(1/'Smart Search'!H13,0),0)</f>
        <v/>
      </c>
      <c r="AF469" s="66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66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66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66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66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66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66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66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66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66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66">
        <f>AF469*V469</f>
        <v/>
      </c>
      <c r="AQ469" s="66">
        <f>AG469*W469</f>
        <v/>
      </c>
      <c r="AR469" s="66">
        <f>AH469*X469</f>
        <v/>
      </c>
      <c r="AS469" s="66">
        <f>AI469*Y469</f>
        <v/>
      </c>
      <c r="AT469" s="66">
        <f>AJ469*Z469</f>
        <v/>
      </c>
      <c r="AU469" s="66">
        <f>AK469*AA469</f>
        <v/>
      </c>
      <c r="AV469" s="66">
        <f>AL469*AB469</f>
        <v/>
      </c>
      <c r="AW469" s="66">
        <f>AM469*AC469</f>
        <v/>
      </c>
      <c r="AX469" s="66">
        <f>AN469*AD469</f>
        <v/>
      </c>
      <c r="AY469" s="66">
        <f>AO469*AE469</f>
        <v/>
      </c>
      <c r="AZ469" s="66">
        <f>INDEX(Projects[Automation Equipment],468)&amp;""</f>
        <v/>
      </c>
      <c r="BA469" s="66">
        <f>IF(OR(A469="",'Smart Search'!H13=0),"",MAX(0,BE469*BF469*MAX(0,1-BG469)))</f>
        <v/>
      </c>
      <c r="BB469" s="66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66">
        <f>IF('Smart Search'!G13=1,IFERROR(1/'Smart Search'!H13,0),0)</f>
        <v/>
      </c>
      <c r="BD469" s="66">
        <f>BB469*BC469</f>
        <v/>
      </c>
      <c r="BE469" s="66">
        <f>AP469+AQ469+AR469+AS469+AT469+AU469+AV469+AW469+AX469+AY469+BD469</f>
        <v/>
      </c>
      <c r="BF469" s="5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5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5">
        <f>IF(AND(A469&lt;&gt;"",OR('Smart Search'!$L$5="",'Smart Search'!$L$5="All",TRIM(BZ469)=TRIM('Smart Search'!$L$5)),OR(TRIM('Smart Search'!$L$6)="",TRIM('Smart Search'!$L$6)="All",ISNUMBER(SEARCH(SUBSTITUTE(SUBSTITUTE(SUBSTITUTE(TRIM('Smart Search'!$L$6),"~","~~"),"*","~*"),"?","~?"),CA469))),OR('Smart Search'!$L$7="",AND(CB469&lt;&gt;0,CB469='Smart Search'!$L$7)),OR('Smart Search'!$L$8="",'Smart Search'!$L$8="All",TRIM(CC469)=TRIM('Smart Search'!$L$8))),IF(BA469="","",BA469+ROW()*0.0000000001),"")</f>
        <v/>
      </c>
      <c r="BI469" s="5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5">
        <f>IF(A469="","",N(INDEX(Projects[Mech Inst],468)))</f>
        <v/>
      </c>
      <c r="BK469" s="5">
        <f>IF(A469="","",N(INDEX(Projects[Elec Inst],468)))</f>
        <v/>
      </c>
      <c r="BL469" s="5">
        <f>IF(A469="","",N(INDEX(Projects[Project Management],468)))</f>
        <v/>
      </c>
      <c r="BM469" s="5">
        <f>IF(A469="","",N(INDEX(Projects[Systems Eng],468)))</f>
        <v/>
      </c>
      <c r="BN469" s="5">
        <f>IF(A469="","",N(INDEX(Projects[Mechanical Eng],468)))</f>
        <v/>
      </c>
      <c r="BO469" s="5">
        <f>IF(A469="","",N(INDEX(Projects[Structural Engineering],468)))</f>
        <v/>
      </c>
      <c r="BP469" s="5">
        <f>IF(A469="","",N(INDEX(Projects[Site Sup],468)))</f>
        <v/>
      </c>
      <c r="BQ469" s="5">
        <f>IF(A469="","",N(INDEX(Projects[Controls Commissioning],468)))</f>
        <v/>
      </c>
      <c r="BR469" s="5">
        <f>IF(A469="","",N(INDEX(Projects[Systems Commissioning],468)))</f>
        <v/>
      </c>
      <c r="BS469" s="5">
        <f>IF(A469="","",N(INDEX(Projects[Service Commissioning],468)))</f>
        <v/>
      </c>
      <c r="BT469" s="5">
        <f>IF(A469="","",N(INDEX(Projects[Controls Eng],468)))</f>
        <v/>
      </c>
      <c r="BU469" s="5">
        <f>IF(A469="","",N(INDEX(Projects[Controls Purchase],468)))</f>
        <v/>
      </c>
      <c r="BV469" s="5">
        <f>IF(A469="","",N(INDEX(Projects[Software Eng],468)))</f>
        <v/>
      </c>
      <c r="BW469" s="5">
        <f>IF(A469="","",N(INDEX(Projects[Misc],468)))</f>
        <v/>
      </c>
      <c r="BX469" s="5">
        <f>IF(A469="","",SUM(BJ469:BW469))</f>
        <v/>
      </c>
      <c r="BY469" s="5">
        <f>IF(A469="","",IFERROR(IF(ISNUMBER(U469),U469,VALUE(SUBSTITUTE(SUBSTITUTE(SUBSTITUTE(UPPER(TRIM(U469)),"M",""),",","")," ",""))),0))</f>
        <v/>
      </c>
      <c r="BZ469" s="5">
        <f>INDEX(Projects[Solution Type],468)&amp;""</f>
        <v/>
      </c>
      <c r="CA469" s="5">
        <f>INDEX(Projects[Client / Region],468)&amp;""</f>
        <v/>
      </c>
      <c r="CB469" s="5">
        <f>INDEX(Projects[Year],468)</f>
        <v/>
      </c>
      <c r="CC469" s="5">
        <f>INDEX(Projects[Won?],468)&amp;""</f>
        <v/>
      </c>
      <c r="CD469" s="5">
        <f>INDEX(Projects[Value (USD M)],468)</f>
        <v/>
      </c>
    </row>
    <row r="470" ht="15" customHeight="1" s="74">
      <c r="A470" s="66">
        <f>INDEX(Projects[Project ID *],469)&amp;""</f>
        <v/>
      </c>
      <c r="B470" s="66">
        <f>INDEX(Projects[Project Name *],469)&amp;""</f>
        <v/>
      </c>
      <c r="C470" s="66">
        <f>INDEX(Projects[MS Shuttles],469)</f>
        <v/>
      </c>
      <c r="D470" s="66">
        <f>INDEX(Projects[MS Tote Locations],469)</f>
        <v/>
      </c>
      <c r="E470" s="66">
        <f>INDEX(Projects[AS Robots],469)</f>
        <v/>
      </c>
      <c r="F470" s="66">
        <f>INDEX(Projects[AS Tote Locations],469)</f>
        <v/>
      </c>
      <c r="G470" s="66">
        <f>INDEX(Projects[PS Shuttles],469)</f>
        <v/>
      </c>
      <c r="H470" s="66">
        <f>INDEX(Projects[PS Pallet Locations],469)</f>
        <v/>
      </c>
      <c r="I470" s="66">
        <f>INDEX(Projects[SRM Cranes],469)</f>
        <v/>
      </c>
      <c r="J470" s="66">
        <f>INDEX(Projects[SRM Pallet Locations],469)</f>
        <v/>
      </c>
      <c r="K470" s="66">
        <f>INDEX(Projects[Case Conv (m)],469)</f>
        <v/>
      </c>
      <c r="L470" s="66">
        <f>INDEX(Projects[Pallet Conv (m)],469)</f>
        <v/>
      </c>
      <c r="M470" s="66">
        <f>INDEX(Projects[Mech Eng (wks)],469)</f>
        <v/>
      </c>
      <c r="N470" s="66">
        <f>INDEX(Projects[Controls Eng (wks)],469)</f>
        <v/>
      </c>
      <c r="O470" s="66">
        <f>INDEX(Projects[Systems Eng (wks)],469)</f>
        <v/>
      </c>
      <c r="P470" s="66">
        <f>INDEX(Projects[Software Eng (wks)],469)</f>
        <v/>
      </c>
      <c r="Q470" s="66">
        <f>INDEX(Projects[M&amp;E Installation (wks)],469)</f>
        <v/>
      </c>
      <c r="R470" s="66">
        <f>INDEX(Projects[Commissioning (wks)],469)</f>
        <v/>
      </c>
      <c r="S470" s="66">
        <f>INDEX(Projects[Total Timeline (wks)],469)</f>
        <v/>
      </c>
      <c r="T470" s="66">
        <f>INDEX(Projects[Currency],469)&amp;""</f>
        <v/>
      </c>
      <c r="U470" s="67">
        <f>INDEX(Projects[Value (M)],469)</f>
        <v/>
      </c>
      <c r="V470" s="66">
        <f>IF('Smart Search'!B13=1,IFERROR(1/'Smart Search'!H13,0),0)</f>
        <v/>
      </c>
      <c r="W470" s="66">
        <f>IF('Smart Search'!B13=1,IFERROR(1/'Smart Search'!H13,0),0)</f>
        <v/>
      </c>
      <c r="X470" s="66">
        <f>IF('Smart Search'!C13=1,IFERROR(1/'Smart Search'!H13,0),0)</f>
        <v/>
      </c>
      <c r="Y470" s="66">
        <f>IF('Smart Search'!C13=1,IFERROR(1/'Smart Search'!H13,0),0)</f>
        <v/>
      </c>
      <c r="Z470" s="66">
        <f>IF('Smart Search'!D13=1,IFERROR(1/'Smart Search'!H13,0),0)</f>
        <v/>
      </c>
      <c r="AA470" s="66">
        <f>IF('Smart Search'!D13=1,IFERROR(1/'Smart Search'!H13,0),0)</f>
        <v/>
      </c>
      <c r="AB470" s="66">
        <f>IF('Smart Search'!E13=1,IFERROR(1/'Smart Search'!H13,0),0)</f>
        <v/>
      </c>
      <c r="AC470" s="66">
        <f>IF('Smart Search'!E13=1,IFERROR(1/'Smart Search'!H13,0),0)</f>
        <v/>
      </c>
      <c r="AD470" s="66">
        <f>IF('Smart Search'!F13=1,IFERROR(1/'Smart Search'!H13,0),0)</f>
        <v/>
      </c>
      <c r="AE470" s="66">
        <f>IF('Smart Search'!F13=1,IFERROR(1/'Smart Search'!H13,0),0)</f>
        <v/>
      </c>
      <c r="AF470" s="66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66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66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66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66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66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66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66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66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66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66">
        <f>AF470*V470</f>
        <v/>
      </c>
      <c r="AQ470" s="66">
        <f>AG470*W470</f>
        <v/>
      </c>
      <c r="AR470" s="66">
        <f>AH470*X470</f>
        <v/>
      </c>
      <c r="AS470" s="66">
        <f>AI470*Y470</f>
        <v/>
      </c>
      <c r="AT470" s="66">
        <f>AJ470*Z470</f>
        <v/>
      </c>
      <c r="AU470" s="66">
        <f>AK470*AA470</f>
        <v/>
      </c>
      <c r="AV470" s="66">
        <f>AL470*AB470</f>
        <v/>
      </c>
      <c r="AW470" s="66">
        <f>AM470*AC470</f>
        <v/>
      </c>
      <c r="AX470" s="66">
        <f>AN470*AD470</f>
        <v/>
      </c>
      <c r="AY470" s="66">
        <f>AO470*AE470</f>
        <v/>
      </c>
      <c r="AZ470" s="66">
        <f>INDEX(Projects[Automation Equipment],469)&amp;""</f>
        <v/>
      </c>
      <c r="BA470" s="66">
        <f>IF(OR(A470="",'Smart Search'!H13=0),"",MAX(0,BE470*BF470*MAX(0,1-BG470)))</f>
        <v/>
      </c>
      <c r="BB470" s="66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66">
        <f>IF('Smart Search'!G13=1,IFERROR(1/'Smart Search'!H13,0),0)</f>
        <v/>
      </c>
      <c r="BD470" s="66">
        <f>BB470*BC470</f>
        <v/>
      </c>
      <c r="BE470" s="66">
        <f>AP470+AQ470+AR470+AS470+AT470+AU470+AV470+AW470+AX470+AY470+BD470</f>
        <v/>
      </c>
      <c r="BF470" s="5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5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5">
        <f>IF(AND(A470&lt;&gt;"",OR('Smart Search'!$L$5="",'Smart Search'!$L$5="All",TRIM(BZ470)=TRIM('Smart Search'!$L$5)),OR(TRIM('Smart Search'!$L$6)="",TRIM('Smart Search'!$L$6)="All",ISNUMBER(SEARCH(SUBSTITUTE(SUBSTITUTE(SUBSTITUTE(TRIM('Smart Search'!$L$6),"~","~~"),"*","~*"),"?","~?"),CA470))),OR('Smart Search'!$L$7="",AND(CB470&lt;&gt;0,CB470='Smart Search'!$L$7)),OR('Smart Search'!$L$8="",'Smart Search'!$L$8="All",TRIM(CC470)=TRIM('Smart Search'!$L$8))),IF(BA470="","",BA470+ROW()*0.0000000001),"")</f>
        <v/>
      </c>
      <c r="BI470" s="5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5">
        <f>IF(A470="","",N(INDEX(Projects[Mech Inst],469)))</f>
        <v/>
      </c>
      <c r="BK470" s="5">
        <f>IF(A470="","",N(INDEX(Projects[Elec Inst],469)))</f>
        <v/>
      </c>
      <c r="BL470" s="5">
        <f>IF(A470="","",N(INDEX(Projects[Project Management],469)))</f>
        <v/>
      </c>
      <c r="BM470" s="5">
        <f>IF(A470="","",N(INDEX(Projects[Systems Eng],469)))</f>
        <v/>
      </c>
      <c r="BN470" s="5">
        <f>IF(A470="","",N(INDEX(Projects[Mechanical Eng],469)))</f>
        <v/>
      </c>
      <c r="BO470" s="5">
        <f>IF(A470="","",N(INDEX(Projects[Structural Engineering],469)))</f>
        <v/>
      </c>
      <c r="BP470" s="5">
        <f>IF(A470="","",N(INDEX(Projects[Site Sup],469)))</f>
        <v/>
      </c>
      <c r="BQ470" s="5">
        <f>IF(A470="","",N(INDEX(Projects[Controls Commissioning],469)))</f>
        <v/>
      </c>
      <c r="BR470" s="5">
        <f>IF(A470="","",N(INDEX(Projects[Systems Commissioning],469)))</f>
        <v/>
      </c>
      <c r="BS470" s="5">
        <f>IF(A470="","",N(INDEX(Projects[Service Commissioning],469)))</f>
        <v/>
      </c>
      <c r="BT470" s="5">
        <f>IF(A470="","",N(INDEX(Projects[Controls Eng],469)))</f>
        <v/>
      </c>
      <c r="BU470" s="5">
        <f>IF(A470="","",N(INDEX(Projects[Controls Purchase],469)))</f>
        <v/>
      </c>
      <c r="BV470" s="5">
        <f>IF(A470="","",N(INDEX(Projects[Software Eng],469)))</f>
        <v/>
      </c>
      <c r="BW470" s="5">
        <f>IF(A470="","",N(INDEX(Projects[Misc],469)))</f>
        <v/>
      </c>
      <c r="BX470" s="5">
        <f>IF(A470="","",SUM(BJ470:BW470))</f>
        <v/>
      </c>
      <c r="BY470" s="5">
        <f>IF(A470="","",IFERROR(IF(ISNUMBER(U470),U470,VALUE(SUBSTITUTE(SUBSTITUTE(SUBSTITUTE(UPPER(TRIM(U470)),"M",""),",","")," ",""))),0))</f>
        <v/>
      </c>
      <c r="BZ470" s="5">
        <f>INDEX(Projects[Solution Type],469)&amp;""</f>
        <v/>
      </c>
      <c r="CA470" s="5">
        <f>INDEX(Projects[Client / Region],469)&amp;""</f>
        <v/>
      </c>
      <c r="CB470" s="5">
        <f>INDEX(Projects[Year],469)</f>
        <v/>
      </c>
      <c r="CC470" s="5">
        <f>INDEX(Projects[Won?],469)&amp;""</f>
        <v/>
      </c>
      <c r="CD470" s="5">
        <f>INDEX(Projects[Value (USD M)],469)</f>
        <v/>
      </c>
    </row>
    <row r="471" ht="15" customHeight="1" s="74">
      <c r="A471" s="66">
        <f>INDEX(Projects[Project ID *],470)&amp;""</f>
        <v/>
      </c>
      <c r="B471" s="66">
        <f>INDEX(Projects[Project Name *],470)&amp;""</f>
        <v/>
      </c>
      <c r="C471" s="66">
        <f>INDEX(Projects[MS Shuttles],470)</f>
        <v/>
      </c>
      <c r="D471" s="66">
        <f>INDEX(Projects[MS Tote Locations],470)</f>
        <v/>
      </c>
      <c r="E471" s="66">
        <f>INDEX(Projects[AS Robots],470)</f>
        <v/>
      </c>
      <c r="F471" s="66">
        <f>INDEX(Projects[AS Tote Locations],470)</f>
        <v/>
      </c>
      <c r="G471" s="66">
        <f>INDEX(Projects[PS Shuttles],470)</f>
        <v/>
      </c>
      <c r="H471" s="66">
        <f>INDEX(Projects[PS Pallet Locations],470)</f>
        <v/>
      </c>
      <c r="I471" s="66">
        <f>INDEX(Projects[SRM Cranes],470)</f>
        <v/>
      </c>
      <c r="J471" s="66">
        <f>INDEX(Projects[SRM Pallet Locations],470)</f>
        <v/>
      </c>
      <c r="K471" s="66">
        <f>INDEX(Projects[Case Conv (m)],470)</f>
        <v/>
      </c>
      <c r="L471" s="66">
        <f>INDEX(Projects[Pallet Conv (m)],470)</f>
        <v/>
      </c>
      <c r="M471" s="66">
        <f>INDEX(Projects[Mech Eng (wks)],470)</f>
        <v/>
      </c>
      <c r="N471" s="66">
        <f>INDEX(Projects[Controls Eng (wks)],470)</f>
        <v/>
      </c>
      <c r="O471" s="66">
        <f>INDEX(Projects[Systems Eng (wks)],470)</f>
        <v/>
      </c>
      <c r="P471" s="66">
        <f>INDEX(Projects[Software Eng (wks)],470)</f>
        <v/>
      </c>
      <c r="Q471" s="66">
        <f>INDEX(Projects[M&amp;E Installation (wks)],470)</f>
        <v/>
      </c>
      <c r="R471" s="66">
        <f>INDEX(Projects[Commissioning (wks)],470)</f>
        <v/>
      </c>
      <c r="S471" s="66">
        <f>INDEX(Projects[Total Timeline (wks)],470)</f>
        <v/>
      </c>
      <c r="T471" s="66">
        <f>INDEX(Projects[Currency],470)&amp;""</f>
        <v/>
      </c>
      <c r="U471" s="67">
        <f>INDEX(Projects[Value (M)],470)</f>
        <v/>
      </c>
      <c r="V471" s="66">
        <f>IF('Smart Search'!B13=1,IFERROR(1/'Smart Search'!H13,0),0)</f>
        <v/>
      </c>
      <c r="W471" s="66">
        <f>IF('Smart Search'!B13=1,IFERROR(1/'Smart Search'!H13,0),0)</f>
        <v/>
      </c>
      <c r="X471" s="66">
        <f>IF('Smart Search'!C13=1,IFERROR(1/'Smart Search'!H13,0),0)</f>
        <v/>
      </c>
      <c r="Y471" s="66">
        <f>IF('Smart Search'!C13=1,IFERROR(1/'Smart Search'!H13,0),0)</f>
        <v/>
      </c>
      <c r="Z471" s="66">
        <f>IF('Smart Search'!D13=1,IFERROR(1/'Smart Search'!H13,0),0)</f>
        <v/>
      </c>
      <c r="AA471" s="66">
        <f>IF('Smart Search'!D13=1,IFERROR(1/'Smart Search'!H13,0),0)</f>
        <v/>
      </c>
      <c r="AB471" s="66">
        <f>IF('Smart Search'!E13=1,IFERROR(1/'Smart Search'!H13,0),0)</f>
        <v/>
      </c>
      <c r="AC471" s="66">
        <f>IF('Smart Search'!E13=1,IFERROR(1/'Smart Search'!H13,0),0)</f>
        <v/>
      </c>
      <c r="AD471" s="66">
        <f>IF('Smart Search'!F13=1,IFERROR(1/'Smart Search'!H13,0),0)</f>
        <v/>
      </c>
      <c r="AE471" s="66">
        <f>IF('Smart Search'!F13=1,IFERROR(1/'Smart Search'!H13,0),0)</f>
        <v/>
      </c>
      <c r="AF471" s="66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66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66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66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66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66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66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66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66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66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66">
        <f>AF471*V471</f>
        <v/>
      </c>
      <c r="AQ471" s="66">
        <f>AG471*W471</f>
        <v/>
      </c>
      <c r="AR471" s="66">
        <f>AH471*X471</f>
        <v/>
      </c>
      <c r="AS471" s="66">
        <f>AI471*Y471</f>
        <v/>
      </c>
      <c r="AT471" s="66">
        <f>AJ471*Z471</f>
        <v/>
      </c>
      <c r="AU471" s="66">
        <f>AK471*AA471</f>
        <v/>
      </c>
      <c r="AV471" s="66">
        <f>AL471*AB471</f>
        <v/>
      </c>
      <c r="AW471" s="66">
        <f>AM471*AC471</f>
        <v/>
      </c>
      <c r="AX471" s="66">
        <f>AN471*AD471</f>
        <v/>
      </c>
      <c r="AY471" s="66">
        <f>AO471*AE471</f>
        <v/>
      </c>
      <c r="AZ471" s="66">
        <f>INDEX(Projects[Automation Equipment],470)&amp;""</f>
        <v/>
      </c>
      <c r="BA471" s="66">
        <f>IF(OR(A471="",'Smart Search'!H13=0),"",MAX(0,BE471*BF471*MAX(0,1-BG471)))</f>
        <v/>
      </c>
      <c r="BB471" s="66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66">
        <f>IF('Smart Search'!G13=1,IFERROR(1/'Smart Search'!H13,0),0)</f>
        <v/>
      </c>
      <c r="BD471" s="66">
        <f>BB471*BC471</f>
        <v/>
      </c>
      <c r="BE471" s="66">
        <f>AP471+AQ471+AR471+AS471+AT471+AU471+AV471+AW471+AX471+AY471+BD471</f>
        <v/>
      </c>
      <c r="BF471" s="5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5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5">
        <f>IF(AND(A471&lt;&gt;"",OR('Smart Search'!$L$5="",'Smart Search'!$L$5="All",TRIM(BZ471)=TRIM('Smart Search'!$L$5)),OR(TRIM('Smart Search'!$L$6)="",TRIM('Smart Search'!$L$6)="All",ISNUMBER(SEARCH(SUBSTITUTE(SUBSTITUTE(SUBSTITUTE(TRIM('Smart Search'!$L$6),"~","~~"),"*","~*"),"?","~?"),CA471))),OR('Smart Search'!$L$7="",AND(CB471&lt;&gt;0,CB471='Smart Search'!$L$7)),OR('Smart Search'!$L$8="",'Smart Search'!$L$8="All",TRIM(CC471)=TRIM('Smart Search'!$L$8))),IF(BA471="","",BA471+ROW()*0.0000000001),"")</f>
        <v/>
      </c>
      <c r="BI471" s="5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5">
        <f>IF(A471="","",N(INDEX(Projects[Mech Inst],470)))</f>
        <v/>
      </c>
      <c r="BK471" s="5">
        <f>IF(A471="","",N(INDEX(Projects[Elec Inst],470)))</f>
        <v/>
      </c>
      <c r="BL471" s="5">
        <f>IF(A471="","",N(INDEX(Projects[Project Management],470)))</f>
        <v/>
      </c>
      <c r="BM471" s="5">
        <f>IF(A471="","",N(INDEX(Projects[Systems Eng],470)))</f>
        <v/>
      </c>
      <c r="BN471" s="5">
        <f>IF(A471="","",N(INDEX(Projects[Mechanical Eng],470)))</f>
        <v/>
      </c>
      <c r="BO471" s="5">
        <f>IF(A471="","",N(INDEX(Projects[Structural Engineering],470)))</f>
        <v/>
      </c>
      <c r="BP471" s="5">
        <f>IF(A471="","",N(INDEX(Projects[Site Sup],470)))</f>
        <v/>
      </c>
      <c r="BQ471" s="5">
        <f>IF(A471="","",N(INDEX(Projects[Controls Commissioning],470)))</f>
        <v/>
      </c>
      <c r="BR471" s="5">
        <f>IF(A471="","",N(INDEX(Projects[Systems Commissioning],470)))</f>
        <v/>
      </c>
      <c r="BS471" s="5">
        <f>IF(A471="","",N(INDEX(Projects[Service Commissioning],470)))</f>
        <v/>
      </c>
      <c r="BT471" s="5">
        <f>IF(A471="","",N(INDEX(Projects[Controls Eng],470)))</f>
        <v/>
      </c>
      <c r="BU471" s="5">
        <f>IF(A471="","",N(INDEX(Projects[Controls Purchase],470)))</f>
        <v/>
      </c>
      <c r="BV471" s="5">
        <f>IF(A471="","",N(INDEX(Projects[Software Eng],470)))</f>
        <v/>
      </c>
      <c r="BW471" s="5">
        <f>IF(A471="","",N(INDEX(Projects[Misc],470)))</f>
        <v/>
      </c>
      <c r="BX471" s="5">
        <f>IF(A471="","",SUM(BJ471:BW471))</f>
        <v/>
      </c>
      <c r="BY471" s="5">
        <f>IF(A471="","",IFERROR(IF(ISNUMBER(U471),U471,VALUE(SUBSTITUTE(SUBSTITUTE(SUBSTITUTE(UPPER(TRIM(U471)),"M",""),",","")," ",""))),0))</f>
        <v/>
      </c>
      <c r="BZ471" s="5">
        <f>INDEX(Projects[Solution Type],470)&amp;""</f>
        <v/>
      </c>
      <c r="CA471" s="5">
        <f>INDEX(Projects[Client / Region],470)&amp;""</f>
        <v/>
      </c>
      <c r="CB471" s="5">
        <f>INDEX(Projects[Year],470)</f>
        <v/>
      </c>
      <c r="CC471" s="5">
        <f>INDEX(Projects[Won?],470)&amp;""</f>
        <v/>
      </c>
      <c r="CD471" s="5">
        <f>INDEX(Projects[Value (USD M)],470)</f>
        <v/>
      </c>
    </row>
    <row r="472" ht="15" customHeight="1" s="74">
      <c r="A472" s="66">
        <f>INDEX(Projects[Project ID *],471)&amp;""</f>
        <v/>
      </c>
      <c r="B472" s="66">
        <f>INDEX(Projects[Project Name *],471)&amp;""</f>
        <v/>
      </c>
      <c r="C472" s="66">
        <f>INDEX(Projects[MS Shuttles],471)</f>
        <v/>
      </c>
      <c r="D472" s="66">
        <f>INDEX(Projects[MS Tote Locations],471)</f>
        <v/>
      </c>
      <c r="E472" s="66">
        <f>INDEX(Projects[AS Robots],471)</f>
        <v/>
      </c>
      <c r="F472" s="66">
        <f>INDEX(Projects[AS Tote Locations],471)</f>
        <v/>
      </c>
      <c r="G472" s="66">
        <f>INDEX(Projects[PS Shuttles],471)</f>
        <v/>
      </c>
      <c r="H472" s="66">
        <f>INDEX(Projects[PS Pallet Locations],471)</f>
        <v/>
      </c>
      <c r="I472" s="66">
        <f>INDEX(Projects[SRM Cranes],471)</f>
        <v/>
      </c>
      <c r="J472" s="66">
        <f>INDEX(Projects[SRM Pallet Locations],471)</f>
        <v/>
      </c>
      <c r="K472" s="66">
        <f>INDEX(Projects[Case Conv (m)],471)</f>
        <v/>
      </c>
      <c r="L472" s="66">
        <f>INDEX(Projects[Pallet Conv (m)],471)</f>
        <v/>
      </c>
      <c r="M472" s="66">
        <f>INDEX(Projects[Mech Eng (wks)],471)</f>
        <v/>
      </c>
      <c r="N472" s="66">
        <f>INDEX(Projects[Controls Eng (wks)],471)</f>
        <v/>
      </c>
      <c r="O472" s="66">
        <f>INDEX(Projects[Systems Eng (wks)],471)</f>
        <v/>
      </c>
      <c r="P472" s="66">
        <f>INDEX(Projects[Software Eng (wks)],471)</f>
        <v/>
      </c>
      <c r="Q472" s="66">
        <f>INDEX(Projects[M&amp;E Installation (wks)],471)</f>
        <v/>
      </c>
      <c r="R472" s="66">
        <f>INDEX(Projects[Commissioning (wks)],471)</f>
        <v/>
      </c>
      <c r="S472" s="66">
        <f>INDEX(Projects[Total Timeline (wks)],471)</f>
        <v/>
      </c>
      <c r="T472" s="66">
        <f>INDEX(Projects[Currency],471)&amp;""</f>
        <v/>
      </c>
      <c r="U472" s="67">
        <f>INDEX(Projects[Value (M)],471)</f>
        <v/>
      </c>
      <c r="V472" s="66">
        <f>IF('Smart Search'!B13=1,IFERROR(1/'Smart Search'!H13,0),0)</f>
        <v/>
      </c>
      <c r="W472" s="66">
        <f>IF('Smart Search'!B13=1,IFERROR(1/'Smart Search'!H13,0),0)</f>
        <v/>
      </c>
      <c r="X472" s="66">
        <f>IF('Smart Search'!C13=1,IFERROR(1/'Smart Search'!H13,0),0)</f>
        <v/>
      </c>
      <c r="Y472" s="66">
        <f>IF('Smart Search'!C13=1,IFERROR(1/'Smart Search'!H13,0),0)</f>
        <v/>
      </c>
      <c r="Z472" s="66">
        <f>IF('Smart Search'!D13=1,IFERROR(1/'Smart Search'!H13,0),0)</f>
        <v/>
      </c>
      <c r="AA472" s="66">
        <f>IF('Smart Search'!D13=1,IFERROR(1/'Smart Search'!H13,0),0)</f>
        <v/>
      </c>
      <c r="AB472" s="66">
        <f>IF('Smart Search'!E13=1,IFERROR(1/'Smart Search'!H13,0),0)</f>
        <v/>
      </c>
      <c r="AC472" s="66">
        <f>IF('Smart Search'!E13=1,IFERROR(1/'Smart Search'!H13,0),0)</f>
        <v/>
      </c>
      <c r="AD472" s="66">
        <f>IF('Smart Search'!F13=1,IFERROR(1/'Smart Search'!H13,0),0)</f>
        <v/>
      </c>
      <c r="AE472" s="66">
        <f>IF('Smart Search'!F13=1,IFERROR(1/'Smart Search'!H13,0),0)</f>
        <v/>
      </c>
      <c r="AF472" s="66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66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66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66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66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66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66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66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66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66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66">
        <f>AF472*V472</f>
        <v/>
      </c>
      <c r="AQ472" s="66">
        <f>AG472*W472</f>
        <v/>
      </c>
      <c r="AR472" s="66">
        <f>AH472*X472</f>
        <v/>
      </c>
      <c r="AS472" s="66">
        <f>AI472*Y472</f>
        <v/>
      </c>
      <c r="AT472" s="66">
        <f>AJ472*Z472</f>
        <v/>
      </c>
      <c r="AU472" s="66">
        <f>AK472*AA472</f>
        <v/>
      </c>
      <c r="AV472" s="66">
        <f>AL472*AB472</f>
        <v/>
      </c>
      <c r="AW472" s="66">
        <f>AM472*AC472</f>
        <v/>
      </c>
      <c r="AX472" s="66">
        <f>AN472*AD472</f>
        <v/>
      </c>
      <c r="AY472" s="66">
        <f>AO472*AE472</f>
        <v/>
      </c>
      <c r="AZ472" s="66">
        <f>INDEX(Projects[Automation Equipment],471)&amp;""</f>
        <v/>
      </c>
      <c r="BA472" s="66">
        <f>IF(OR(A472="",'Smart Search'!H13=0),"",MAX(0,BE472*BF472*MAX(0,1-BG472)))</f>
        <v/>
      </c>
      <c r="BB472" s="66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66">
        <f>IF('Smart Search'!G13=1,IFERROR(1/'Smart Search'!H13,0),0)</f>
        <v/>
      </c>
      <c r="BD472" s="66">
        <f>BB472*BC472</f>
        <v/>
      </c>
      <c r="BE472" s="66">
        <f>AP472+AQ472+AR472+AS472+AT472+AU472+AV472+AW472+AX472+AY472+BD472</f>
        <v/>
      </c>
      <c r="BF472" s="5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5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5">
        <f>IF(AND(A472&lt;&gt;"",OR('Smart Search'!$L$5="",'Smart Search'!$L$5="All",TRIM(BZ472)=TRIM('Smart Search'!$L$5)),OR(TRIM('Smart Search'!$L$6)="",TRIM('Smart Search'!$L$6)="All",ISNUMBER(SEARCH(SUBSTITUTE(SUBSTITUTE(SUBSTITUTE(TRIM('Smart Search'!$L$6),"~","~~"),"*","~*"),"?","~?"),CA472))),OR('Smart Search'!$L$7="",AND(CB472&lt;&gt;0,CB472='Smart Search'!$L$7)),OR('Smart Search'!$L$8="",'Smart Search'!$L$8="All",TRIM(CC472)=TRIM('Smart Search'!$L$8))),IF(BA472="","",BA472+ROW()*0.0000000001),"")</f>
        <v/>
      </c>
      <c r="BI472" s="5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5">
        <f>IF(A472="","",N(INDEX(Projects[Mech Inst],471)))</f>
        <v/>
      </c>
      <c r="BK472" s="5">
        <f>IF(A472="","",N(INDEX(Projects[Elec Inst],471)))</f>
        <v/>
      </c>
      <c r="BL472" s="5">
        <f>IF(A472="","",N(INDEX(Projects[Project Management],471)))</f>
        <v/>
      </c>
      <c r="BM472" s="5">
        <f>IF(A472="","",N(INDEX(Projects[Systems Eng],471)))</f>
        <v/>
      </c>
      <c r="BN472" s="5">
        <f>IF(A472="","",N(INDEX(Projects[Mechanical Eng],471)))</f>
        <v/>
      </c>
      <c r="BO472" s="5">
        <f>IF(A472="","",N(INDEX(Projects[Structural Engineering],471)))</f>
        <v/>
      </c>
      <c r="BP472" s="5">
        <f>IF(A472="","",N(INDEX(Projects[Site Sup],471)))</f>
        <v/>
      </c>
      <c r="BQ472" s="5">
        <f>IF(A472="","",N(INDEX(Projects[Controls Commissioning],471)))</f>
        <v/>
      </c>
      <c r="BR472" s="5">
        <f>IF(A472="","",N(INDEX(Projects[Systems Commissioning],471)))</f>
        <v/>
      </c>
      <c r="BS472" s="5">
        <f>IF(A472="","",N(INDEX(Projects[Service Commissioning],471)))</f>
        <v/>
      </c>
      <c r="BT472" s="5">
        <f>IF(A472="","",N(INDEX(Projects[Controls Eng],471)))</f>
        <v/>
      </c>
      <c r="BU472" s="5">
        <f>IF(A472="","",N(INDEX(Projects[Controls Purchase],471)))</f>
        <v/>
      </c>
      <c r="BV472" s="5">
        <f>IF(A472="","",N(INDEX(Projects[Software Eng],471)))</f>
        <v/>
      </c>
      <c r="BW472" s="5">
        <f>IF(A472="","",N(INDEX(Projects[Misc],471)))</f>
        <v/>
      </c>
      <c r="BX472" s="5">
        <f>IF(A472="","",SUM(BJ472:BW472))</f>
        <v/>
      </c>
      <c r="BY472" s="5">
        <f>IF(A472="","",IFERROR(IF(ISNUMBER(U472),U472,VALUE(SUBSTITUTE(SUBSTITUTE(SUBSTITUTE(UPPER(TRIM(U472)),"M",""),",","")," ",""))),0))</f>
        <v/>
      </c>
      <c r="BZ472" s="5">
        <f>INDEX(Projects[Solution Type],471)&amp;""</f>
        <v/>
      </c>
      <c r="CA472" s="5">
        <f>INDEX(Projects[Client / Region],471)&amp;""</f>
        <v/>
      </c>
      <c r="CB472" s="5">
        <f>INDEX(Projects[Year],471)</f>
        <v/>
      </c>
      <c r="CC472" s="5">
        <f>INDEX(Projects[Won?],471)&amp;""</f>
        <v/>
      </c>
      <c r="CD472" s="5">
        <f>INDEX(Projects[Value (USD M)],471)</f>
        <v/>
      </c>
    </row>
    <row r="473" ht="15" customHeight="1" s="74">
      <c r="A473" s="66">
        <f>INDEX(Projects[Project ID *],472)&amp;""</f>
        <v/>
      </c>
      <c r="B473" s="66">
        <f>INDEX(Projects[Project Name *],472)&amp;""</f>
        <v/>
      </c>
      <c r="C473" s="66">
        <f>INDEX(Projects[MS Shuttles],472)</f>
        <v/>
      </c>
      <c r="D473" s="66">
        <f>INDEX(Projects[MS Tote Locations],472)</f>
        <v/>
      </c>
      <c r="E473" s="66">
        <f>INDEX(Projects[AS Robots],472)</f>
        <v/>
      </c>
      <c r="F473" s="66">
        <f>INDEX(Projects[AS Tote Locations],472)</f>
        <v/>
      </c>
      <c r="G473" s="66">
        <f>INDEX(Projects[PS Shuttles],472)</f>
        <v/>
      </c>
      <c r="H473" s="66">
        <f>INDEX(Projects[PS Pallet Locations],472)</f>
        <v/>
      </c>
      <c r="I473" s="66">
        <f>INDEX(Projects[SRM Cranes],472)</f>
        <v/>
      </c>
      <c r="J473" s="66">
        <f>INDEX(Projects[SRM Pallet Locations],472)</f>
        <v/>
      </c>
      <c r="K473" s="66">
        <f>INDEX(Projects[Case Conv (m)],472)</f>
        <v/>
      </c>
      <c r="L473" s="66">
        <f>INDEX(Projects[Pallet Conv (m)],472)</f>
        <v/>
      </c>
      <c r="M473" s="66">
        <f>INDEX(Projects[Mech Eng (wks)],472)</f>
        <v/>
      </c>
      <c r="N473" s="66">
        <f>INDEX(Projects[Controls Eng (wks)],472)</f>
        <v/>
      </c>
      <c r="O473" s="66">
        <f>INDEX(Projects[Systems Eng (wks)],472)</f>
        <v/>
      </c>
      <c r="P473" s="66">
        <f>INDEX(Projects[Software Eng (wks)],472)</f>
        <v/>
      </c>
      <c r="Q473" s="66">
        <f>INDEX(Projects[M&amp;E Installation (wks)],472)</f>
        <v/>
      </c>
      <c r="R473" s="66">
        <f>INDEX(Projects[Commissioning (wks)],472)</f>
        <v/>
      </c>
      <c r="S473" s="66">
        <f>INDEX(Projects[Total Timeline (wks)],472)</f>
        <v/>
      </c>
      <c r="T473" s="66">
        <f>INDEX(Projects[Currency],472)&amp;""</f>
        <v/>
      </c>
      <c r="U473" s="67">
        <f>INDEX(Projects[Value (M)],472)</f>
        <v/>
      </c>
      <c r="V473" s="66">
        <f>IF('Smart Search'!B13=1,IFERROR(1/'Smart Search'!H13,0),0)</f>
        <v/>
      </c>
      <c r="W473" s="66">
        <f>IF('Smart Search'!B13=1,IFERROR(1/'Smart Search'!H13,0),0)</f>
        <v/>
      </c>
      <c r="X473" s="66">
        <f>IF('Smart Search'!C13=1,IFERROR(1/'Smart Search'!H13,0),0)</f>
        <v/>
      </c>
      <c r="Y473" s="66">
        <f>IF('Smart Search'!C13=1,IFERROR(1/'Smart Search'!H13,0),0)</f>
        <v/>
      </c>
      <c r="Z473" s="66">
        <f>IF('Smart Search'!D13=1,IFERROR(1/'Smart Search'!H13,0),0)</f>
        <v/>
      </c>
      <c r="AA473" s="66">
        <f>IF('Smart Search'!D13=1,IFERROR(1/'Smart Search'!H13,0),0)</f>
        <v/>
      </c>
      <c r="AB473" s="66">
        <f>IF('Smart Search'!E13=1,IFERROR(1/'Smart Search'!H13,0),0)</f>
        <v/>
      </c>
      <c r="AC473" s="66">
        <f>IF('Smart Search'!E13=1,IFERROR(1/'Smart Search'!H13,0),0)</f>
        <v/>
      </c>
      <c r="AD473" s="66">
        <f>IF('Smart Search'!F13=1,IFERROR(1/'Smart Search'!H13,0),0)</f>
        <v/>
      </c>
      <c r="AE473" s="66">
        <f>IF('Smart Search'!F13=1,IFERROR(1/'Smart Search'!H13,0),0)</f>
        <v/>
      </c>
      <c r="AF473" s="66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66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66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66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66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66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66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66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66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66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66">
        <f>AF473*V473</f>
        <v/>
      </c>
      <c r="AQ473" s="66">
        <f>AG473*W473</f>
        <v/>
      </c>
      <c r="AR473" s="66">
        <f>AH473*X473</f>
        <v/>
      </c>
      <c r="AS473" s="66">
        <f>AI473*Y473</f>
        <v/>
      </c>
      <c r="AT473" s="66">
        <f>AJ473*Z473</f>
        <v/>
      </c>
      <c r="AU473" s="66">
        <f>AK473*AA473</f>
        <v/>
      </c>
      <c r="AV473" s="66">
        <f>AL473*AB473</f>
        <v/>
      </c>
      <c r="AW473" s="66">
        <f>AM473*AC473</f>
        <v/>
      </c>
      <c r="AX473" s="66">
        <f>AN473*AD473</f>
        <v/>
      </c>
      <c r="AY473" s="66">
        <f>AO473*AE473</f>
        <v/>
      </c>
      <c r="AZ473" s="66">
        <f>INDEX(Projects[Automation Equipment],472)&amp;""</f>
        <v/>
      </c>
      <c r="BA473" s="66">
        <f>IF(OR(A473="",'Smart Search'!H13=0),"",MAX(0,BE473*BF473*MAX(0,1-BG473)))</f>
        <v/>
      </c>
      <c r="BB473" s="66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66">
        <f>IF('Smart Search'!G13=1,IFERROR(1/'Smart Search'!H13,0),0)</f>
        <v/>
      </c>
      <c r="BD473" s="66">
        <f>BB473*BC473</f>
        <v/>
      </c>
      <c r="BE473" s="66">
        <f>AP473+AQ473+AR473+AS473+AT473+AU473+AV473+AW473+AX473+AY473+BD473</f>
        <v/>
      </c>
      <c r="BF473" s="5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5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5">
        <f>IF(AND(A473&lt;&gt;"",OR('Smart Search'!$L$5="",'Smart Search'!$L$5="All",TRIM(BZ473)=TRIM('Smart Search'!$L$5)),OR(TRIM('Smart Search'!$L$6)="",TRIM('Smart Search'!$L$6)="All",ISNUMBER(SEARCH(SUBSTITUTE(SUBSTITUTE(SUBSTITUTE(TRIM('Smart Search'!$L$6),"~","~~"),"*","~*"),"?","~?"),CA473))),OR('Smart Search'!$L$7="",AND(CB473&lt;&gt;0,CB473='Smart Search'!$L$7)),OR('Smart Search'!$L$8="",'Smart Search'!$L$8="All",TRIM(CC473)=TRIM('Smart Search'!$L$8))),IF(BA473="","",BA473+ROW()*0.0000000001),"")</f>
        <v/>
      </c>
      <c r="BI473" s="5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5">
        <f>IF(A473="","",N(INDEX(Projects[Mech Inst],472)))</f>
        <v/>
      </c>
      <c r="BK473" s="5">
        <f>IF(A473="","",N(INDEX(Projects[Elec Inst],472)))</f>
        <v/>
      </c>
      <c r="BL473" s="5">
        <f>IF(A473="","",N(INDEX(Projects[Project Management],472)))</f>
        <v/>
      </c>
      <c r="BM473" s="5">
        <f>IF(A473="","",N(INDEX(Projects[Systems Eng],472)))</f>
        <v/>
      </c>
      <c r="BN473" s="5">
        <f>IF(A473="","",N(INDEX(Projects[Mechanical Eng],472)))</f>
        <v/>
      </c>
      <c r="BO473" s="5">
        <f>IF(A473="","",N(INDEX(Projects[Structural Engineering],472)))</f>
        <v/>
      </c>
      <c r="BP473" s="5">
        <f>IF(A473="","",N(INDEX(Projects[Site Sup],472)))</f>
        <v/>
      </c>
      <c r="BQ473" s="5">
        <f>IF(A473="","",N(INDEX(Projects[Controls Commissioning],472)))</f>
        <v/>
      </c>
      <c r="BR473" s="5">
        <f>IF(A473="","",N(INDEX(Projects[Systems Commissioning],472)))</f>
        <v/>
      </c>
      <c r="BS473" s="5">
        <f>IF(A473="","",N(INDEX(Projects[Service Commissioning],472)))</f>
        <v/>
      </c>
      <c r="BT473" s="5">
        <f>IF(A473="","",N(INDEX(Projects[Controls Eng],472)))</f>
        <v/>
      </c>
      <c r="BU473" s="5">
        <f>IF(A473="","",N(INDEX(Projects[Controls Purchase],472)))</f>
        <v/>
      </c>
      <c r="BV473" s="5">
        <f>IF(A473="","",N(INDEX(Projects[Software Eng],472)))</f>
        <v/>
      </c>
      <c r="BW473" s="5">
        <f>IF(A473="","",N(INDEX(Projects[Misc],472)))</f>
        <v/>
      </c>
      <c r="BX473" s="5">
        <f>IF(A473="","",SUM(BJ473:BW473))</f>
        <v/>
      </c>
      <c r="BY473" s="5">
        <f>IF(A473="","",IFERROR(IF(ISNUMBER(U473),U473,VALUE(SUBSTITUTE(SUBSTITUTE(SUBSTITUTE(UPPER(TRIM(U473)),"M",""),",","")," ",""))),0))</f>
        <v/>
      </c>
      <c r="BZ473" s="5">
        <f>INDEX(Projects[Solution Type],472)&amp;""</f>
        <v/>
      </c>
      <c r="CA473" s="5">
        <f>INDEX(Projects[Client / Region],472)&amp;""</f>
        <v/>
      </c>
      <c r="CB473" s="5">
        <f>INDEX(Projects[Year],472)</f>
        <v/>
      </c>
      <c r="CC473" s="5">
        <f>INDEX(Projects[Won?],472)&amp;""</f>
        <v/>
      </c>
      <c r="CD473" s="5">
        <f>INDEX(Projects[Value (USD M)],472)</f>
        <v/>
      </c>
    </row>
    <row r="474" ht="15" customHeight="1" s="74">
      <c r="A474" s="66">
        <f>INDEX(Projects[Project ID *],473)&amp;""</f>
        <v/>
      </c>
      <c r="B474" s="66">
        <f>INDEX(Projects[Project Name *],473)&amp;""</f>
        <v/>
      </c>
      <c r="C474" s="66">
        <f>INDEX(Projects[MS Shuttles],473)</f>
        <v/>
      </c>
      <c r="D474" s="66">
        <f>INDEX(Projects[MS Tote Locations],473)</f>
        <v/>
      </c>
      <c r="E474" s="66">
        <f>INDEX(Projects[AS Robots],473)</f>
        <v/>
      </c>
      <c r="F474" s="66">
        <f>INDEX(Projects[AS Tote Locations],473)</f>
        <v/>
      </c>
      <c r="G474" s="66">
        <f>INDEX(Projects[PS Shuttles],473)</f>
        <v/>
      </c>
      <c r="H474" s="66">
        <f>INDEX(Projects[PS Pallet Locations],473)</f>
        <v/>
      </c>
      <c r="I474" s="66">
        <f>INDEX(Projects[SRM Cranes],473)</f>
        <v/>
      </c>
      <c r="J474" s="66">
        <f>INDEX(Projects[SRM Pallet Locations],473)</f>
        <v/>
      </c>
      <c r="K474" s="66">
        <f>INDEX(Projects[Case Conv (m)],473)</f>
        <v/>
      </c>
      <c r="L474" s="66">
        <f>INDEX(Projects[Pallet Conv (m)],473)</f>
        <v/>
      </c>
      <c r="M474" s="66">
        <f>INDEX(Projects[Mech Eng (wks)],473)</f>
        <v/>
      </c>
      <c r="N474" s="66">
        <f>INDEX(Projects[Controls Eng (wks)],473)</f>
        <v/>
      </c>
      <c r="O474" s="66">
        <f>INDEX(Projects[Systems Eng (wks)],473)</f>
        <v/>
      </c>
      <c r="P474" s="66">
        <f>INDEX(Projects[Software Eng (wks)],473)</f>
        <v/>
      </c>
      <c r="Q474" s="66">
        <f>INDEX(Projects[M&amp;E Installation (wks)],473)</f>
        <v/>
      </c>
      <c r="R474" s="66">
        <f>INDEX(Projects[Commissioning (wks)],473)</f>
        <v/>
      </c>
      <c r="S474" s="66">
        <f>INDEX(Projects[Total Timeline (wks)],473)</f>
        <v/>
      </c>
      <c r="T474" s="66">
        <f>INDEX(Projects[Currency],473)&amp;""</f>
        <v/>
      </c>
      <c r="U474" s="67">
        <f>INDEX(Projects[Value (M)],473)</f>
        <v/>
      </c>
      <c r="V474" s="66">
        <f>IF('Smart Search'!B13=1,IFERROR(1/'Smart Search'!H13,0),0)</f>
        <v/>
      </c>
      <c r="W474" s="66">
        <f>IF('Smart Search'!B13=1,IFERROR(1/'Smart Search'!H13,0),0)</f>
        <v/>
      </c>
      <c r="X474" s="66">
        <f>IF('Smart Search'!C13=1,IFERROR(1/'Smart Search'!H13,0),0)</f>
        <v/>
      </c>
      <c r="Y474" s="66">
        <f>IF('Smart Search'!C13=1,IFERROR(1/'Smart Search'!H13,0),0)</f>
        <v/>
      </c>
      <c r="Z474" s="66">
        <f>IF('Smart Search'!D13=1,IFERROR(1/'Smart Search'!H13,0),0)</f>
        <v/>
      </c>
      <c r="AA474" s="66">
        <f>IF('Smart Search'!D13=1,IFERROR(1/'Smart Search'!H13,0),0)</f>
        <v/>
      </c>
      <c r="AB474" s="66">
        <f>IF('Smart Search'!E13=1,IFERROR(1/'Smart Search'!H13,0),0)</f>
        <v/>
      </c>
      <c r="AC474" s="66">
        <f>IF('Smart Search'!E13=1,IFERROR(1/'Smart Search'!H13,0),0)</f>
        <v/>
      </c>
      <c r="AD474" s="66">
        <f>IF('Smart Search'!F13=1,IFERROR(1/'Smart Search'!H13,0),0)</f>
        <v/>
      </c>
      <c r="AE474" s="66">
        <f>IF('Smart Search'!F13=1,IFERROR(1/'Smart Search'!H13,0),0)</f>
        <v/>
      </c>
      <c r="AF474" s="66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66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66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66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66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66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66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66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66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66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66">
        <f>AF474*V474</f>
        <v/>
      </c>
      <c r="AQ474" s="66">
        <f>AG474*W474</f>
        <v/>
      </c>
      <c r="AR474" s="66">
        <f>AH474*X474</f>
        <v/>
      </c>
      <c r="AS474" s="66">
        <f>AI474*Y474</f>
        <v/>
      </c>
      <c r="AT474" s="66">
        <f>AJ474*Z474</f>
        <v/>
      </c>
      <c r="AU474" s="66">
        <f>AK474*AA474</f>
        <v/>
      </c>
      <c r="AV474" s="66">
        <f>AL474*AB474</f>
        <v/>
      </c>
      <c r="AW474" s="66">
        <f>AM474*AC474</f>
        <v/>
      </c>
      <c r="AX474" s="66">
        <f>AN474*AD474</f>
        <v/>
      </c>
      <c r="AY474" s="66">
        <f>AO474*AE474</f>
        <v/>
      </c>
      <c r="AZ474" s="66">
        <f>INDEX(Projects[Automation Equipment],473)&amp;""</f>
        <v/>
      </c>
      <c r="BA474" s="66">
        <f>IF(OR(A474="",'Smart Search'!H13=0),"",MAX(0,BE474*BF474*MAX(0,1-BG474)))</f>
        <v/>
      </c>
      <c r="BB474" s="66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66">
        <f>IF('Smart Search'!G13=1,IFERROR(1/'Smart Search'!H13,0),0)</f>
        <v/>
      </c>
      <c r="BD474" s="66">
        <f>BB474*BC474</f>
        <v/>
      </c>
      <c r="BE474" s="66">
        <f>AP474+AQ474+AR474+AS474+AT474+AU474+AV474+AW474+AX474+AY474+BD474</f>
        <v/>
      </c>
      <c r="BF474" s="5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5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5">
        <f>IF(AND(A474&lt;&gt;"",OR('Smart Search'!$L$5="",'Smart Search'!$L$5="All",TRIM(BZ474)=TRIM('Smart Search'!$L$5)),OR(TRIM('Smart Search'!$L$6)="",TRIM('Smart Search'!$L$6)="All",ISNUMBER(SEARCH(SUBSTITUTE(SUBSTITUTE(SUBSTITUTE(TRIM('Smart Search'!$L$6),"~","~~"),"*","~*"),"?","~?"),CA474))),OR('Smart Search'!$L$7="",AND(CB474&lt;&gt;0,CB474='Smart Search'!$L$7)),OR('Smart Search'!$L$8="",'Smart Search'!$L$8="All",TRIM(CC474)=TRIM('Smart Search'!$L$8))),IF(BA474="","",BA474+ROW()*0.0000000001),"")</f>
        <v/>
      </c>
      <c r="BI474" s="5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5">
        <f>IF(A474="","",N(INDEX(Projects[Mech Inst],473)))</f>
        <v/>
      </c>
      <c r="BK474" s="5">
        <f>IF(A474="","",N(INDEX(Projects[Elec Inst],473)))</f>
        <v/>
      </c>
      <c r="BL474" s="5">
        <f>IF(A474="","",N(INDEX(Projects[Project Management],473)))</f>
        <v/>
      </c>
      <c r="BM474" s="5">
        <f>IF(A474="","",N(INDEX(Projects[Systems Eng],473)))</f>
        <v/>
      </c>
      <c r="BN474" s="5">
        <f>IF(A474="","",N(INDEX(Projects[Mechanical Eng],473)))</f>
        <v/>
      </c>
      <c r="BO474" s="5">
        <f>IF(A474="","",N(INDEX(Projects[Structural Engineering],473)))</f>
        <v/>
      </c>
      <c r="BP474" s="5">
        <f>IF(A474="","",N(INDEX(Projects[Site Sup],473)))</f>
        <v/>
      </c>
      <c r="BQ474" s="5">
        <f>IF(A474="","",N(INDEX(Projects[Controls Commissioning],473)))</f>
        <v/>
      </c>
      <c r="BR474" s="5">
        <f>IF(A474="","",N(INDEX(Projects[Systems Commissioning],473)))</f>
        <v/>
      </c>
      <c r="BS474" s="5">
        <f>IF(A474="","",N(INDEX(Projects[Service Commissioning],473)))</f>
        <v/>
      </c>
      <c r="BT474" s="5">
        <f>IF(A474="","",N(INDEX(Projects[Controls Eng],473)))</f>
        <v/>
      </c>
      <c r="BU474" s="5">
        <f>IF(A474="","",N(INDEX(Projects[Controls Purchase],473)))</f>
        <v/>
      </c>
      <c r="BV474" s="5">
        <f>IF(A474="","",N(INDEX(Projects[Software Eng],473)))</f>
        <v/>
      </c>
      <c r="BW474" s="5">
        <f>IF(A474="","",N(INDEX(Projects[Misc],473)))</f>
        <v/>
      </c>
      <c r="BX474" s="5">
        <f>IF(A474="","",SUM(BJ474:BW474))</f>
        <v/>
      </c>
      <c r="BY474" s="5">
        <f>IF(A474="","",IFERROR(IF(ISNUMBER(U474),U474,VALUE(SUBSTITUTE(SUBSTITUTE(SUBSTITUTE(UPPER(TRIM(U474)),"M",""),",","")," ",""))),0))</f>
        <v/>
      </c>
      <c r="BZ474" s="5">
        <f>INDEX(Projects[Solution Type],473)&amp;""</f>
        <v/>
      </c>
      <c r="CA474" s="5">
        <f>INDEX(Projects[Client / Region],473)&amp;""</f>
        <v/>
      </c>
      <c r="CB474" s="5">
        <f>INDEX(Projects[Year],473)</f>
        <v/>
      </c>
      <c r="CC474" s="5">
        <f>INDEX(Projects[Won?],473)&amp;""</f>
        <v/>
      </c>
      <c r="CD474" s="5">
        <f>INDEX(Projects[Value (USD M)],473)</f>
        <v/>
      </c>
    </row>
    <row r="475" ht="15" customHeight="1" s="74">
      <c r="A475" s="66">
        <f>INDEX(Projects[Project ID *],474)&amp;""</f>
        <v/>
      </c>
      <c r="B475" s="66">
        <f>INDEX(Projects[Project Name *],474)&amp;""</f>
        <v/>
      </c>
      <c r="C475" s="66">
        <f>INDEX(Projects[MS Shuttles],474)</f>
        <v/>
      </c>
      <c r="D475" s="66">
        <f>INDEX(Projects[MS Tote Locations],474)</f>
        <v/>
      </c>
      <c r="E475" s="66">
        <f>INDEX(Projects[AS Robots],474)</f>
        <v/>
      </c>
      <c r="F475" s="66">
        <f>INDEX(Projects[AS Tote Locations],474)</f>
        <v/>
      </c>
      <c r="G475" s="66">
        <f>INDEX(Projects[PS Shuttles],474)</f>
        <v/>
      </c>
      <c r="H475" s="66">
        <f>INDEX(Projects[PS Pallet Locations],474)</f>
        <v/>
      </c>
      <c r="I475" s="66">
        <f>INDEX(Projects[SRM Cranes],474)</f>
        <v/>
      </c>
      <c r="J475" s="66">
        <f>INDEX(Projects[SRM Pallet Locations],474)</f>
        <v/>
      </c>
      <c r="K475" s="66">
        <f>INDEX(Projects[Case Conv (m)],474)</f>
        <v/>
      </c>
      <c r="L475" s="66">
        <f>INDEX(Projects[Pallet Conv (m)],474)</f>
        <v/>
      </c>
      <c r="M475" s="66">
        <f>INDEX(Projects[Mech Eng (wks)],474)</f>
        <v/>
      </c>
      <c r="N475" s="66">
        <f>INDEX(Projects[Controls Eng (wks)],474)</f>
        <v/>
      </c>
      <c r="O475" s="66">
        <f>INDEX(Projects[Systems Eng (wks)],474)</f>
        <v/>
      </c>
      <c r="P475" s="66">
        <f>INDEX(Projects[Software Eng (wks)],474)</f>
        <v/>
      </c>
      <c r="Q475" s="66">
        <f>INDEX(Projects[M&amp;E Installation (wks)],474)</f>
        <v/>
      </c>
      <c r="R475" s="66">
        <f>INDEX(Projects[Commissioning (wks)],474)</f>
        <v/>
      </c>
      <c r="S475" s="66">
        <f>INDEX(Projects[Total Timeline (wks)],474)</f>
        <v/>
      </c>
      <c r="T475" s="66">
        <f>INDEX(Projects[Currency],474)&amp;""</f>
        <v/>
      </c>
      <c r="U475" s="67">
        <f>INDEX(Projects[Value (M)],474)</f>
        <v/>
      </c>
      <c r="V475" s="66">
        <f>IF('Smart Search'!B13=1,IFERROR(1/'Smart Search'!H13,0),0)</f>
        <v/>
      </c>
      <c r="W475" s="66">
        <f>IF('Smart Search'!B13=1,IFERROR(1/'Smart Search'!H13,0),0)</f>
        <v/>
      </c>
      <c r="X475" s="66">
        <f>IF('Smart Search'!C13=1,IFERROR(1/'Smart Search'!H13,0),0)</f>
        <v/>
      </c>
      <c r="Y475" s="66">
        <f>IF('Smart Search'!C13=1,IFERROR(1/'Smart Search'!H13,0),0)</f>
        <v/>
      </c>
      <c r="Z475" s="66">
        <f>IF('Smart Search'!D13=1,IFERROR(1/'Smart Search'!H13,0),0)</f>
        <v/>
      </c>
      <c r="AA475" s="66">
        <f>IF('Smart Search'!D13=1,IFERROR(1/'Smart Search'!H13,0),0)</f>
        <v/>
      </c>
      <c r="AB475" s="66">
        <f>IF('Smart Search'!E13=1,IFERROR(1/'Smart Search'!H13,0),0)</f>
        <v/>
      </c>
      <c r="AC475" s="66">
        <f>IF('Smart Search'!E13=1,IFERROR(1/'Smart Search'!H13,0),0)</f>
        <v/>
      </c>
      <c r="AD475" s="66">
        <f>IF('Smart Search'!F13=1,IFERROR(1/'Smart Search'!H13,0),0)</f>
        <v/>
      </c>
      <c r="AE475" s="66">
        <f>IF('Smart Search'!F13=1,IFERROR(1/'Smart Search'!H13,0),0)</f>
        <v/>
      </c>
      <c r="AF475" s="66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66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66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66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66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66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66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66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66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66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66">
        <f>AF475*V475</f>
        <v/>
      </c>
      <c r="AQ475" s="66">
        <f>AG475*W475</f>
        <v/>
      </c>
      <c r="AR475" s="66">
        <f>AH475*X475</f>
        <v/>
      </c>
      <c r="AS475" s="66">
        <f>AI475*Y475</f>
        <v/>
      </c>
      <c r="AT475" s="66">
        <f>AJ475*Z475</f>
        <v/>
      </c>
      <c r="AU475" s="66">
        <f>AK475*AA475</f>
        <v/>
      </c>
      <c r="AV475" s="66">
        <f>AL475*AB475</f>
        <v/>
      </c>
      <c r="AW475" s="66">
        <f>AM475*AC475</f>
        <v/>
      </c>
      <c r="AX475" s="66">
        <f>AN475*AD475</f>
        <v/>
      </c>
      <c r="AY475" s="66">
        <f>AO475*AE475</f>
        <v/>
      </c>
      <c r="AZ475" s="66">
        <f>INDEX(Projects[Automation Equipment],474)&amp;""</f>
        <v/>
      </c>
      <c r="BA475" s="66">
        <f>IF(OR(A475="",'Smart Search'!H13=0),"",MAX(0,BE475*BF475*MAX(0,1-BG475)))</f>
        <v/>
      </c>
      <c r="BB475" s="66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66">
        <f>IF('Smart Search'!G13=1,IFERROR(1/'Smart Search'!H13,0),0)</f>
        <v/>
      </c>
      <c r="BD475" s="66">
        <f>BB475*BC475</f>
        <v/>
      </c>
      <c r="BE475" s="66">
        <f>AP475+AQ475+AR475+AS475+AT475+AU475+AV475+AW475+AX475+AY475+BD475</f>
        <v/>
      </c>
      <c r="BF475" s="5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5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5">
        <f>IF(AND(A475&lt;&gt;"",OR('Smart Search'!$L$5="",'Smart Search'!$L$5="All",TRIM(BZ475)=TRIM('Smart Search'!$L$5)),OR(TRIM('Smart Search'!$L$6)="",TRIM('Smart Search'!$L$6)="All",ISNUMBER(SEARCH(SUBSTITUTE(SUBSTITUTE(SUBSTITUTE(TRIM('Smart Search'!$L$6),"~","~~"),"*","~*"),"?","~?"),CA475))),OR('Smart Search'!$L$7="",AND(CB475&lt;&gt;0,CB475='Smart Search'!$L$7)),OR('Smart Search'!$L$8="",'Smart Search'!$L$8="All",TRIM(CC475)=TRIM('Smart Search'!$L$8))),IF(BA475="","",BA475+ROW()*0.0000000001),"")</f>
        <v/>
      </c>
      <c r="BI475" s="5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5">
        <f>IF(A475="","",N(INDEX(Projects[Mech Inst],474)))</f>
        <v/>
      </c>
      <c r="BK475" s="5">
        <f>IF(A475="","",N(INDEX(Projects[Elec Inst],474)))</f>
        <v/>
      </c>
      <c r="BL475" s="5">
        <f>IF(A475="","",N(INDEX(Projects[Project Management],474)))</f>
        <v/>
      </c>
      <c r="BM475" s="5">
        <f>IF(A475="","",N(INDEX(Projects[Systems Eng],474)))</f>
        <v/>
      </c>
      <c r="BN475" s="5">
        <f>IF(A475="","",N(INDEX(Projects[Mechanical Eng],474)))</f>
        <v/>
      </c>
      <c r="BO475" s="5">
        <f>IF(A475="","",N(INDEX(Projects[Structural Engineering],474)))</f>
        <v/>
      </c>
      <c r="BP475" s="5">
        <f>IF(A475="","",N(INDEX(Projects[Site Sup],474)))</f>
        <v/>
      </c>
      <c r="BQ475" s="5">
        <f>IF(A475="","",N(INDEX(Projects[Controls Commissioning],474)))</f>
        <v/>
      </c>
      <c r="BR475" s="5">
        <f>IF(A475="","",N(INDEX(Projects[Systems Commissioning],474)))</f>
        <v/>
      </c>
      <c r="BS475" s="5">
        <f>IF(A475="","",N(INDEX(Projects[Service Commissioning],474)))</f>
        <v/>
      </c>
      <c r="BT475" s="5">
        <f>IF(A475="","",N(INDEX(Projects[Controls Eng],474)))</f>
        <v/>
      </c>
      <c r="BU475" s="5">
        <f>IF(A475="","",N(INDEX(Projects[Controls Purchase],474)))</f>
        <v/>
      </c>
      <c r="BV475" s="5">
        <f>IF(A475="","",N(INDEX(Projects[Software Eng],474)))</f>
        <v/>
      </c>
      <c r="BW475" s="5">
        <f>IF(A475="","",N(INDEX(Projects[Misc],474)))</f>
        <v/>
      </c>
      <c r="BX475" s="5">
        <f>IF(A475="","",SUM(BJ475:BW475))</f>
        <v/>
      </c>
      <c r="BY475" s="5">
        <f>IF(A475="","",IFERROR(IF(ISNUMBER(U475),U475,VALUE(SUBSTITUTE(SUBSTITUTE(SUBSTITUTE(UPPER(TRIM(U475)),"M",""),",","")," ",""))),0))</f>
        <v/>
      </c>
      <c r="BZ475" s="5">
        <f>INDEX(Projects[Solution Type],474)&amp;""</f>
        <v/>
      </c>
      <c r="CA475" s="5">
        <f>INDEX(Projects[Client / Region],474)&amp;""</f>
        <v/>
      </c>
      <c r="CB475" s="5">
        <f>INDEX(Projects[Year],474)</f>
        <v/>
      </c>
      <c r="CC475" s="5">
        <f>INDEX(Projects[Won?],474)&amp;""</f>
        <v/>
      </c>
      <c r="CD475" s="5">
        <f>INDEX(Projects[Value (USD M)],474)</f>
        <v/>
      </c>
    </row>
    <row r="476" ht="15" customHeight="1" s="74">
      <c r="A476" s="66">
        <f>INDEX(Projects[Project ID *],475)&amp;""</f>
        <v/>
      </c>
      <c r="B476" s="66">
        <f>INDEX(Projects[Project Name *],475)&amp;""</f>
        <v/>
      </c>
      <c r="C476" s="66">
        <f>INDEX(Projects[MS Shuttles],475)</f>
        <v/>
      </c>
      <c r="D476" s="66">
        <f>INDEX(Projects[MS Tote Locations],475)</f>
        <v/>
      </c>
      <c r="E476" s="66">
        <f>INDEX(Projects[AS Robots],475)</f>
        <v/>
      </c>
      <c r="F476" s="66">
        <f>INDEX(Projects[AS Tote Locations],475)</f>
        <v/>
      </c>
      <c r="G476" s="66">
        <f>INDEX(Projects[PS Shuttles],475)</f>
        <v/>
      </c>
      <c r="H476" s="66">
        <f>INDEX(Projects[PS Pallet Locations],475)</f>
        <v/>
      </c>
      <c r="I476" s="66">
        <f>INDEX(Projects[SRM Cranes],475)</f>
        <v/>
      </c>
      <c r="J476" s="66">
        <f>INDEX(Projects[SRM Pallet Locations],475)</f>
        <v/>
      </c>
      <c r="K476" s="66">
        <f>INDEX(Projects[Case Conv (m)],475)</f>
        <v/>
      </c>
      <c r="L476" s="66">
        <f>INDEX(Projects[Pallet Conv (m)],475)</f>
        <v/>
      </c>
      <c r="M476" s="66">
        <f>INDEX(Projects[Mech Eng (wks)],475)</f>
        <v/>
      </c>
      <c r="N476" s="66">
        <f>INDEX(Projects[Controls Eng (wks)],475)</f>
        <v/>
      </c>
      <c r="O476" s="66">
        <f>INDEX(Projects[Systems Eng (wks)],475)</f>
        <v/>
      </c>
      <c r="P476" s="66">
        <f>INDEX(Projects[Software Eng (wks)],475)</f>
        <v/>
      </c>
      <c r="Q476" s="66">
        <f>INDEX(Projects[M&amp;E Installation (wks)],475)</f>
        <v/>
      </c>
      <c r="R476" s="66">
        <f>INDEX(Projects[Commissioning (wks)],475)</f>
        <v/>
      </c>
      <c r="S476" s="66">
        <f>INDEX(Projects[Total Timeline (wks)],475)</f>
        <v/>
      </c>
      <c r="T476" s="66">
        <f>INDEX(Projects[Currency],475)&amp;""</f>
        <v/>
      </c>
      <c r="U476" s="67">
        <f>INDEX(Projects[Value (M)],475)</f>
        <v/>
      </c>
      <c r="V476" s="66">
        <f>IF('Smart Search'!B13=1,IFERROR(1/'Smart Search'!H13,0),0)</f>
        <v/>
      </c>
      <c r="W476" s="66">
        <f>IF('Smart Search'!B13=1,IFERROR(1/'Smart Search'!H13,0),0)</f>
        <v/>
      </c>
      <c r="X476" s="66">
        <f>IF('Smart Search'!C13=1,IFERROR(1/'Smart Search'!H13,0),0)</f>
        <v/>
      </c>
      <c r="Y476" s="66">
        <f>IF('Smart Search'!C13=1,IFERROR(1/'Smart Search'!H13,0),0)</f>
        <v/>
      </c>
      <c r="Z476" s="66">
        <f>IF('Smart Search'!D13=1,IFERROR(1/'Smart Search'!H13,0),0)</f>
        <v/>
      </c>
      <c r="AA476" s="66">
        <f>IF('Smart Search'!D13=1,IFERROR(1/'Smart Search'!H13,0),0)</f>
        <v/>
      </c>
      <c r="AB476" s="66">
        <f>IF('Smart Search'!E13=1,IFERROR(1/'Smart Search'!H13,0),0)</f>
        <v/>
      </c>
      <c r="AC476" s="66">
        <f>IF('Smart Search'!E13=1,IFERROR(1/'Smart Search'!H13,0),0)</f>
        <v/>
      </c>
      <c r="AD476" s="66">
        <f>IF('Smart Search'!F13=1,IFERROR(1/'Smart Search'!H13,0),0)</f>
        <v/>
      </c>
      <c r="AE476" s="66">
        <f>IF('Smart Search'!F13=1,IFERROR(1/'Smart Search'!H13,0),0)</f>
        <v/>
      </c>
      <c r="AF476" s="66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66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66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66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66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66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66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66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66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66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66">
        <f>AF476*V476</f>
        <v/>
      </c>
      <c r="AQ476" s="66">
        <f>AG476*W476</f>
        <v/>
      </c>
      <c r="AR476" s="66">
        <f>AH476*X476</f>
        <v/>
      </c>
      <c r="AS476" s="66">
        <f>AI476*Y476</f>
        <v/>
      </c>
      <c r="AT476" s="66">
        <f>AJ476*Z476</f>
        <v/>
      </c>
      <c r="AU476" s="66">
        <f>AK476*AA476</f>
        <v/>
      </c>
      <c r="AV476" s="66">
        <f>AL476*AB476</f>
        <v/>
      </c>
      <c r="AW476" s="66">
        <f>AM476*AC476</f>
        <v/>
      </c>
      <c r="AX476" s="66">
        <f>AN476*AD476</f>
        <v/>
      </c>
      <c r="AY476" s="66">
        <f>AO476*AE476</f>
        <v/>
      </c>
      <c r="AZ476" s="66">
        <f>INDEX(Projects[Automation Equipment],475)&amp;""</f>
        <v/>
      </c>
      <c r="BA476" s="66">
        <f>IF(OR(A476="",'Smart Search'!H13=0),"",MAX(0,BE476*BF476*MAX(0,1-BG476)))</f>
        <v/>
      </c>
      <c r="BB476" s="66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66">
        <f>IF('Smart Search'!G13=1,IFERROR(1/'Smart Search'!H13,0),0)</f>
        <v/>
      </c>
      <c r="BD476" s="66">
        <f>BB476*BC476</f>
        <v/>
      </c>
      <c r="BE476" s="66">
        <f>AP476+AQ476+AR476+AS476+AT476+AU476+AV476+AW476+AX476+AY476+BD476</f>
        <v/>
      </c>
      <c r="BF476" s="5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5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5">
        <f>IF(AND(A476&lt;&gt;"",OR('Smart Search'!$L$5="",'Smart Search'!$L$5="All",TRIM(BZ476)=TRIM('Smart Search'!$L$5)),OR(TRIM('Smart Search'!$L$6)="",TRIM('Smart Search'!$L$6)="All",ISNUMBER(SEARCH(SUBSTITUTE(SUBSTITUTE(SUBSTITUTE(TRIM('Smart Search'!$L$6),"~","~~"),"*","~*"),"?","~?"),CA476))),OR('Smart Search'!$L$7="",AND(CB476&lt;&gt;0,CB476='Smart Search'!$L$7)),OR('Smart Search'!$L$8="",'Smart Search'!$L$8="All",TRIM(CC476)=TRIM('Smart Search'!$L$8))),IF(BA476="","",BA476+ROW()*0.0000000001),"")</f>
        <v/>
      </c>
      <c r="BI476" s="5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5">
        <f>IF(A476="","",N(INDEX(Projects[Mech Inst],475)))</f>
        <v/>
      </c>
      <c r="BK476" s="5">
        <f>IF(A476="","",N(INDEX(Projects[Elec Inst],475)))</f>
        <v/>
      </c>
      <c r="BL476" s="5">
        <f>IF(A476="","",N(INDEX(Projects[Project Management],475)))</f>
        <v/>
      </c>
      <c r="BM476" s="5">
        <f>IF(A476="","",N(INDEX(Projects[Systems Eng],475)))</f>
        <v/>
      </c>
      <c r="BN476" s="5">
        <f>IF(A476="","",N(INDEX(Projects[Mechanical Eng],475)))</f>
        <v/>
      </c>
      <c r="BO476" s="5">
        <f>IF(A476="","",N(INDEX(Projects[Structural Engineering],475)))</f>
        <v/>
      </c>
      <c r="BP476" s="5">
        <f>IF(A476="","",N(INDEX(Projects[Site Sup],475)))</f>
        <v/>
      </c>
      <c r="BQ476" s="5">
        <f>IF(A476="","",N(INDEX(Projects[Controls Commissioning],475)))</f>
        <v/>
      </c>
      <c r="BR476" s="5">
        <f>IF(A476="","",N(INDEX(Projects[Systems Commissioning],475)))</f>
        <v/>
      </c>
      <c r="BS476" s="5">
        <f>IF(A476="","",N(INDEX(Projects[Service Commissioning],475)))</f>
        <v/>
      </c>
      <c r="BT476" s="5">
        <f>IF(A476="","",N(INDEX(Projects[Controls Eng],475)))</f>
        <v/>
      </c>
      <c r="BU476" s="5">
        <f>IF(A476="","",N(INDEX(Projects[Controls Purchase],475)))</f>
        <v/>
      </c>
      <c r="BV476" s="5">
        <f>IF(A476="","",N(INDEX(Projects[Software Eng],475)))</f>
        <v/>
      </c>
      <c r="BW476" s="5">
        <f>IF(A476="","",N(INDEX(Projects[Misc],475)))</f>
        <v/>
      </c>
      <c r="BX476" s="5">
        <f>IF(A476="","",SUM(BJ476:BW476))</f>
        <v/>
      </c>
      <c r="BY476" s="5">
        <f>IF(A476="","",IFERROR(IF(ISNUMBER(U476),U476,VALUE(SUBSTITUTE(SUBSTITUTE(SUBSTITUTE(UPPER(TRIM(U476)),"M",""),",","")," ",""))),0))</f>
        <v/>
      </c>
      <c r="BZ476" s="5">
        <f>INDEX(Projects[Solution Type],475)&amp;""</f>
        <v/>
      </c>
      <c r="CA476" s="5">
        <f>INDEX(Projects[Client / Region],475)&amp;""</f>
        <v/>
      </c>
      <c r="CB476" s="5">
        <f>INDEX(Projects[Year],475)</f>
        <v/>
      </c>
      <c r="CC476" s="5">
        <f>INDEX(Projects[Won?],475)&amp;""</f>
        <v/>
      </c>
      <c r="CD476" s="5">
        <f>INDEX(Projects[Value (USD M)],475)</f>
        <v/>
      </c>
    </row>
    <row r="477" ht="15" customHeight="1" s="74">
      <c r="A477" s="66">
        <f>INDEX(Projects[Project ID *],476)&amp;""</f>
        <v/>
      </c>
      <c r="B477" s="66">
        <f>INDEX(Projects[Project Name *],476)&amp;""</f>
        <v/>
      </c>
      <c r="C477" s="66">
        <f>INDEX(Projects[MS Shuttles],476)</f>
        <v/>
      </c>
      <c r="D477" s="66">
        <f>INDEX(Projects[MS Tote Locations],476)</f>
        <v/>
      </c>
      <c r="E477" s="66">
        <f>INDEX(Projects[AS Robots],476)</f>
        <v/>
      </c>
      <c r="F477" s="66">
        <f>INDEX(Projects[AS Tote Locations],476)</f>
        <v/>
      </c>
      <c r="G477" s="66">
        <f>INDEX(Projects[PS Shuttles],476)</f>
        <v/>
      </c>
      <c r="H477" s="66">
        <f>INDEX(Projects[PS Pallet Locations],476)</f>
        <v/>
      </c>
      <c r="I477" s="66">
        <f>INDEX(Projects[SRM Cranes],476)</f>
        <v/>
      </c>
      <c r="J477" s="66">
        <f>INDEX(Projects[SRM Pallet Locations],476)</f>
        <v/>
      </c>
      <c r="K477" s="66">
        <f>INDEX(Projects[Case Conv (m)],476)</f>
        <v/>
      </c>
      <c r="L477" s="66">
        <f>INDEX(Projects[Pallet Conv (m)],476)</f>
        <v/>
      </c>
      <c r="M477" s="66">
        <f>INDEX(Projects[Mech Eng (wks)],476)</f>
        <v/>
      </c>
      <c r="N477" s="66">
        <f>INDEX(Projects[Controls Eng (wks)],476)</f>
        <v/>
      </c>
      <c r="O477" s="66">
        <f>INDEX(Projects[Systems Eng (wks)],476)</f>
        <v/>
      </c>
      <c r="P477" s="66">
        <f>INDEX(Projects[Software Eng (wks)],476)</f>
        <v/>
      </c>
      <c r="Q477" s="66">
        <f>INDEX(Projects[M&amp;E Installation (wks)],476)</f>
        <v/>
      </c>
      <c r="R477" s="66">
        <f>INDEX(Projects[Commissioning (wks)],476)</f>
        <v/>
      </c>
      <c r="S477" s="66">
        <f>INDEX(Projects[Total Timeline (wks)],476)</f>
        <v/>
      </c>
      <c r="T477" s="66">
        <f>INDEX(Projects[Currency],476)&amp;""</f>
        <v/>
      </c>
      <c r="U477" s="67">
        <f>INDEX(Projects[Value (M)],476)</f>
        <v/>
      </c>
      <c r="V477" s="66">
        <f>IF('Smart Search'!B13=1,IFERROR(1/'Smart Search'!H13,0),0)</f>
        <v/>
      </c>
      <c r="W477" s="66">
        <f>IF('Smart Search'!B13=1,IFERROR(1/'Smart Search'!H13,0),0)</f>
        <v/>
      </c>
      <c r="X477" s="66">
        <f>IF('Smart Search'!C13=1,IFERROR(1/'Smart Search'!H13,0),0)</f>
        <v/>
      </c>
      <c r="Y477" s="66">
        <f>IF('Smart Search'!C13=1,IFERROR(1/'Smart Search'!H13,0),0)</f>
        <v/>
      </c>
      <c r="Z477" s="66">
        <f>IF('Smart Search'!D13=1,IFERROR(1/'Smart Search'!H13,0),0)</f>
        <v/>
      </c>
      <c r="AA477" s="66">
        <f>IF('Smart Search'!D13=1,IFERROR(1/'Smart Search'!H13,0),0)</f>
        <v/>
      </c>
      <c r="AB477" s="66">
        <f>IF('Smart Search'!E13=1,IFERROR(1/'Smart Search'!H13,0),0)</f>
        <v/>
      </c>
      <c r="AC477" s="66">
        <f>IF('Smart Search'!E13=1,IFERROR(1/'Smart Search'!H13,0),0)</f>
        <v/>
      </c>
      <c r="AD477" s="66">
        <f>IF('Smart Search'!F13=1,IFERROR(1/'Smart Search'!H13,0),0)</f>
        <v/>
      </c>
      <c r="AE477" s="66">
        <f>IF('Smart Search'!F13=1,IFERROR(1/'Smart Search'!H13,0),0)</f>
        <v/>
      </c>
      <c r="AF477" s="66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66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66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66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66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66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66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66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66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66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66">
        <f>AF477*V477</f>
        <v/>
      </c>
      <c r="AQ477" s="66">
        <f>AG477*W477</f>
        <v/>
      </c>
      <c r="AR477" s="66">
        <f>AH477*X477</f>
        <v/>
      </c>
      <c r="AS477" s="66">
        <f>AI477*Y477</f>
        <v/>
      </c>
      <c r="AT477" s="66">
        <f>AJ477*Z477</f>
        <v/>
      </c>
      <c r="AU477" s="66">
        <f>AK477*AA477</f>
        <v/>
      </c>
      <c r="AV477" s="66">
        <f>AL477*AB477</f>
        <v/>
      </c>
      <c r="AW477" s="66">
        <f>AM477*AC477</f>
        <v/>
      </c>
      <c r="AX477" s="66">
        <f>AN477*AD477</f>
        <v/>
      </c>
      <c r="AY477" s="66">
        <f>AO477*AE477</f>
        <v/>
      </c>
      <c r="AZ477" s="66">
        <f>INDEX(Projects[Automation Equipment],476)&amp;""</f>
        <v/>
      </c>
      <c r="BA477" s="66">
        <f>IF(OR(A477="",'Smart Search'!H13=0),"",MAX(0,BE477*BF477*MAX(0,1-BG477)))</f>
        <v/>
      </c>
      <c r="BB477" s="66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66">
        <f>IF('Smart Search'!G13=1,IFERROR(1/'Smart Search'!H13,0),0)</f>
        <v/>
      </c>
      <c r="BD477" s="66">
        <f>BB477*BC477</f>
        <v/>
      </c>
      <c r="BE477" s="66">
        <f>AP477+AQ477+AR477+AS477+AT477+AU477+AV477+AW477+AX477+AY477+BD477</f>
        <v/>
      </c>
      <c r="BF477" s="5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5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5">
        <f>IF(AND(A477&lt;&gt;"",OR('Smart Search'!$L$5="",'Smart Search'!$L$5="All",TRIM(BZ477)=TRIM('Smart Search'!$L$5)),OR(TRIM('Smart Search'!$L$6)="",TRIM('Smart Search'!$L$6)="All",ISNUMBER(SEARCH(SUBSTITUTE(SUBSTITUTE(SUBSTITUTE(TRIM('Smart Search'!$L$6),"~","~~"),"*","~*"),"?","~?"),CA477))),OR('Smart Search'!$L$7="",AND(CB477&lt;&gt;0,CB477='Smart Search'!$L$7)),OR('Smart Search'!$L$8="",'Smart Search'!$L$8="All",TRIM(CC477)=TRIM('Smart Search'!$L$8))),IF(BA477="","",BA477+ROW()*0.0000000001),"")</f>
        <v/>
      </c>
      <c r="BI477" s="5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5">
        <f>IF(A477="","",N(INDEX(Projects[Mech Inst],476)))</f>
        <v/>
      </c>
      <c r="BK477" s="5">
        <f>IF(A477="","",N(INDEX(Projects[Elec Inst],476)))</f>
        <v/>
      </c>
      <c r="BL477" s="5">
        <f>IF(A477="","",N(INDEX(Projects[Project Management],476)))</f>
        <v/>
      </c>
      <c r="BM477" s="5">
        <f>IF(A477="","",N(INDEX(Projects[Systems Eng],476)))</f>
        <v/>
      </c>
      <c r="BN477" s="5">
        <f>IF(A477="","",N(INDEX(Projects[Mechanical Eng],476)))</f>
        <v/>
      </c>
      <c r="BO477" s="5">
        <f>IF(A477="","",N(INDEX(Projects[Structural Engineering],476)))</f>
        <v/>
      </c>
      <c r="BP477" s="5">
        <f>IF(A477="","",N(INDEX(Projects[Site Sup],476)))</f>
        <v/>
      </c>
      <c r="BQ477" s="5">
        <f>IF(A477="","",N(INDEX(Projects[Controls Commissioning],476)))</f>
        <v/>
      </c>
      <c r="BR477" s="5">
        <f>IF(A477="","",N(INDEX(Projects[Systems Commissioning],476)))</f>
        <v/>
      </c>
      <c r="BS477" s="5">
        <f>IF(A477="","",N(INDEX(Projects[Service Commissioning],476)))</f>
        <v/>
      </c>
      <c r="BT477" s="5">
        <f>IF(A477="","",N(INDEX(Projects[Controls Eng],476)))</f>
        <v/>
      </c>
      <c r="BU477" s="5">
        <f>IF(A477="","",N(INDEX(Projects[Controls Purchase],476)))</f>
        <v/>
      </c>
      <c r="BV477" s="5">
        <f>IF(A477="","",N(INDEX(Projects[Software Eng],476)))</f>
        <v/>
      </c>
      <c r="BW477" s="5">
        <f>IF(A477="","",N(INDEX(Projects[Misc],476)))</f>
        <v/>
      </c>
      <c r="BX477" s="5">
        <f>IF(A477="","",SUM(BJ477:BW477))</f>
        <v/>
      </c>
      <c r="BY477" s="5">
        <f>IF(A477="","",IFERROR(IF(ISNUMBER(U477),U477,VALUE(SUBSTITUTE(SUBSTITUTE(SUBSTITUTE(UPPER(TRIM(U477)),"M",""),",","")," ",""))),0))</f>
        <v/>
      </c>
      <c r="BZ477" s="5">
        <f>INDEX(Projects[Solution Type],476)&amp;""</f>
        <v/>
      </c>
      <c r="CA477" s="5">
        <f>INDEX(Projects[Client / Region],476)&amp;""</f>
        <v/>
      </c>
      <c r="CB477" s="5">
        <f>INDEX(Projects[Year],476)</f>
        <v/>
      </c>
      <c r="CC477" s="5">
        <f>INDEX(Projects[Won?],476)&amp;""</f>
        <v/>
      </c>
      <c r="CD477" s="5">
        <f>INDEX(Projects[Value (USD M)],476)</f>
        <v/>
      </c>
    </row>
    <row r="478" ht="15" customHeight="1" s="74">
      <c r="A478" s="66">
        <f>INDEX(Projects[Project ID *],477)&amp;""</f>
        <v/>
      </c>
      <c r="B478" s="66">
        <f>INDEX(Projects[Project Name *],477)&amp;""</f>
        <v/>
      </c>
      <c r="C478" s="66">
        <f>INDEX(Projects[MS Shuttles],477)</f>
        <v/>
      </c>
      <c r="D478" s="66">
        <f>INDEX(Projects[MS Tote Locations],477)</f>
        <v/>
      </c>
      <c r="E478" s="66">
        <f>INDEX(Projects[AS Robots],477)</f>
        <v/>
      </c>
      <c r="F478" s="66">
        <f>INDEX(Projects[AS Tote Locations],477)</f>
        <v/>
      </c>
      <c r="G478" s="66">
        <f>INDEX(Projects[PS Shuttles],477)</f>
        <v/>
      </c>
      <c r="H478" s="66">
        <f>INDEX(Projects[PS Pallet Locations],477)</f>
        <v/>
      </c>
      <c r="I478" s="66">
        <f>INDEX(Projects[SRM Cranes],477)</f>
        <v/>
      </c>
      <c r="J478" s="66">
        <f>INDEX(Projects[SRM Pallet Locations],477)</f>
        <v/>
      </c>
      <c r="K478" s="66">
        <f>INDEX(Projects[Case Conv (m)],477)</f>
        <v/>
      </c>
      <c r="L478" s="66">
        <f>INDEX(Projects[Pallet Conv (m)],477)</f>
        <v/>
      </c>
      <c r="M478" s="66">
        <f>INDEX(Projects[Mech Eng (wks)],477)</f>
        <v/>
      </c>
      <c r="N478" s="66">
        <f>INDEX(Projects[Controls Eng (wks)],477)</f>
        <v/>
      </c>
      <c r="O478" s="66">
        <f>INDEX(Projects[Systems Eng (wks)],477)</f>
        <v/>
      </c>
      <c r="P478" s="66">
        <f>INDEX(Projects[Software Eng (wks)],477)</f>
        <v/>
      </c>
      <c r="Q478" s="66">
        <f>INDEX(Projects[M&amp;E Installation (wks)],477)</f>
        <v/>
      </c>
      <c r="R478" s="66">
        <f>INDEX(Projects[Commissioning (wks)],477)</f>
        <v/>
      </c>
      <c r="S478" s="66">
        <f>INDEX(Projects[Total Timeline (wks)],477)</f>
        <v/>
      </c>
      <c r="T478" s="66">
        <f>INDEX(Projects[Currency],477)&amp;""</f>
        <v/>
      </c>
      <c r="U478" s="67">
        <f>INDEX(Projects[Value (M)],477)</f>
        <v/>
      </c>
      <c r="V478" s="66">
        <f>IF('Smart Search'!B13=1,IFERROR(1/'Smart Search'!H13,0),0)</f>
        <v/>
      </c>
      <c r="W478" s="66">
        <f>IF('Smart Search'!B13=1,IFERROR(1/'Smart Search'!H13,0),0)</f>
        <v/>
      </c>
      <c r="X478" s="66">
        <f>IF('Smart Search'!C13=1,IFERROR(1/'Smart Search'!H13,0),0)</f>
        <v/>
      </c>
      <c r="Y478" s="66">
        <f>IF('Smart Search'!C13=1,IFERROR(1/'Smart Search'!H13,0),0)</f>
        <v/>
      </c>
      <c r="Z478" s="66">
        <f>IF('Smart Search'!D13=1,IFERROR(1/'Smart Search'!H13,0),0)</f>
        <v/>
      </c>
      <c r="AA478" s="66">
        <f>IF('Smart Search'!D13=1,IFERROR(1/'Smart Search'!H13,0),0)</f>
        <v/>
      </c>
      <c r="AB478" s="66">
        <f>IF('Smart Search'!E13=1,IFERROR(1/'Smart Search'!H13,0),0)</f>
        <v/>
      </c>
      <c r="AC478" s="66">
        <f>IF('Smart Search'!E13=1,IFERROR(1/'Smart Search'!H13,0),0)</f>
        <v/>
      </c>
      <c r="AD478" s="66">
        <f>IF('Smart Search'!F13=1,IFERROR(1/'Smart Search'!H13,0),0)</f>
        <v/>
      </c>
      <c r="AE478" s="66">
        <f>IF('Smart Search'!F13=1,IFERROR(1/'Smart Search'!H13,0),0)</f>
        <v/>
      </c>
      <c r="AF478" s="66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66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66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66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66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66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66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66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66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66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66">
        <f>AF478*V478</f>
        <v/>
      </c>
      <c r="AQ478" s="66">
        <f>AG478*W478</f>
        <v/>
      </c>
      <c r="AR478" s="66">
        <f>AH478*X478</f>
        <v/>
      </c>
      <c r="AS478" s="66">
        <f>AI478*Y478</f>
        <v/>
      </c>
      <c r="AT478" s="66">
        <f>AJ478*Z478</f>
        <v/>
      </c>
      <c r="AU478" s="66">
        <f>AK478*AA478</f>
        <v/>
      </c>
      <c r="AV478" s="66">
        <f>AL478*AB478</f>
        <v/>
      </c>
      <c r="AW478" s="66">
        <f>AM478*AC478</f>
        <v/>
      </c>
      <c r="AX478" s="66">
        <f>AN478*AD478</f>
        <v/>
      </c>
      <c r="AY478" s="66">
        <f>AO478*AE478</f>
        <v/>
      </c>
      <c r="AZ478" s="66">
        <f>INDEX(Projects[Automation Equipment],477)&amp;""</f>
        <v/>
      </c>
      <c r="BA478" s="66">
        <f>IF(OR(A478="",'Smart Search'!H13=0),"",MAX(0,BE478*BF478*MAX(0,1-BG478)))</f>
        <v/>
      </c>
      <c r="BB478" s="66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66">
        <f>IF('Smart Search'!G13=1,IFERROR(1/'Smart Search'!H13,0),0)</f>
        <v/>
      </c>
      <c r="BD478" s="66">
        <f>BB478*BC478</f>
        <v/>
      </c>
      <c r="BE478" s="66">
        <f>AP478+AQ478+AR478+AS478+AT478+AU478+AV478+AW478+AX478+AY478+BD478</f>
        <v/>
      </c>
      <c r="BF478" s="5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5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5">
        <f>IF(AND(A478&lt;&gt;"",OR('Smart Search'!$L$5="",'Smart Search'!$L$5="All",TRIM(BZ478)=TRIM('Smart Search'!$L$5)),OR(TRIM('Smart Search'!$L$6)="",TRIM('Smart Search'!$L$6)="All",ISNUMBER(SEARCH(SUBSTITUTE(SUBSTITUTE(SUBSTITUTE(TRIM('Smart Search'!$L$6),"~","~~"),"*","~*"),"?","~?"),CA478))),OR('Smart Search'!$L$7="",AND(CB478&lt;&gt;0,CB478='Smart Search'!$L$7)),OR('Smart Search'!$L$8="",'Smart Search'!$L$8="All",TRIM(CC478)=TRIM('Smart Search'!$L$8))),IF(BA478="","",BA478+ROW()*0.0000000001),"")</f>
        <v/>
      </c>
      <c r="BI478" s="5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5">
        <f>IF(A478="","",N(INDEX(Projects[Mech Inst],477)))</f>
        <v/>
      </c>
      <c r="BK478" s="5">
        <f>IF(A478="","",N(INDEX(Projects[Elec Inst],477)))</f>
        <v/>
      </c>
      <c r="BL478" s="5">
        <f>IF(A478="","",N(INDEX(Projects[Project Management],477)))</f>
        <v/>
      </c>
      <c r="BM478" s="5">
        <f>IF(A478="","",N(INDEX(Projects[Systems Eng],477)))</f>
        <v/>
      </c>
      <c r="BN478" s="5">
        <f>IF(A478="","",N(INDEX(Projects[Mechanical Eng],477)))</f>
        <v/>
      </c>
      <c r="BO478" s="5">
        <f>IF(A478="","",N(INDEX(Projects[Structural Engineering],477)))</f>
        <v/>
      </c>
      <c r="BP478" s="5">
        <f>IF(A478="","",N(INDEX(Projects[Site Sup],477)))</f>
        <v/>
      </c>
      <c r="BQ478" s="5">
        <f>IF(A478="","",N(INDEX(Projects[Controls Commissioning],477)))</f>
        <v/>
      </c>
      <c r="BR478" s="5">
        <f>IF(A478="","",N(INDEX(Projects[Systems Commissioning],477)))</f>
        <v/>
      </c>
      <c r="BS478" s="5">
        <f>IF(A478="","",N(INDEX(Projects[Service Commissioning],477)))</f>
        <v/>
      </c>
      <c r="BT478" s="5">
        <f>IF(A478="","",N(INDEX(Projects[Controls Eng],477)))</f>
        <v/>
      </c>
      <c r="BU478" s="5">
        <f>IF(A478="","",N(INDEX(Projects[Controls Purchase],477)))</f>
        <v/>
      </c>
      <c r="BV478" s="5">
        <f>IF(A478="","",N(INDEX(Projects[Software Eng],477)))</f>
        <v/>
      </c>
      <c r="BW478" s="5">
        <f>IF(A478="","",N(INDEX(Projects[Misc],477)))</f>
        <v/>
      </c>
      <c r="BX478" s="5">
        <f>IF(A478="","",SUM(BJ478:BW478))</f>
        <v/>
      </c>
      <c r="BY478" s="5">
        <f>IF(A478="","",IFERROR(IF(ISNUMBER(U478),U478,VALUE(SUBSTITUTE(SUBSTITUTE(SUBSTITUTE(UPPER(TRIM(U478)),"M",""),",","")," ",""))),0))</f>
        <v/>
      </c>
      <c r="BZ478" s="5">
        <f>INDEX(Projects[Solution Type],477)&amp;""</f>
        <v/>
      </c>
      <c r="CA478" s="5">
        <f>INDEX(Projects[Client / Region],477)&amp;""</f>
        <v/>
      </c>
      <c r="CB478" s="5">
        <f>INDEX(Projects[Year],477)</f>
        <v/>
      </c>
      <c r="CC478" s="5">
        <f>INDEX(Projects[Won?],477)&amp;""</f>
        <v/>
      </c>
      <c r="CD478" s="5">
        <f>INDEX(Projects[Value (USD M)],477)</f>
        <v/>
      </c>
    </row>
    <row r="479" ht="15" customHeight="1" s="74">
      <c r="A479" s="66">
        <f>INDEX(Projects[Project ID *],478)&amp;""</f>
        <v/>
      </c>
      <c r="B479" s="66">
        <f>INDEX(Projects[Project Name *],478)&amp;""</f>
        <v/>
      </c>
      <c r="C479" s="66">
        <f>INDEX(Projects[MS Shuttles],478)</f>
        <v/>
      </c>
      <c r="D479" s="66">
        <f>INDEX(Projects[MS Tote Locations],478)</f>
        <v/>
      </c>
      <c r="E479" s="66">
        <f>INDEX(Projects[AS Robots],478)</f>
        <v/>
      </c>
      <c r="F479" s="66">
        <f>INDEX(Projects[AS Tote Locations],478)</f>
        <v/>
      </c>
      <c r="G479" s="66">
        <f>INDEX(Projects[PS Shuttles],478)</f>
        <v/>
      </c>
      <c r="H479" s="66">
        <f>INDEX(Projects[PS Pallet Locations],478)</f>
        <v/>
      </c>
      <c r="I479" s="66">
        <f>INDEX(Projects[SRM Cranes],478)</f>
        <v/>
      </c>
      <c r="J479" s="66">
        <f>INDEX(Projects[SRM Pallet Locations],478)</f>
        <v/>
      </c>
      <c r="K479" s="66">
        <f>INDEX(Projects[Case Conv (m)],478)</f>
        <v/>
      </c>
      <c r="L479" s="66">
        <f>INDEX(Projects[Pallet Conv (m)],478)</f>
        <v/>
      </c>
      <c r="M479" s="66">
        <f>INDEX(Projects[Mech Eng (wks)],478)</f>
        <v/>
      </c>
      <c r="N479" s="66">
        <f>INDEX(Projects[Controls Eng (wks)],478)</f>
        <v/>
      </c>
      <c r="O479" s="66">
        <f>INDEX(Projects[Systems Eng (wks)],478)</f>
        <v/>
      </c>
      <c r="P479" s="66">
        <f>INDEX(Projects[Software Eng (wks)],478)</f>
        <v/>
      </c>
      <c r="Q479" s="66">
        <f>INDEX(Projects[M&amp;E Installation (wks)],478)</f>
        <v/>
      </c>
      <c r="R479" s="66">
        <f>INDEX(Projects[Commissioning (wks)],478)</f>
        <v/>
      </c>
      <c r="S479" s="66">
        <f>INDEX(Projects[Total Timeline (wks)],478)</f>
        <v/>
      </c>
      <c r="T479" s="66">
        <f>INDEX(Projects[Currency],478)&amp;""</f>
        <v/>
      </c>
      <c r="U479" s="67">
        <f>INDEX(Projects[Value (M)],478)</f>
        <v/>
      </c>
      <c r="V479" s="66">
        <f>IF('Smart Search'!B13=1,IFERROR(1/'Smart Search'!H13,0),0)</f>
        <v/>
      </c>
      <c r="W479" s="66">
        <f>IF('Smart Search'!B13=1,IFERROR(1/'Smart Search'!H13,0),0)</f>
        <v/>
      </c>
      <c r="X479" s="66">
        <f>IF('Smart Search'!C13=1,IFERROR(1/'Smart Search'!H13,0),0)</f>
        <v/>
      </c>
      <c r="Y479" s="66">
        <f>IF('Smart Search'!C13=1,IFERROR(1/'Smart Search'!H13,0),0)</f>
        <v/>
      </c>
      <c r="Z479" s="66">
        <f>IF('Smart Search'!D13=1,IFERROR(1/'Smart Search'!H13,0),0)</f>
        <v/>
      </c>
      <c r="AA479" s="66">
        <f>IF('Smart Search'!D13=1,IFERROR(1/'Smart Search'!H13,0),0)</f>
        <v/>
      </c>
      <c r="AB479" s="66">
        <f>IF('Smart Search'!E13=1,IFERROR(1/'Smart Search'!H13,0),0)</f>
        <v/>
      </c>
      <c r="AC479" s="66">
        <f>IF('Smart Search'!E13=1,IFERROR(1/'Smart Search'!H13,0),0)</f>
        <v/>
      </c>
      <c r="AD479" s="66">
        <f>IF('Smart Search'!F13=1,IFERROR(1/'Smart Search'!H13,0),0)</f>
        <v/>
      </c>
      <c r="AE479" s="66">
        <f>IF('Smart Search'!F13=1,IFERROR(1/'Smart Search'!H13,0),0)</f>
        <v/>
      </c>
      <c r="AF479" s="66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66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66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66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66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66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66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66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66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66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66">
        <f>AF479*V479</f>
        <v/>
      </c>
      <c r="AQ479" s="66">
        <f>AG479*W479</f>
        <v/>
      </c>
      <c r="AR479" s="66">
        <f>AH479*X479</f>
        <v/>
      </c>
      <c r="AS479" s="66">
        <f>AI479*Y479</f>
        <v/>
      </c>
      <c r="AT479" s="66">
        <f>AJ479*Z479</f>
        <v/>
      </c>
      <c r="AU479" s="66">
        <f>AK479*AA479</f>
        <v/>
      </c>
      <c r="AV479" s="66">
        <f>AL479*AB479</f>
        <v/>
      </c>
      <c r="AW479" s="66">
        <f>AM479*AC479</f>
        <v/>
      </c>
      <c r="AX479" s="66">
        <f>AN479*AD479</f>
        <v/>
      </c>
      <c r="AY479" s="66">
        <f>AO479*AE479</f>
        <v/>
      </c>
      <c r="AZ479" s="66">
        <f>INDEX(Projects[Automation Equipment],478)&amp;""</f>
        <v/>
      </c>
      <c r="BA479" s="66">
        <f>IF(OR(A479="",'Smart Search'!H13=0),"",MAX(0,BE479*BF479*MAX(0,1-BG479)))</f>
        <v/>
      </c>
      <c r="BB479" s="66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66">
        <f>IF('Smart Search'!G13=1,IFERROR(1/'Smart Search'!H13,0),0)</f>
        <v/>
      </c>
      <c r="BD479" s="66">
        <f>BB479*BC479</f>
        <v/>
      </c>
      <c r="BE479" s="66">
        <f>AP479+AQ479+AR479+AS479+AT479+AU479+AV479+AW479+AX479+AY479+BD479</f>
        <v/>
      </c>
      <c r="BF479" s="5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5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5">
        <f>IF(AND(A479&lt;&gt;"",OR('Smart Search'!$L$5="",'Smart Search'!$L$5="All",TRIM(BZ479)=TRIM('Smart Search'!$L$5)),OR(TRIM('Smart Search'!$L$6)="",TRIM('Smart Search'!$L$6)="All",ISNUMBER(SEARCH(SUBSTITUTE(SUBSTITUTE(SUBSTITUTE(TRIM('Smart Search'!$L$6),"~","~~"),"*","~*"),"?","~?"),CA479))),OR('Smart Search'!$L$7="",AND(CB479&lt;&gt;0,CB479='Smart Search'!$L$7)),OR('Smart Search'!$L$8="",'Smart Search'!$L$8="All",TRIM(CC479)=TRIM('Smart Search'!$L$8))),IF(BA479="","",BA479+ROW()*0.0000000001),"")</f>
        <v/>
      </c>
      <c r="BI479" s="5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5">
        <f>IF(A479="","",N(INDEX(Projects[Mech Inst],478)))</f>
        <v/>
      </c>
      <c r="BK479" s="5">
        <f>IF(A479="","",N(INDEX(Projects[Elec Inst],478)))</f>
        <v/>
      </c>
      <c r="BL479" s="5">
        <f>IF(A479="","",N(INDEX(Projects[Project Management],478)))</f>
        <v/>
      </c>
      <c r="BM479" s="5">
        <f>IF(A479="","",N(INDEX(Projects[Systems Eng],478)))</f>
        <v/>
      </c>
      <c r="BN479" s="5">
        <f>IF(A479="","",N(INDEX(Projects[Mechanical Eng],478)))</f>
        <v/>
      </c>
      <c r="BO479" s="5">
        <f>IF(A479="","",N(INDEX(Projects[Structural Engineering],478)))</f>
        <v/>
      </c>
      <c r="BP479" s="5">
        <f>IF(A479="","",N(INDEX(Projects[Site Sup],478)))</f>
        <v/>
      </c>
      <c r="BQ479" s="5">
        <f>IF(A479="","",N(INDEX(Projects[Controls Commissioning],478)))</f>
        <v/>
      </c>
      <c r="BR479" s="5">
        <f>IF(A479="","",N(INDEX(Projects[Systems Commissioning],478)))</f>
        <v/>
      </c>
      <c r="BS479" s="5">
        <f>IF(A479="","",N(INDEX(Projects[Service Commissioning],478)))</f>
        <v/>
      </c>
      <c r="BT479" s="5">
        <f>IF(A479="","",N(INDEX(Projects[Controls Eng],478)))</f>
        <v/>
      </c>
      <c r="BU479" s="5">
        <f>IF(A479="","",N(INDEX(Projects[Controls Purchase],478)))</f>
        <v/>
      </c>
      <c r="BV479" s="5">
        <f>IF(A479="","",N(INDEX(Projects[Software Eng],478)))</f>
        <v/>
      </c>
      <c r="BW479" s="5">
        <f>IF(A479="","",N(INDEX(Projects[Misc],478)))</f>
        <v/>
      </c>
      <c r="BX479" s="5">
        <f>IF(A479="","",SUM(BJ479:BW479))</f>
        <v/>
      </c>
      <c r="BY479" s="5">
        <f>IF(A479="","",IFERROR(IF(ISNUMBER(U479),U479,VALUE(SUBSTITUTE(SUBSTITUTE(SUBSTITUTE(UPPER(TRIM(U479)),"M",""),",","")," ",""))),0))</f>
        <v/>
      </c>
      <c r="BZ479" s="5">
        <f>INDEX(Projects[Solution Type],478)&amp;""</f>
        <v/>
      </c>
      <c r="CA479" s="5">
        <f>INDEX(Projects[Client / Region],478)&amp;""</f>
        <v/>
      </c>
      <c r="CB479" s="5">
        <f>INDEX(Projects[Year],478)</f>
        <v/>
      </c>
      <c r="CC479" s="5">
        <f>INDEX(Projects[Won?],478)&amp;""</f>
        <v/>
      </c>
      <c r="CD479" s="5">
        <f>INDEX(Projects[Value (USD M)],478)</f>
        <v/>
      </c>
    </row>
    <row r="480" ht="15" customHeight="1" s="74">
      <c r="A480" s="66">
        <f>INDEX(Projects[Project ID *],479)&amp;""</f>
        <v/>
      </c>
      <c r="B480" s="66">
        <f>INDEX(Projects[Project Name *],479)&amp;""</f>
        <v/>
      </c>
      <c r="C480" s="66">
        <f>INDEX(Projects[MS Shuttles],479)</f>
        <v/>
      </c>
      <c r="D480" s="66">
        <f>INDEX(Projects[MS Tote Locations],479)</f>
        <v/>
      </c>
      <c r="E480" s="66">
        <f>INDEX(Projects[AS Robots],479)</f>
        <v/>
      </c>
      <c r="F480" s="66">
        <f>INDEX(Projects[AS Tote Locations],479)</f>
        <v/>
      </c>
      <c r="G480" s="66">
        <f>INDEX(Projects[PS Shuttles],479)</f>
        <v/>
      </c>
      <c r="H480" s="66">
        <f>INDEX(Projects[PS Pallet Locations],479)</f>
        <v/>
      </c>
      <c r="I480" s="66">
        <f>INDEX(Projects[SRM Cranes],479)</f>
        <v/>
      </c>
      <c r="J480" s="66">
        <f>INDEX(Projects[SRM Pallet Locations],479)</f>
        <v/>
      </c>
      <c r="K480" s="66">
        <f>INDEX(Projects[Case Conv (m)],479)</f>
        <v/>
      </c>
      <c r="L480" s="66">
        <f>INDEX(Projects[Pallet Conv (m)],479)</f>
        <v/>
      </c>
      <c r="M480" s="66">
        <f>INDEX(Projects[Mech Eng (wks)],479)</f>
        <v/>
      </c>
      <c r="N480" s="66">
        <f>INDEX(Projects[Controls Eng (wks)],479)</f>
        <v/>
      </c>
      <c r="O480" s="66">
        <f>INDEX(Projects[Systems Eng (wks)],479)</f>
        <v/>
      </c>
      <c r="P480" s="66">
        <f>INDEX(Projects[Software Eng (wks)],479)</f>
        <v/>
      </c>
      <c r="Q480" s="66">
        <f>INDEX(Projects[M&amp;E Installation (wks)],479)</f>
        <v/>
      </c>
      <c r="R480" s="66">
        <f>INDEX(Projects[Commissioning (wks)],479)</f>
        <v/>
      </c>
      <c r="S480" s="66">
        <f>INDEX(Projects[Total Timeline (wks)],479)</f>
        <v/>
      </c>
      <c r="T480" s="66">
        <f>INDEX(Projects[Currency],479)&amp;""</f>
        <v/>
      </c>
      <c r="U480" s="67">
        <f>INDEX(Projects[Value (M)],479)</f>
        <v/>
      </c>
      <c r="V480" s="66">
        <f>IF('Smart Search'!B13=1,IFERROR(1/'Smart Search'!H13,0),0)</f>
        <v/>
      </c>
      <c r="W480" s="66">
        <f>IF('Smart Search'!B13=1,IFERROR(1/'Smart Search'!H13,0),0)</f>
        <v/>
      </c>
      <c r="X480" s="66">
        <f>IF('Smart Search'!C13=1,IFERROR(1/'Smart Search'!H13,0),0)</f>
        <v/>
      </c>
      <c r="Y480" s="66">
        <f>IF('Smart Search'!C13=1,IFERROR(1/'Smart Search'!H13,0),0)</f>
        <v/>
      </c>
      <c r="Z480" s="66">
        <f>IF('Smart Search'!D13=1,IFERROR(1/'Smart Search'!H13,0),0)</f>
        <v/>
      </c>
      <c r="AA480" s="66">
        <f>IF('Smart Search'!D13=1,IFERROR(1/'Smart Search'!H13,0),0)</f>
        <v/>
      </c>
      <c r="AB480" s="66">
        <f>IF('Smart Search'!E13=1,IFERROR(1/'Smart Search'!H13,0),0)</f>
        <v/>
      </c>
      <c r="AC480" s="66">
        <f>IF('Smart Search'!E13=1,IFERROR(1/'Smart Search'!H13,0),0)</f>
        <v/>
      </c>
      <c r="AD480" s="66">
        <f>IF('Smart Search'!F13=1,IFERROR(1/'Smart Search'!H13,0),0)</f>
        <v/>
      </c>
      <c r="AE480" s="66">
        <f>IF('Smart Search'!F13=1,IFERROR(1/'Smart Search'!H13,0),0)</f>
        <v/>
      </c>
      <c r="AF480" s="66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66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66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66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66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66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66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66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66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66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66">
        <f>AF480*V480</f>
        <v/>
      </c>
      <c r="AQ480" s="66">
        <f>AG480*W480</f>
        <v/>
      </c>
      <c r="AR480" s="66">
        <f>AH480*X480</f>
        <v/>
      </c>
      <c r="AS480" s="66">
        <f>AI480*Y480</f>
        <v/>
      </c>
      <c r="AT480" s="66">
        <f>AJ480*Z480</f>
        <v/>
      </c>
      <c r="AU480" s="66">
        <f>AK480*AA480</f>
        <v/>
      </c>
      <c r="AV480" s="66">
        <f>AL480*AB480</f>
        <v/>
      </c>
      <c r="AW480" s="66">
        <f>AM480*AC480</f>
        <v/>
      </c>
      <c r="AX480" s="66">
        <f>AN480*AD480</f>
        <v/>
      </c>
      <c r="AY480" s="66">
        <f>AO480*AE480</f>
        <v/>
      </c>
      <c r="AZ480" s="66">
        <f>INDEX(Projects[Automation Equipment],479)&amp;""</f>
        <v/>
      </c>
      <c r="BA480" s="66">
        <f>IF(OR(A480="",'Smart Search'!H13=0),"",MAX(0,BE480*BF480*MAX(0,1-BG480)))</f>
        <v/>
      </c>
      <c r="BB480" s="66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66">
        <f>IF('Smart Search'!G13=1,IFERROR(1/'Smart Search'!H13,0),0)</f>
        <v/>
      </c>
      <c r="BD480" s="66">
        <f>BB480*BC480</f>
        <v/>
      </c>
      <c r="BE480" s="66">
        <f>AP480+AQ480+AR480+AS480+AT480+AU480+AV480+AW480+AX480+AY480+BD480</f>
        <v/>
      </c>
      <c r="BF480" s="5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5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5">
        <f>IF(AND(A480&lt;&gt;"",OR('Smart Search'!$L$5="",'Smart Search'!$L$5="All",TRIM(BZ480)=TRIM('Smart Search'!$L$5)),OR(TRIM('Smart Search'!$L$6)="",TRIM('Smart Search'!$L$6)="All",ISNUMBER(SEARCH(SUBSTITUTE(SUBSTITUTE(SUBSTITUTE(TRIM('Smart Search'!$L$6),"~","~~"),"*","~*"),"?","~?"),CA480))),OR('Smart Search'!$L$7="",AND(CB480&lt;&gt;0,CB480='Smart Search'!$L$7)),OR('Smart Search'!$L$8="",'Smart Search'!$L$8="All",TRIM(CC480)=TRIM('Smart Search'!$L$8))),IF(BA480="","",BA480+ROW()*0.0000000001),"")</f>
        <v/>
      </c>
      <c r="BI480" s="5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5">
        <f>IF(A480="","",N(INDEX(Projects[Mech Inst],479)))</f>
        <v/>
      </c>
      <c r="BK480" s="5">
        <f>IF(A480="","",N(INDEX(Projects[Elec Inst],479)))</f>
        <v/>
      </c>
      <c r="BL480" s="5">
        <f>IF(A480="","",N(INDEX(Projects[Project Management],479)))</f>
        <v/>
      </c>
      <c r="BM480" s="5">
        <f>IF(A480="","",N(INDEX(Projects[Systems Eng],479)))</f>
        <v/>
      </c>
      <c r="BN480" s="5">
        <f>IF(A480="","",N(INDEX(Projects[Mechanical Eng],479)))</f>
        <v/>
      </c>
      <c r="BO480" s="5">
        <f>IF(A480="","",N(INDEX(Projects[Structural Engineering],479)))</f>
        <v/>
      </c>
      <c r="BP480" s="5">
        <f>IF(A480="","",N(INDEX(Projects[Site Sup],479)))</f>
        <v/>
      </c>
      <c r="BQ480" s="5">
        <f>IF(A480="","",N(INDEX(Projects[Controls Commissioning],479)))</f>
        <v/>
      </c>
      <c r="BR480" s="5">
        <f>IF(A480="","",N(INDEX(Projects[Systems Commissioning],479)))</f>
        <v/>
      </c>
      <c r="BS480" s="5">
        <f>IF(A480="","",N(INDEX(Projects[Service Commissioning],479)))</f>
        <v/>
      </c>
      <c r="BT480" s="5">
        <f>IF(A480="","",N(INDEX(Projects[Controls Eng],479)))</f>
        <v/>
      </c>
      <c r="BU480" s="5">
        <f>IF(A480="","",N(INDEX(Projects[Controls Purchase],479)))</f>
        <v/>
      </c>
      <c r="BV480" s="5">
        <f>IF(A480="","",N(INDEX(Projects[Software Eng],479)))</f>
        <v/>
      </c>
      <c r="BW480" s="5">
        <f>IF(A480="","",N(INDEX(Projects[Misc],479)))</f>
        <v/>
      </c>
      <c r="BX480" s="5">
        <f>IF(A480="","",SUM(BJ480:BW480))</f>
        <v/>
      </c>
      <c r="BY480" s="5">
        <f>IF(A480="","",IFERROR(IF(ISNUMBER(U480),U480,VALUE(SUBSTITUTE(SUBSTITUTE(SUBSTITUTE(UPPER(TRIM(U480)),"M",""),",","")," ",""))),0))</f>
        <v/>
      </c>
      <c r="BZ480" s="5">
        <f>INDEX(Projects[Solution Type],479)&amp;""</f>
        <v/>
      </c>
      <c r="CA480" s="5">
        <f>INDEX(Projects[Client / Region],479)&amp;""</f>
        <v/>
      </c>
      <c r="CB480" s="5">
        <f>INDEX(Projects[Year],479)</f>
        <v/>
      </c>
      <c r="CC480" s="5">
        <f>INDEX(Projects[Won?],479)&amp;""</f>
        <v/>
      </c>
      <c r="CD480" s="5">
        <f>INDEX(Projects[Value (USD M)],479)</f>
        <v/>
      </c>
    </row>
    <row r="481" ht="15" customHeight="1" s="74">
      <c r="A481" s="66">
        <f>INDEX(Projects[Project ID *],480)&amp;""</f>
        <v/>
      </c>
      <c r="B481" s="66">
        <f>INDEX(Projects[Project Name *],480)&amp;""</f>
        <v/>
      </c>
      <c r="C481" s="66">
        <f>INDEX(Projects[MS Shuttles],480)</f>
        <v/>
      </c>
      <c r="D481" s="66">
        <f>INDEX(Projects[MS Tote Locations],480)</f>
        <v/>
      </c>
      <c r="E481" s="66">
        <f>INDEX(Projects[AS Robots],480)</f>
        <v/>
      </c>
      <c r="F481" s="66">
        <f>INDEX(Projects[AS Tote Locations],480)</f>
        <v/>
      </c>
      <c r="G481" s="66">
        <f>INDEX(Projects[PS Shuttles],480)</f>
        <v/>
      </c>
      <c r="H481" s="66">
        <f>INDEX(Projects[PS Pallet Locations],480)</f>
        <v/>
      </c>
      <c r="I481" s="66">
        <f>INDEX(Projects[SRM Cranes],480)</f>
        <v/>
      </c>
      <c r="J481" s="66">
        <f>INDEX(Projects[SRM Pallet Locations],480)</f>
        <v/>
      </c>
      <c r="K481" s="66">
        <f>INDEX(Projects[Case Conv (m)],480)</f>
        <v/>
      </c>
      <c r="L481" s="66">
        <f>INDEX(Projects[Pallet Conv (m)],480)</f>
        <v/>
      </c>
      <c r="M481" s="66">
        <f>INDEX(Projects[Mech Eng (wks)],480)</f>
        <v/>
      </c>
      <c r="N481" s="66">
        <f>INDEX(Projects[Controls Eng (wks)],480)</f>
        <v/>
      </c>
      <c r="O481" s="66">
        <f>INDEX(Projects[Systems Eng (wks)],480)</f>
        <v/>
      </c>
      <c r="P481" s="66">
        <f>INDEX(Projects[Software Eng (wks)],480)</f>
        <v/>
      </c>
      <c r="Q481" s="66">
        <f>INDEX(Projects[M&amp;E Installation (wks)],480)</f>
        <v/>
      </c>
      <c r="R481" s="66">
        <f>INDEX(Projects[Commissioning (wks)],480)</f>
        <v/>
      </c>
      <c r="S481" s="66">
        <f>INDEX(Projects[Total Timeline (wks)],480)</f>
        <v/>
      </c>
      <c r="T481" s="66">
        <f>INDEX(Projects[Currency],480)&amp;""</f>
        <v/>
      </c>
      <c r="U481" s="67">
        <f>INDEX(Projects[Value (M)],480)</f>
        <v/>
      </c>
      <c r="V481" s="66">
        <f>IF('Smart Search'!B13=1,IFERROR(1/'Smart Search'!H13,0),0)</f>
        <v/>
      </c>
      <c r="W481" s="66">
        <f>IF('Smart Search'!B13=1,IFERROR(1/'Smart Search'!H13,0),0)</f>
        <v/>
      </c>
      <c r="X481" s="66">
        <f>IF('Smart Search'!C13=1,IFERROR(1/'Smart Search'!H13,0),0)</f>
        <v/>
      </c>
      <c r="Y481" s="66">
        <f>IF('Smart Search'!C13=1,IFERROR(1/'Smart Search'!H13,0),0)</f>
        <v/>
      </c>
      <c r="Z481" s="66">
        <f>IF('Smart Search'!D13=1,IFERROR(1/'Smart Search'!H13,0),0)</f>
        <v/>
      </c>
      <c r="AA481" s="66">
        <f>IF('Smart Search'!D13=1,IFERROR(1/'Smart Search'!H13,0),0)</f>
        <v/>
      </c>
      <c r="AB481" s="66">
        <f>IF('Smart Search'!E13=1,IFERROR(1/'Smart Search'!H13,0),0)</f>
        <v/>
      </c>
      <c r="AC481" s="66">
        <f>IF('Smart Search'!E13=1,IFERROR(1/'Smart Search'!H13,0),0)</f>
        <v/>
      </c>
      <c r="AD481" s="66">
        <f>IF('Smart Search'!F13=1,IFERROR(1/'Smart Search'!H13,0),0)</f>
        <v/>
      </c>
      <c r="AE481" s="66">
        <f>IF('Smart Search'!F13=1,IFERROR(1/'Smart Search'!H13,0),0)</f>
        <v/>
      </c>
      <c r="AF481" s="66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66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66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66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66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66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66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66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66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66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66">
        <f>AF481*V481</f>
        <v/>
      </c>
      <c r="AQ481" s="66">
        <f>AG481*W481</f>
        <v/>
      </c>
      <c r="AR481" s="66">
        <f>AH481*X481</f>
        <v/>
      </c>
      <c r="AS481" s="66">
        <f>AI481*Y481</f>
        <v/>
      </c>
      <c r="AT481" s="66">
        <f>AJ481*Z481</f>
        <v/>
      </c>
      <c r="AU481" s="66">
        <f>AK481*AA481</f>
        <v/>
      </c>
      <c r="AV481" s="66">
        <f>AL481*AB481</f>
        <v/>
      </c>
      <c r="AW481" s="66">
        <f>AM481*AC481</f>
        <v/>
      </c>
      <c r="AX481" s="66">
        <f>AN481*AD481</f>
        <v/>
      </c>
      <c r="AY481" s="66">
        <f>AO481*AE481</f>
        <v/>
      </c>
      <c r="AZ481" s="66">
        <f>INDEX(Projects[Automation Equipment],480)&amp;""</f>
        <v/>
      </c>
      <c r="BA481" s="66">
        <f>IF(OR(A481="",'Smart Search'!H13=0),"",MAX(0,BE481*BF481*MAX(0,1-BG481)))</f>
        <v/>
      </c>
      <c r="BB481" s="66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66">
        <f>IF('Smart Search'!G13=1,IFERROR(1/'Smart Search'!H13,0),0)</f>
        <v/>
      </c>
      <c r="BD481" s="66">
        <f>BB481*BC481</f>
        <v/>
      </c>
      <c r="BE481" s="66">
        <f>AP481+AQ481+AR481+AS481+AT481+AU481+AV481+AW481+AX481+AY481+BD481</f>
        <v/>
      </c>
      <c r="BF481" s="5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5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5">
        <f>IF(AND(A481&lt;&gt;"",OR('Smart Search'!$L$5="",'Smart Search'!$L$5="All",TRIM(BZ481)=TRIM('Smart Search'!$L$5)),OR(TRIM('Smart Search'!$L$6)="",TRIM('Smart Search'!$L$6)="All",ISNUMBER(SEARCH(SUBSTITUTE(SUBSTITUTE(SUBSTITUTE(TRIM('Smart Search'!$L$6),"~","~~"),"*","~*"),"?","~?"),CA481))),OR('Smart Search'!$L$7="",AND(CB481&lt;&gt;0,CB481='Smart Search'!$L$7)),OR('Smart Search'!$L$8="",'Smart Search'!$L$8="All",TRIM(CC481)=TRIM('Smart Search'!$L$8))),IF(BA481="","",BA481+ROW()*0.0000000001),"")</f>
        <v/>
      </c>
      <c r="BI481" s="5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5">
        <f>IF(A481="","",N(INDEX(Projects[Mech Inst],480)))</f>
        <v/>
      </c>
      <c r="BK481" s="5">
        <f>IF(A481="","",N(INDEX(Projects[Elec Inst],480)))</f>
        <v/>
      </c>
      <c r="BL481" s="5">
        <f>IF(A481="","",N(INDEX(Projects[Project Management],480)))</f>
        <v/>
      </c>
      <c r="BM481" s="5">
        <f>IF(A481="","",N(INDEX(Projects[Systems Eng],480)))</f>
        <v/>
      </c>
      <c r="BN481" s="5">
        <f>IF(A481="","",N(INDEX(Projects[Mechanical Eng],480)))</f>
        <v/>
      </c>
      <c r="BO481" s="5">
        <f>IF(A481="","",N(INDEX(Projects[Structural Engineering],480)))</f>
        <v/>
      </c>
      <c r="BP481" s="5">
        <f>IF(A481="","",N(INDEX(Projects[Site Sup],480)))</f>
        <v/>
      </c>
      <c r="BQ481" s="5">
        <f>IF(A481="","",N(INDEX(Projects[Controls Commissioning],480)))</f>
        <v/>
      </c>
      <c r="BR481" s="5">
        <f>IF(A481="","",N(INDEX(Projects[Systems Commissioning],480)))</f>
        <v/>
      </c>
      <c r="BS481" s="5">
        <f>IF(A481="","",N(INDEX(Projects[Service Commissioning],480)))</f>
        <v/>
      </c>
      <c r="BT481" s="5">
        <f>IF(A481="","",N(INDEX(Projects[Controls Eng],480)))</f>
        <v/>
      </c>
      <c r="BU481" s="5">
        <f>IF(A481="","",N(INDEX(Projects[Controls Purchase],480)))</f>
        <v/>
      </c>
      <c r="BV481" s="5">
        <f>IF(A481="","",N(INDEX(Projects[Software Eng],480)))</f>
        <v/>
      </c>
      <c r="BW481" s="5">
        <f>IF(A481="","",N(INDEX(Projects[Misc],480)))</f>
        <v/>
      </c>
      <c r="BX481" s="5">
        <f>IF(A481="","",SUM(BJ481:BW481))</f>
        <v/>
      </c>
      <c r="BY481" s="5">
        <f>IF(A481="","",IFERROR(IF(ISNUMBER(U481),U481,VALUE(SUBSTITUTE(SUBSTITUTE(SUBSTITUTE(UPPER(TRIM(U481)),"M",""),",","")," ",""))),0))</f>
        <v/>
      </c>
      <c r="BZ481" s="5">
        <f>INDEX(Projects[Solution Type],480)&amp;""</f>
        <v/>
      </c>
      <c r="CA481" s="5">
        <f>INDEX(Projects[Client / Region],480)&amp;""</f>
        <v/>
      </c>
      <c r="CB481" s="5">
        <f>INDEX(Projects[Year],480)</f>
        <v/>
      </c>
      <c r="CC481" s="5">
        <f>INDEX(Projects[Won?],480)&amp;""</f>
        <v/>
      </c>
      <c r="CD481" s="5">
        <f>INDEX(Projects[Value (USD M)],480)</f>
        <v/>
      </c>
    </row>
    <row r="482" ht="15" customHeight="1" s="74">
      <c r="A482" s="66">
        <f>INDEX(Projects[Project ID *],481)&amp;""</f>
        <v/>
      </c>
      <c r="B482" s="66">
        <f>INDEX(Projects[Project Name *],481)&amp;""</f>
        <v/>
      </c>
      <c r="C482" s="66">
        <f>INDEX(Projects[MS Shuttles],481)</f>
        <v/>
      </c>
      <c r="D482" s="66">
        <f>INDEX(Projects[MS Tote Locations],481)</f>
        <v/>
      </c>
      <c r="E482" s="66">
        <f>INDEX(Projects[AS Robots],481)</f>
        <v/>
      </c>
      <c r="F482" s="66">
        <f>INDEX(Projects[AS Tote Locations],481)</f>
        <v/>
      </c>
      <c r="G482" s="66">
        <f>INDEX(Projects[PS Shuttles],481)</f>
        <v/>
      </c>
      <c r="H482" s="66">
        <f>INDEX(Projects[PS Pallet Locations],481)</f>
        <v/>
      </c>
      <c r="I482" s="66">
        <f>INDEX(Projects[SRM Cranes],481)</f>
        <v/>
      </c>
      <c r="J482" s="66">
        <f>INDEX(Projects[SRM Pallet Locations],481)</f>
        <v/>
      </c>
      <c r="K482" s="66">
        <f>INDEX(Projects[Case Conv (m)],481)</f>
        <v/>
      </c>
      <c r="L482" s="66">
        <f>INDEX(Projects[Pallet Conv (m)],481)</f>
        <v/>
      </c>
      <c r="M482" s="66">
        <f>INDEX(Projects[Mech Eng (wks)],481)</f>
        <v/>
      </c>
      <c r="N482" s="66">
        <f>INDEX(Projects[Controls Eng (wks)],481)</f>
        <v/>
      </c>
      <c r="O482" s="66">
        <f>INDEX(Projects[Systems Eng (wks)],481)</f>
        <v/>
      </c>
      <c r="P482" s="66">
        <f>INDEX(Projects[Software Eng (wks)],481)</f>
        <v/>
      </c>
      <c r="Q482" s="66">
        <f>INDEX(Projects[M&amp;E Installation (wks)],481)</f>
        <v/>
      </c>
      <c r="R482" s="66">
        <f>INDEX(Projects[Commissioning (wks)],481)</f>
        <v/>
      </c>
      <c r="S482" s="66">
        <f>INDEX(Projects[Total Timeline (wks)],481)</f>
        <v/>
      </c>
      <c r="T482" s="66">
        <f>INDEX(Projects[Currency],481)&amp;""</f>
        <v/>
      </c>
      <c r="U482" s="67">
        <f>INDEX(Projects[Value (M)],481)</f>
        <v/>
      </c>
      <c r="V482" s="66">
        <f>IF('Smart Search'!B13=1,IFERROR(1/'Smart Search'!H13,0),0)</f>
        <v/>
      </c>
      <c r="W482" s="66">
        <f>IF('Smart Search'!B13=1,IFERROR(1/'Smart Search'!H13,0),0)</f>
        <v/>
      </c>
      <c r="X482" s="66">
        <f>IF('Smart Search'!C13=1,IFERROR(1/'Smart Search'!H13,0),0)</f>
        <v/>
      </c>
      <c r="Y482" s="66">
        <f>IF('Smart Search'!C13=1,IFERROR(1/'Smart Search'!H13,0),0)</f>
        <v/>
      </c>
      <c r="Z482" s="66">
        <f>IF('Smart Search'!D13=1,IFERROR(1/'Smart Search'!H13,0),0)</f>
        <v/>
      </c>
      <c r="AA482" s="66">
        <f>IF('Smart Search'!D13=1,IFERROR(1/'Smart Search'!H13,0),0)</f>
        <v/>
      </c>
      <c r="AB482" s="66">
        <f>IF('Smart Search'!E13=1,IFERROR(1/'Smart Search'!H13,0),0)</f>
        <v/>
      </c>
      <c r="AC482" s="66">
        <f>IF('Smart Search'!E13=1,IFERROR(1/'Smart Search'!H13,0),0)</f>
        <v/>
      </c>
      <c r="AD482" s="66">
        <f>IF('Smart Search'!F13=1,IFERROR(1/'Smart Search'!H13,0),0)</f>
        <v/>
      </c>
      <c r="AE482" s="66">
        <f>IF('Smart Search'!F13=1,IFERROR(1/'Smart Search'!H13,0),0)</f>
        <v/>
      </c>
      <c r="AF482" s="66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66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66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66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66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66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66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66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66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66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66">
        <f>AF482*V482</f>
        <v/>
      </c>
      <c r="AQ482" s="66">
        <f>AG482*W482</f>
        <v/>
      </c>
      <c r="AR482" s="66">
        <f>AH482*X482</f>
        <v/>
      </c>
      <c r="AS482" s="66">
        <f>AI482*Y482</f>
        <v/>
      </c>
      <c r="AT482" s="66">
        <f>AJ482*Z482</f>
        <v/>
      </c>
      <c r="AU482" s="66">
        <f>AK482*AA482</f>
        <v/>
      </c>
      <c r="AV482" s="66">
        <f>AL482*AB482</f>
        <v/>
      </c>
      <c r="AW482" s="66">
        <f>AM482*AC482</f>
        <v/>
      </c>
      <c r="AX482" s="66">
        <f>AN482*AD482</f>
        <v/>
      </c>
      <c r="AY482" s="66">
        <f>AO482*AE482</f>
        <v/>
      </c>
      <c r="AZ482" s="66">
        <f>INDEX(Projects[Automation Equipment],481)&amp;""</f>
        <v/>
      </c>
      <c r="BA482" s="66">
        <f>IF(OR(A482="",'Smart Search'!H13=0),"",MAX(0,BE482*BF482*MAX(0,1-BG482)))</f>
        <v/>
      </c>
      <c r="BB482" s="66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66">
        <f>IF('Smart Search'!G13=1,IFERROR(1/'Smart Search'!H13,0),0)</f>
        <v/>
      </c>
      <c r="BD482" s="66">
        <f>BB482*BC482</f>
        <v/>
      </c>
      <c r="BE482" s="66">
        <f>AP482+AQ482+AR482+AS482+AT482+AU482+AV482+AW482+AX482+AY482+BD482</f>
        <v/>
      </c>
      <c r="BF482" s="5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5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5">
        <f>IF(AND(A482&lt;&gt;"",OR('Smart Search'!$L$5="",'Smart Search'!$L$5="All",TRIM(BZ482)=TRIM('Smart Search'!$L$5)),OR(TRIM('Smart Search'!$L$6)="",TRIM('Smart Search'!$L$6)="All",ISNUMBER(SEARCH(SUBSTITUTE(SUBSTITUTE(SUBSTITUTE(TRIM('Smart Search'!$L$6),"~","~~"),"*","~*"),"?","~?"),CA482))),OR('Smart Search'!$L$7="",AND(CB482&lt;&gt;0,CB482='Smart Search'!$L$7)),OR('Smart Search'!$L$8="",'Smart Search'!$L$8="All",TRIM(CC482)=TRIM('Smart Search'!$L$8))),IF(BA482="","",BA482+ROW()*0.0000000001),"")</f>
        <v/>
      </c>
      <c r="BI482" s="5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5">
        <f>IF(A482="","",N(INDEX(Projects[Mech Inst],481)))</f>
        <v/>
      </c>
      <c r="BK482" s="5">
        <f>IF(A482="","",N(INDEX(Projects[Elec Inst],481)))</f>
        <v/>
      </c>
      <c r="BL482" s="5">
        <f>IF(A482="","",N(INDEX(Projects[Project Management],481)))</f>
        <v/>
      </c>
      <c r="BM482" s="5">
        <f>IF(A482="","",N(INDEX(Projects[Systems Eng],481)))</f>
        <v/>
      </c>
      <c r="BN482" s="5">
        <f>IF(A482="","",N(INDEX(Projects[Mechanical Eng],481)))</f>
        <v/>
      </c>
      <c r="BO482" s="5">
        <f>IF(A482="","",N(INDEX(Projects[Structural Engineering],481)))</f>
        <v/>
      </c>
      <c r="BP482" s="5">
        <f>IF(A482="","",N(INDEX(Projects[Site Sup],481)))</f>
        <v/>
      </c>
      <c r="BQ482" s="5">
        <f>IF(A482="","",N(INDEX(Projects[Controls Commissioning],481)))</f>
        <v/>
      </c>
      <c r="BR482" s="5">
        <f>IF(A482="","",N(INDEX(Projects[Systems Commissioning],481)))</f>
        <v/>
      </c>
      <c r="BS482" s="5">
        <f>IF(A482="","",N(INDEX(Projects[Service Commissioning],481)))</f>
        <v/>
      </c>
      <c r="BT482" s="5">
        <f>IF(A482="","",N(INDEX(Projects[Controls Eng],481)))</f>
        <v/>
      </c>
      <c r="BU482" s="5">
        <f>IF(A482="","",N(INDEX(Projects[Controls Purchase],481)))</f>
        <v/>
      </c>
      <c r="BV482" s="5">
        <f>IF(A482="","",N(INDEX(Projects[Software Eng],481)))</f>
        <v/>
      </c>
      <c r="BW482" s="5">
        <f>IF(A482="","",N(INDEX(Projects[Misc],481)))</f>
        <v/>
      </c>
      <c r="BX482" s="5">
        <f>IF(A482="","",SUM(BJ482:BW482))</f>
        <v/>
      </c>
      <c r="BY482" s="5">
        <f>IF(A482="","",IFERROR(IF(ISNUMBER(U482),U482,VALUE(SUBSTITUTE(SUBSTITUTE(SUBSTITUTE(UPPER(TRIM(U482)),"M",""),",","")," ",""))),0))</f>
        <v/>
      </c>
      <c r="BZ482" s="5">
        <f>INDEX(Projects[Solution Type],481)&amp;""</f>
        <v/>
      </c>
      <c r="CA482" s="5">
        <f>INDEX(Projects[Client / Region],481)&amp;""</f>
        <v/>
      </c>
      <c r="CB482" s="5">
        <f>INDEX(Projects[Year],481)</f>
        <v/>
      </c>
      <c r="CC482" s="5">
        <f>INDEX(Projects[Won?],481)&amp;""</f>
        <v/>
      </c>
      <c r="CD482" s="5">
        <f>INDEX(Projects[Value (USD M)],481)</f>
        <v/>
      </c>
    </row>
    <row r="483" ht="15" customHeight="1" s="74">
      <c r="A483" s="66">
        <f>INDEX(Projects[Project ID *],482)&amp;""</f>
        <v/>
      </c>
      <c r="B483" s="66">
        <f>INDEX(Projects[Project Name *],482)&amp;""</f>
        <v/>
      </c>
      <c r="C483" s="66">
        <f>INDEX(Projects[MS Shuttles],482)</f>
        <v/>
      </c>
      <c r="D483" s="66">
        <f>INDEX(Projects[MS Tote Locations],482)</f>
        <v/>
      </c>
      <c r="E483" s="66">
        <f>INDEX(Projects[AS Robots],482)</f>
        <v/>
      </c>
      <c r="F483" s="66">
        <f>INDEX(Projects[AS Tote Locations],482)</f>
        <v/>
      </c>
      <c r="G483" s="66">
        <f>INDEX(Projects[PS Shuttles],482)</f>
        <v/>
      </c>
      <c r="H483" s="66">
        <f>INDEX(Projects[PS Pallet Locations],482)</f>
        <v/>
      </c>
      <c r="I483" s="66">
        <f>INDEX(Projects[SRM Cranes],482)</f>
        <v/>
      </c>
      <c r="J483" s="66">
        <f>INDEX(Projects[SRM Pallet Locations],482)</f>
        <v/>
      </c>
      <c r="K483" s="66">
        <f>INDEX(Projects[Case Conv (m)],482)</f>
        <v/>
      </c>
      <c r="L483" s="66">
        <f>INDEX(Projects[Pallet Conv (m)],482)</f>
        <v/>
      </c>
      <c r="M483" s="66">
        <f>INDEX(Projects[Mech Eng (wks)],482)</f>
        <v/>
      </c>
      <c r="N483" s="66">
        <f>INDEX(Projects[Controls Eng (wks)],482)</f>
        <v/>
      </c>
      <c r="O483" s="66">
        <f>INDEX(Projects[Systems Eng (wks)],482)</f>
        <v/>
      </c>
      <c r="P483" s="66">
        <f>INDEX(Projects[Software Eng (wks)],482)</f>
        <v/>
      </c>
      <c r="Q483" s="66">
        <f>INDEX(Projects[M&amp;E Installation (wks)],482)</f>
        <v/>
      </c>
      <c r="R483" s="66">
        <f>INDEX(Projects[Commissioning (wks)],482)</f>
        <v/>
      </c>
      <c r="S483" s="66">
        <f>INDEX(Projects[Total Timeline (wks)],482)</f>
        <v/>
      </c>
      <c r="T483" s="66">
        <f>INDEX(Projects[Currency],482)&amp;""</f>
        <v/>
      </c>
      <c r="U483" s="67">
        <f>INDEX(Projects[Value (M)],482)</f>
        <v/>
      </c>
      <c r="V483" s="66">
        <f>IF('Smart Search'!B13=1,IFERROR(1/'Smart Search'!H13,0),0)</f>
        <v/>
      </c>
      <c r="W483" s="66">
        <f>IF('Smart Search'!B13=1,IFERROR(1/'Smart Search'!H13,0),0)</f>
        <v/>
      </c>
      <c r="X483" s="66">
        <f>IF('Smart Search'!C13=1,IFERROR(1/'Smart Search'!H13,0),0)</f>
        <v/>
      </c>
      <c r="Y483" s="66">
        <f>IF('Smart Search'!C13=1,IFERROR(1/'Smart Search'!H13,0),0)</f>
        <v/>
      </c>
      <c r="Z483" s="66">
        <f>IF('Smart Search'!D13=1,IFERROR(1/'Smart Search'!H13,0),0)</f>
        <v/>
      </c>
      <c r="AA483" s="66">
        <f>IF('Smart Search'!D13=1,IFERROR(1/'Smart Search'!H13,0),0)</f>
        <v/>
      </c>
      <c r="AB483" s="66">
        <f>IF('Smart Search'!E13=1,IFERROR(1/'Smart Search'!H13,0),0)</f>
        <v/>
      </c>
      <c r="AC483" s="66">
        <f>IF('Smart Search'!E13=1,IFERROR(1/'Smart Search'!H13,0),0)</f>
        <v/>
      </c>
      <c r="AD483" s="66">
        <f>IF('Smart Search'!F13=1,IFERROR(1/'Smart Search'!H13,0),0)</f>
        <v/>
      </c>
      <c r="AE483" s="66">
        <f>IF('Smart Search'!F13=1,IFERROR(1/'Smart Search'!H13,0),0)</f>
        <v/>
      </c>
      <c r="AF483" s="66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66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66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66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66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66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66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66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66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66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66">
        <f>AF483*V483</f>
        <v/>
      </c>
      <c r="AQ483" s="66">
        <f>AG483*W483</f>
        <v/>
      </c>
      <c r="AR483" s="66">
        <f>AH483*X483</f>
        <v/>
      </c>
      <c r="AS483" s="66">
        <f>AI483*Y483</f>
        <v/>
      </c>
      <c r="AT483" s="66">
        <f>AJ483*Z483</f>
        <v/>
      </c>
      <c r="AU483" s="66">
        <f>AK483*AA483</f>
        <v/>
      </c>
      <c r="AV483" s="66">
        <f>AL483*AB483</f>
        <v/>
      </c>
      <c r="AW483" s="66">
        <f>AM483*AC483</f>
        <v/>
      </c>
      <c r="AX483" s="66">
        <f>AN483*AD483</f>
        <v/>
      </c>
      <c r="AY483" s="66">
        <f>AO483*AE483</f>
        <v/>
      </c>
      <c r="AZ483" s="66">
        <f>INDEX(Projects[Automation Equipment],482)&amp;""</f>
        <v/>
      </c>
      <c r="BA483" s="66">
        <f>IF(OR(A483="",'Smart Search'!H13=0),"",MAX(0,BE483*BF483*MAX(0,1-BG483)))</f>
        <v/>
      </c>
      <c r="BB483" s="66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66">
        <f>IF('Smart Search'!G13=1,IFERROR(1/'Smart Search'!H13,0),0)</f>
        <v/>
      </c>
      <c r="BD483" s="66">
        <f>BB483*BC483</f>
        <v/>
      </c>
      <c r="BE483" s="66">
        <f>AP483+AQ483+AR483+AS483+AT483+AU483+AV483+AW483+AX483+AY483+BD483</f>
        <v/>
      </c>
      <c r="BF483" s="5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5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5">
        <f>IF(AND(A483&lt;&gt;"",OR('Smart Search'!$L$5="",'Smart Search'!$L$5="All",TRIM(BZ483)=TRIM('Smart Search'!$L$5)),OR(TRIM('Smart Search'!$L$6)="",TRIM('Smart Search'!$L$6)="All",ISNUMBER(SEARCH(SUBSTITUTE(SUBSTITUTE(SUBSTITUTE(TRIM('Smart Search'!$L$6),"~","~~"),"*","~*"),"?","~?"),CA483))),OR('Smart Search'!$L$7="",AND(CB483&lt;&gt;0,CB483='Smart Search'!$L$7)),OR('Smart Search'!$L$8="",'Smart Search'!$L$8="All",TRIM(CC483)=TRIM('Smart Search'!$L$8))),IF(BA483="","",BA483+ROW()*0.0000000001),"")</f>
        <v/>
      </c>
      <c r="BI483" s="5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5">
        <f>IF(A483="","",N(INDEX(Projects[Mech Inst],482)))</f>
        <v/>
      </c>
      <c r="BK483" s="5">
        <f>IF(A483="","",N(INDEX(Projects[Elec Inst],482)))</f>
        <v/>
      </c>
      <c r="BL483" s="5">
        <f>IF(A483="","",N(INDEX(Projects[Project Management],482)))</f>
        <v/>
      </c>
      <c r="BM483" s="5">
        <f>IF(A483="","",N(INDEX(Projects[Systems Eng],482)))</f>
        <v/>
      </c>
      <c r="BN483" s="5">
        <f>IF(A483="","",N(INDEX(Projects[Mechanical Eng],482)))</f>
        <v/>
      </c>
      <c r="BO483" s="5">
        <f>IF(A483="","",N(INDEX(Projects[Structural Engineering],482)))</f>
        <v/>
      </c>
      <c r="BP483" s="5">
        <f>IF(A483="","",N(INDEX(Projects[Site Sup],482)))</f>
        <v/>
      </c>
      <c r="BQ483" s="5">
        <f>IF(A483="","",N(INDEX(Projects[Controls Commissioning],482)))</f>
        <v/>
      </c>
      <c r="BR483" s="5">
        <f>IF(A483="","",N(INDEX(Projects[Systems Commissioning],482)))</f>
        <v/>
      </c>
      <c r="BS483" s="5">
        <f>IF(A483="","",N(INDEX(Projects[Service Commissioning],482)))</f>
        <v/>
      </c>
      <c r="BT483" s="5">
        <f>IF(A483="","",N(INDEX(Projects[Controls Eng],482)))</f>
        <v/>
      </c>
      <c r="BU483" s="5">
        <f>IF(A483="","",N(INDEX(Projects[Controls Purchase],482)))</f>
        <v/>
      </c>
      <c r="BV483" s="5">
        <f>IF(A483="","",N(INDEX(Projects[Software Eng],482)))</f>
        <v/>
      </c>
      <c r="BW483" s="5">
        <f>IF(A483="","",N(INDEX(Projects[Misc],482)))</f>
        <v/>
      </c>
      <c r="BX483" s="5">
        <f>IF(A483="","",SUM(BJ483:BW483))</f>
        <v/>
      </c>
      <c r="BY483" s="5">
        <f>IF(A483="","",IFERROR(IF(ISNUMBER(U483),U483,VALUE(SUBSTITUTE(SUBSTITUTE(SUBSTITUTE(UPPER(TRIM(U483)),"M",""),",","")," ",""))),0))</f>
        <v/>
      </c>
      <c r="BZ483" s="5">
        <f>INDEX(Projects[Solution Type],482)&amp;""</f>
        <v/>
      </c>
      <c r="CA483" s="5">
        <f>INDEX(Projects[Client / Region],482)&amp;""</f>
        <v/>
      </c>
      <c r="CB483" s="5">
        <f>INDEX(Projects[Year],482)</f>
        <v/>
      </c>
      <c r="CC483" s="5">
        <f>INDEX(Projects[Won?],482)&amp;""</f>
        <v/>
      </c>
      <c r="CD483" s="5">
        <f>INDEX(Projects[Value (USD M)],482)</f>
        <v/>
      </c>
    </row>
    <row r="484" ht="15" customHeight="1" s="74">
      <c r="A484" s="66">
        <f>INDEX(Projects[Project ID *],483)&amp;""</f>
        <v/>
      </c>
      <c r="B484" s="66">
        <f>INDEX(Projects[Project Name *],483)&amp;""</f>
        <v/>
      </c>
      <c r="C484" s="66">
        <f>INDEX(Projects[MS Shuttles],483)</f>
        <v/>
      </c>
      <c r="D484" s="66">
        <f>INDEX(Projects[MS Tote Locations],483)</f>
        <v/>
      </c>
      <c r="E484" s="66">
        <f>INDEX(Projects[AS Robots],483)</f>
        <v/>
      </c>
      <c r="F484" s="66">
        <f>INDEX(Projects[AS Tote Locations],483)</f>
        <v/>
      </c>
      <c r="G484" s="66">
        <f>INDEX(Projects[PS Shuttles],483)</f>
        <v/>
      </c>
      <c r="H484" s="66">
        <f>INDEX(Projects[PS Pallet Locations],483)</f>
        <v/>
      </c>
      <c r="I484" s="66">
        <f>INDEX(Projects[SRM Cranes],483)</f>
        <v/>
      </c>
      <c r="J484" s="66">
        <f>INDEX(Projects[SRM Pallet Locations],483)</f>
        <v/>
      </c>
      <c r="K484" s="66">
        <f>INDEX(Projects[Case Conv (m)],483)</f>
        <v/>
      </c>
      <c r="L484" s="66">
        <f>INDEX(Projects[Pallet Conv (m)],483)</f>
        <v/>
      </c>
      <c r="M484" s="66">
        <f>INDEX(Projects[Mech Eng (wks)],483)</f>
        <v/>
      </c>
      <c r="N484" s="66">
        <f>INDEX(Projects[Controls Eng (wks)],483)</f>
        <v/>
      </c>
      <c r="O484" s="66">
        <f>INDEX(Projects[Systems Eng (wks)],483)</f>
        <v/>
      </c>
      <c r="P484" s="66">
        <f>INDEX(Projects[Software Eng (wks)],483)</f>
        <v/>
      </c>
      <c r="Q484" s="66">
        <f>INDEX(Projects[M&amp;E Installation (wks)],483)</f>
        <v/>
      </c>
      <c r="R484" s="66">
        <f>INDEX(Projects[Commissioning (wks)],483)</f>
        <v/>
      </c>
      <c r="S484" s="66">
        <f>INDEX(Projects[Total Timeline (wks)],483)</f>
        <v/>
      </c>
      <c r="T484" s="66">
        <f>INDEX(Projects[Currency],483)&amp;""</f>
        <v/>
      </c>
      <c r="U484" s="67">
        <f>INDEX(Projects[Value (M)],483)</f>
        <v/>
      </c>
      <c r="V484" s="66">
        <f>IF('Smart Search'!B13=1,IFERROR(1/'Smart Search'!H13,0),0)</f>
        <v/>
      </c>
      <c r="W484" s="66">
        <f>IF('Smart Search'!B13=1,IFERROR(1/'Smart Search'!H13,0),0)</f>
        <v/>
      </c>
      <c r="X484" s="66">
        <f>IF('Smart Search'!C13=1,IFERROR(1/'Smart Search'!H13,0),0)</f>
        <v/>
      </c>
      <c r="Y484" s="66">
        <f>IF('Smart Search'!C13=1,IFERROR(1/'Smart Search'!H13,0),0)</f>
        <v/>
      </c>
      <c r="Z484" s="66">
        <f>IF('Smart Search'!D13=1,IFERROR(1/'Smart Search'!H13,0),0)</f>
        <v/>
      </c>
      <c r="AA484" s="66">
        <f>IF('Smart Search'!D13=1,IFERROR(1/'Smart Search'!H13,0),0)</f>
        <v/>
      </c>
      <c r="AB484" s="66">
        <f>IF('Smart Search'!E13=1,IFERROR(1/'Smart Search'!H13,0),0)</f>
        <v/>
      </c>
      <c r="AC484" s="66">
        <f>IF('Smart Search'!E13=1,IFERROR(1/'Smart Search'!H13,0),0)</f>
        <v/>
      </c>
      <c r="AD484" s="66">
        <f>IF('Smart Search'!F13=1,IFERROR(1/'Smart Search'!H13,0),0)</f>
        <v/>
      </c>
      <c r="AE484" s="66">
        <f>IF('Smart Search'!F13=1,IFERROR(1/'Smart Search'!H13,0),0)</f>
        <v/>
      </c>
      <c r="AF484" s="66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66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66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66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66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66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66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66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66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66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66">
        <f>AF484*V484</f>
        <v/>
      </c>
      <c r="AQ484" s="66">
        <f>AG484*W484</f>
        <v/>
      </c>
      <c r="AR484" s="66">
        <f>AH484*X484</f>
        <v/>
      </c>
      <c r="AS484" s="66">
        <f>AI484*Y484</f>
        <v/>
      </c>
      <c r="AT484" s="66">
        <f>AJ484*Z484</f>
        <v/>
      </c>
      <c r="AU484" s="66">
        <f>AK484*AA484</f>
        <v/>
      </c>
      <c r="AV484" s="66">
        <f>AL484*AB484</f>
        <v/>
      </c>
      <c r="AW484" s="66">
        <f>AM484*AC484</f>
        <v/>
      </c>
      <c r="AX484" s="66">
        <f>AN484*AD484</f>
        <v/>
      </c>
      <c r="AY484" s="66">
        <f>AO484*AE484</f>
        <v/>
      </c>
      <c r="AZ484" s="66">
        <f>INDEX(Projects[Automation Equipment],483)&amp;""</f>
        <v/>
      </c>
      <c r="BA484" s="66">
        <f>IF(OR(A484="",'Smart Search'!H13=0),"",MAX(0,BE484*BF484*MAX(0,1-BG484)))</f>
        <v/>
      </c>
      <c r="BB484" s="66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66">
        <f>IF('Smart Search'!G13=1,IFERROR(1/'Smart Search'!H13,0),0)</f>
        <v/>
      </c>
      <c r="BD484" s="66">
        <f>BB484*BC484</f>
        <v/>
      </c>
      <c r="BE484" s="66">
        <f>AP484+AQ484+AR484+AS484+AT484+AU484+AV484+AW484+AX484+AY484+BD484</f>
        <v/>
      </c>
      <c r="BF484" s="5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5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5">
        <f>IF(AND(A484&lt;&gt;"",OR('Smart Search'!$L$5="",'Smart Search'!$L$5="All",TRIM(BZ484)=TRIM('Smart Search'!$L$5)),OR(TRIM('Smart Search'!$L$6)="",TRIM('Smart Search'!$L$6)="All",ISNUMBER(SEARCH(SUBSTITUTE(SUBSTITUTE(SUBSTITUTE(TRIM('Smart Search'!$L$6),"~","~~"),"*","~*"),"?","~?"),CA484))),OR('Smart Search'!$L$7="",AND(CB484&lt;&gt;0,CB484='Smart Search'!$L$7)),OR('Smart Search'!$L$8="",'Smart Search'!$L$8="All",TRIM(CC484)=TRIM('Smart Search'!$L$8))),IF(BA484="","",BA484+ROW()*0.0000000001),"")</f>
        <v/>
      </c>
      <c r="BI484" s="5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5">
        <f>IF(A484="","",N(INDEX(Projects[Mech Inst],483)))</f>
        <v/>
      </c>
      <c r="BK484" s="5">
        <f>IF(A484="","",N(INDEX(Projects[Elec Inst],483)))</f>
        <v/>
      </c>
      <c r="BL484" s="5">
        <f>IF(A484="","",N(INDEX(Projects[Project Management],483)))</f>
        <v/>
      </c>
      <c r="BM484" s="5">
        <f>IF(A484="","",N(INDEX(Projects[Systems Eng],483)))</f>
        <v/>
      </c>
      <c r="BN484" s="5">
        <f>IF(A484="","",N(INDEX(Projects[Mechanical Eng],483)))</f>
        <v/>
      </c>
      <c r="BO484" s="5">
        <f>IF(A484="","",N(INDEX(Projects[Structural Engineering],483)))</f>
        <v/>
      </c>
      <c r="BP484" s="5">
        <f>IF(A484="","",N(INDEX(Projects[Site Sup],483)))</f>
        <v/>
      </c>
      <c r="BQ484" s="5">
        <f>IF(A484="","",N(INDEX(Projects[Controls Commissioning],483)))</f>
        <v/>
      </c>
      <c r="BR484" s="5">
        <f>IF(A484="","",N(INDEX(Projects[Systems Commissioning],483)))</f>
        <v/>
      </c>
      <c r="BS484" s="5">
        <f>IF(A484="","",N(INDEX(Projects[Service Commissioning],483)))</f>
        <v/>
      </c>
      <c r="BT484" s="5">
        <f>IF(A484="","",N(INDEX(Projects[Controls Eng],483)))</f>
        <v/>
      </c>
      <c r="BU484" s="5">
        <f>IF(A484="","",N(INDEX(Projects[Controls Purchase],483)))</f>
        <v/>
      </c>
      <c r="BV484" s="5">
        <f>IF(A484="","",N(INDEX(Projects[Software Eng],483)))</f>
        <v/>
      </c>
      <c r="BW484" s="5">
        <f>IF(A484="","",N(INDEX(Projects[Misc],483)))</f>
        <v/>
      </c>
      <c r="BX484" s="5">
        <f>IF(A484="","",SUM(BJ484:BW484))</f>
        <v/>
      </c>
      <c r="BY484" s="5">
        <f>IF(A484="","",IFERROR(IF(ISNUMBER(U484),U484,VALUE(SUBSTITUTE(SUBSTITUTE(SUBSTITUTE(UPPER(TRIM(U484)),"M",""),",","")," ",""))),0))</f>
        <v/>
      </c>
      <c r="BZ484" s="5">
        <f>INDEX(Projects[Solution Type],483)&amp;""</f>
        <v/>
      </c>
      <c r="CA484" s="5">
        <f>INDEX(Projects[Client / Region],483)&amp;""</f>
        <v/>
      </c>
      <c r="CB484" s="5">
        <f>INDEX(Projects[Year],483)</f>
        <v/>
      </c>
      <c r="CC484" s="5">
        <f>INDEX(Projects[Won?],483)&amp;""</f>
        <v/>
      </c>
      <c r="CD484" s="5">
        <f>INDEX(Projects[Value (USD M)],483)</f>
        <v/>
      </c>
    </row>
    <row r="485" ht="15" customHeight="1" s="74">
      <c r="A485" s="66">
        <f>INDEX(Projects[Project ID *],484)&amp;""</f>
        <v/>
      </c>
      <c r="B485" s="66">
        <f>INDEX(Projects[Project Name *],484)&amp;""</f>
        <v/>
      </c>
      <c r="C485" s="66">
        <f>INDEX(Projects[MS Shuttles],484)</f>
        <v/>
      </c>
      <c r="D485" s="66">
        <f>INDEX(Projects[MS Tote Locations],484)</f>
        <v/>
      </c>
      <c r="E485" s="66">
        <f>INDEX(Projects[AS Robots],484)</f>
        <v/>
      </c>
      <c r="F485" s="66">
        <f>INDEX(Projects[AS Tote Locations],484)</f>
        <v/>
      </c>
      <c r="G485" s="66">
        <f>INDEX(Projects[PS Shuttles],484)</f>
        <v/>
      </c>
      <c r="H485" s="66">
        <f>INDEX(Projects[PS Pallet Locations],484)</f>
        <v/>
      </c>
      <c r="I485" s="66">
        <f>INDEX(Projects[SRM Cranes],484)</f>
        <v/>
      </c>
      <c r="J485" s="66">
        <f>INDEX(Projects[SRM Pallet Locations],484)</f>
        <v/>
      </c>
      <c r="K485" s="66">
        <f>INDEX(Projects[Case Conv (m)],484)</f>
        <v/>
      </c>
      <c r="L485" s="66">
        <f>INDEX(Projects[Pallet Conv (m)],484)</f>
        <v/>
      </c>
      <c r="M485" s="66">
        <f>INDEX(Projects[Mech Eng (wks)],484)</f>
        <v/>
      </c>
      <c r="N485" s="66">
        <f>INDEX(Projects[Controls Eng (wks)],484)</f>
        <v/>
      </c>
      <c r="O485" s="66">
        <f>INDEX(Projects[Systems Eng (wks)],484)</f>
        <v/>
      </c>
      <c r="P485" s="66">
        <f>INDEX(Projects[Software Eng (wks)],484)</f>
        <v/>
      </c>
      <c r="Q485" s="66">
        <f>INDEX(Projects[M&amp;E Installation (wks)],484)</f>
        <v/>
      </c>
      <c r="R485" s="66">
        <f>INDEX(Projects[Commissioning (wks)],484)</f>
        <v/>
      </c>
      <c r="S485" s="66">
        <f>INDEX(Projects[Total Timeline (wks)],484)</f>
        <v/>
      </c>
      <c r="T485" s="66">
        <f>INDEX(Projects[Currency],484)&amp;""</f>
        <v/>
      </c>
      <c r="U485" s="67">
        <f>INDEX(Projects[Value (M)],484)</f>
        <v/>
      </c>
      <c r="V485" s="66">
        <f>IF('Smart Search'!B13=1,IFERROR(1/'Smart Search'!H13,0),0)</f>
        <v/>
      </c>
      <c r="W485" s="66">
        <f>IF('Smart Search'!B13=1,IFERROR(1/'Smart Search'!H13,0),0)</f>
        <v/>
      </c>
      <c r="X485" s="66">
        <f>IF('Smart Search'!C13=1,IFERROR(1/'Smart Search'!H13,0),0)</f>
        <v/>
      </c>
      <c r="Y485" s="66">
        <f>IF('Smart Search'!C13=1,IFERROR(1/'Smart Search'!H13,0),0)</f>
        <v/>
      </c>
      <c r="Z485" s="66">
        <f>IF('Smart Search'!D13=1,IFERROR(1/'Smart Search'!H13,0),0)</f>
        <v/>
      </c>
      <c r="AA485" s="66">
        <f>IF('Smart Search'!D13=1,IFERROR(1/'Smart Search'!H13,0),0)</f>
        <v/>
      </c>
      <c r="AB485" s="66">
        <f>IF('Smart Search'!E13=1,IFERROR(1/'Smart Search'!H13,0),0)</f>
        <v/>
      </c>
      <c r="AC485" s="66">
        <f>IF('Smart Search'!E13=1,IFERROR(1/'Smart Search'!H13,0),0)</f>
        <v/>
      </c>
      <c r="AD485" s="66">
        <f>IF('Smart Search'!F13=1,IFERROR(1/'Smart Search'!H13,0),0)</f>
        <v/>
      </c>
      <c r="AE485" s="66">
        <f>IF('Smart Search'!F13=1,IFERROR(1/'Smart Search'!H13,0),0)</f>
        <v/>
      </c>
      <c r="AF485" s="66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66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66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66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66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66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66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66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66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66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66">
        <f>AF485*V485</f>
        <v/>
      </c>
      <c r="AQ485" s="66">
        <f>AG485*W485</f>
        <v/>
      </c>
      <c r="AR485" s="66">
        <f>AH485*X485</f>
        <v/>
      </c>
      <c r="AS485" s="66">
        <f>AI485*Y485</f>
        <v/>
      </c>
      <c r="AT485" s="66">
        <f>AJ485*Z485</f>
        <v/>
      </c>
      <c r="AU485" s="66">
        <f>AK485*AA485</f>
        <v/>
      </c>
      <c r="AV485" s="66">
        <f>AL485*AB485</f>
        <v/>
      </c>
      <c r="AW485" s="66">
        <f>AM485*AC485</f>
        <v/>
      </c>
      <c r="AX485" s="66">
        <f>AN485*AD485</f>
        <v/>
      </c>
      <c r="AY485" s="66">
        <f>AO485*AE485</f>
        <v/>
      </c>
      <c r="AZ485" s="66">
        <f>INDEX(Projects[Automation Equipment],484)&amp;""</f>
        <v/>
      </c>
      <c r="BA485" s="66">
        <f>IF(OR(A485="",'Smart Search'!H13=0),"",MAX(0,BE485*BF485*MAX(0,1-BG485)))</f>
        <v/>
      </c>
      <c r="BB485" s="66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66">
        <f>IF('Smart Search'!G13=1,IFERROR(1/'Smart Search'!H13,0),0)</f>
        <v/>
      </c>
      <c r="BD485" s="66">
        <f>BB485*BC485</f>
        <v/>
      </c>
      <c r="BE485" s="66">
        <f>AP485+AQ485+AR485+AS485+AT485+AU485+AV485+AW485+AX485+AY485+BD485</f>
        <v/>
      </c>
      <c r="BF485" s="5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5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5">
        <f>IF(AND(A485&lt;&gt;"",OR('Smart Search'!$L$5="",'Smart Search'!$L$5="All",TRIM(BZ485)=TRIM('Smart Search'!$L$5)),OR(TRIM('Smart Search'!$L$6)="",TRIM('Smart Search'!$L$6)="All",ISNUMBER(SEARCH(SUBSTITUTE(SUBSTITUTE(SUBSTITUTE(TRIM('Smart Search'!$L$6),"~","~~"),"*","~*"),"?","~?"),CA485))),OR('Smart Search'!$L$7="",AND(CB485&lt;&gt;0,CB485='Smart Search'!$L$7)),OR('Smart Search'!$L$8="",'Smart Search'!$L$8="All",TRIM(CC485)=TRIM('Smart Search'!$L$8))),IF(BA485="","",BA485+ROW()*0.0000000001),"")</f>
        <v/>
      </c>
      <c r="BI485" s="5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5">
        <f>IF(A485="","",N(INDEX(Projects[Mech Inst],484)))</f>
        <v/>
      </c>
      <c r="BK485" s="5">
        <f>IF(A485="","",N(INDEX(Projects[Elec Inst],484)))</f>
        <v/>
      </c>
      <c r="BL485" s="5">
        <f>IF(A485="","",N(INDEX(Projects[Project Management],484)))</f>
        <v/>
      </c>
      <c r="BM485" s="5">
        <f>IF(A485="","",N(INDEX(Projects[Systems Eng],484)))</f>
        <v/>
      </c>
      <c r="BN485" s="5">
        <f>IF(A485="","",N(INDEX(Projects[Mechanical Eng],484)))</f>
        <v/>
      </c>
      <c r="BO485" s="5">
        <f>IF(A485="","",N(INDEX(Projects[Structural Engineering],484)))</f>
        <v/>
      </c>
      <c r="BP485" s="5">
        <f>IF(A485="","",N(INDEX(Projects[Site Sup],484)))</f>
        <v/>
      </c>
      <c r="BQ485" s="5">
        <f>IF(A485="","",N(INDEX(Projects[Controls Commissioning],484)))</f>
        <v/>
      </c>
      <c r="BR485" s="5">
        <f>IF(A485="","",N(INDEX(Projects[Systems Commissioning],484)))</f>
        <v/>
      </c>
      <c r="BS485" s="5">
        <f>IF(A485="","",N(INDEX(Projects[Service Commissioning],484)))</f>
        <v/>
      </c>
      <c r="BT485" s="5">
        <f>IF(A485="","",N(INDEX(Projects[Controls Eng],484)))</f>
        <v/>
      </c>
      <c r="BU485" s="5">
        <f>IF(A485="","",N(INDEX(Projects[Controls Purchase],484)))</f>
        <v/>
      </c>
      <c r="BV485" s="5">
        <f>IF(A485="","",N(INDEX(Projects[Software Eng],484)))</f>
        <v/>
      </c>
      <c r="BW485" s="5">
        <f>IF(A485="","",N(INDEX(Projects[Misc],484)))</f>
        <v/>
      </c>
      <c r="BX485" s="5">
        <f>IF(A485="","",SUM(BJ485:BW485))</f>
        <v/>
      </c>
      <c r="BY485" s="5">
        <f>IF(A485="","",IFERROR(IF(ISNUMBER(U485),U485,VALUE(SUBSTITUTE(SUBSTITUTE(SUBSTITUTE(UPPER(TRIM(U485)),"M",""),",","")," ",""))),0))</f>
        <v/>
      </c>
      <c r="BZ485" s="5">
        <f>INDEX(Projects[Solution Type],484)&amp;""</f>
        <v/>
      </c>
      <c r="CA485" s="5">
        <f>INDEX(Projects[Client / Region],484)&amp;""</f>
        <v/>
      </c>
      <c r="CB485" s="5">
        <f>INDEX(Projects[Year],484)</f>
        <v/>
      </c>
      <c r="CC485" s="5">
        <f>INDEX(Projects[Won?],484)&amp;""</f>
        <v/>
      </c>
      <c r="CD485" s="5">
        <f>INDEX(Projects[Value (USD M)],484)</f>
        <v/>
      </c>
    </row>
    <row r="486" ht="15" customHeight="1" s="74">
      <c r="A486" s="66">
        <f>INDEX(Projects[Project ID *],485)&amp;""</f>
        <v/>
      </c>
      <c r="B486" s="66">
        <f>INDEX(Projects[Project Name *],485)&amp;""</f>
        <v/>
      </c>
      <c r="C486" s="66">
        <f>INDEX(Projects[MS Shuttles],485)</f>
        <v/>
      </c>
      <c r="D486" s="66">
        <f>INDEX(Projects[MS Tote Locations],485)</f>
        <v/>
      </c>
      <c r="E486" s="66">
        <f>INDEX(Projects[AS Robots],485)</f>
        <v/>
      </c>
      <c r="F486" s="66">
        <f>INDEX(Projects[AS Tote Locations],485)</f>
        <v/>
      </c>
      <c r="G486" s="66">
        <f>INDEX(Projects[PS Shuttles],485)</f>
        <v/>
      </c>
      <c r="H486" s="66">
        <f>INDEX(Projects[PS Pallet Locations],485)</f>
        <v/>
      </c>
      <c r="I486" s="66">
        <f>INDEX(Projects[SRM Cranes],485)</f>
        <v/>
      </c>
      <c r="J486" s="66">
        <f>INDEX(Projects[SRM Pallet Locations],485)</f>
        <v/>
      </c>
      <c r="K486" s="66">
        <f>INDEX(Projects[Case Conv (m)],485)</f>
        <v/>
      </c>
      <c r="L486" s="66">
        <f>INDEX(Projects[Pallet Conv (m)],485)</f>
        <v/>
      </c>
      <c r="M486" s="66">
        <f>INDEX(Projects[Mech Eng (wks)],485)</f>
        <v/>
      </c>
      <c r="N486" s="66">
        <f>INDEX(Projects[Controls Eng (wks)],485)</f>
        <v/>
      </c>
      <c r="O486" s="66">
        <f>INDEX(Projects[Systems Eng (wks)],485)</f>
        <v/>
      </c>
      <c r="P486" s="66">
        <f>INDEX(Projects[Software Eng (wks)],485)</f>
        <v/>
      </c>
      <c r="Q486" s="66">
        <f>INDEX(Projects[M&amp;E Installation (wks)],485)</f>
        <v/>
      </c>
      <c r="R486" s="66">
        <f>INDEX(Projects[Commissioning (wks)],485)</f>
        <v/>
      </c>
      <c r="S486" s="66">
        <f>INDEX(Projects[Total Timeline (wks)],485)</f>
        <v/>
      </c>
      <c r="T486" s="66">
        <f>INDEX(Projects[Currency],485)&amp;""</f>
        <v/>
      </c>
      <c r="U486" s="67">
        <f>INDEX(Projects[Value (M)],485)</f>
        <v/>
      </c>
      <c r="V486" s="66">
        <f>IF('Smart Search'!B13=1,IFERROR(1/'Smart Search'!H13,0),0)</f>
        <v/>
      </c>
      <c r="W486" s="66">
        <f>IF('Smart Search'!B13=1,IFERROR(1/'Smart Search'!H13,0),0)</f>
        <v/>
      </c>
      <c r="X486" s="66">
        <f>IF('Smart Search'!C13=1,IFERROR(1/'Smart Search'!H13,0),0)</f>
        <v/>
      </c>
      <c r="Y486" s="66">
        <f>IF('Smart Search'!C13=1,IFERROR(1/'Smart Search'!H13,0),0)</f>
        <v/>
      </c>
      <c r="Z486" s="66">
        <f>IF('Smart Search'!D13=1,IFERROR(1/'Smart Search'!H13,0),0)</f>
        <v/>
      </c>
      <c r="AA486" s="66">
        <f>IF('Smart Search'!D13=1,IFERROR(1/'Smart Search'!H13,0),0)</f>
        <v/>
      </c>
      <c r="AB486" s="66">
        <f>IF('Smart Search'!E13=1,IFERROR(1/'Smart Search'!H13,0),0)</f>
        <v/>
      </c>
      <c r="AC486" s="66">
        <f>IF('Smart Search'!E13=1,IFERROR(1/'Smart Search'!H13,0),0)</f>
        <v/>
      </c>
      <c r="AD486" s="66">
        <f>IF('Smart Search'!F13=1,IFERROR(1/'Smart Search'!H13,0),0)</f>
        <v/>
      </c>
      <c r="AE486" s="66">
        <f>IF('Smart Search'!F13=1,IFERROR(1/'Smart Search'!H13,0),0)</f>
        <v/>
      </c>
      <c r="AF486" s="66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66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66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66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66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66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66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66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66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66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66">
        <f>AF486*V486</f>
        <v/>
      </c>
      <c r="AQ486" s="66">
        <f>AG486*W486</f>
        <v/>
      </c>
      <c r="AR486" s="66">
        <f>AH486*X486</f>
        <v/>
      </c>
      <c r="AS486" s="66">
        <f>AI486*Y486</f>
        <v/>
      </c>
      <c r="AT486" s="66">
        <f>AJ486*Z486</f>
        <v/>
      </c>
      <c r="AU486" s="66">
        <f>AK486*AA486</f>
        <v/>
      </c>
      <c r="AV486" s="66">
        <f>AL486*AB486</f>
        <v/>
      </c>
      <c r="AW486" s="66">
        <f>AM486*AC486</f>
        <v/>
      </c>
      <c r="AX486" s="66">
        <f>AN486*AD486</f>
        <v/>
      </c>
      <c r="AY486" s="66">
        <f>AO486*AE486</f>
        <v/>
      </c>
      <c r="AZ486" s="66">
        <f>INDEX(Projects[Automation Equipment],485)&amp;""</f>
        <v/>
      </c>
      <c r="BA486" s="66">
        <f>IF(OR(A486="",'Smart Search'!H13=0),"",MAX(0,BE486*BF486*MAX(0,1-BG486)))</f>
        <v/>
      </c>
      <c r="BB486" s="66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66">
        <f>IF('Smart Search'!G13=1,IFERROR(1/'Smart Search'!H13,0),0)</f>
        <v/>
      </c>
      <c r="BD486" s="66">
        <f>BB486*BC486</f>
        <v/>
      </c>
      <c r="BE486" s="66">
        <f>AP486+AQ486+AR486+AS486+AT486+AU486+AV486+AW486+AX486+AY486+BD486</f>
        <v/>
      </c>
      <c r="BF486" s="5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5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5">
        <f>IF(AND(A486&lt;&gt;"",OR('Smart Search'!$L$5="",'Smart Search'!$L$5="All",TRIM(BZ486)=TRIM('Smart Search'!$L$5)),OR(TRIM('Smart Search'!$L$6)="",TRIM('Smart Search'!$L$6)="All",ISNUMBER(SEARCH(SUBSTITUTE(SUBSTITUTE(SUBSTITUTE(TRIM('Smart Search'!$L$6),"~","~~"),"*","~*"),"?","~?"),CA486))),OR('Smart Search'!$L$7="",AND(CB486&lt;&gt;0,CB486='Smart Search'!$L$7)),OR('Smart Search'!$L$8="",'Smart Search'!$L$8="All",TRIM(CC486)=TRIM('Smart Search'!$L$8))),IF(BA486="","",BA486+ROW()*0.0000000001),"")</f>
        <v/>
      </c>
      <c r="BI486" s="5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5">
        <f>IF(A486="","",N(INDEX(Projects[Mech Inst],485)))</f>
        <v/>
      </c>
      <c r="BK486" s="5">
        <f>IF(A486="","",N(INDEX(Projects[Elec Inst],485)))</f>
        <v/>
      </c>
      <c r="BL486" s="5">
        <f>IF(A486="","",N(INDEX(Projects[Project Management],485)))</f>
        <v/>
      </c>
      <c r="BM486" s="5">
        <f>IF(A486="","",N(INDEX(Projects[Systems Eng],485)))</f>
        <v/>
      </c>
      <c r="BN486" s="5">
        <f>IF(A486="","",N(INDEX(Projects[Mechanical Eng],485)))</f>
        <v/>
      </c>
      <c r="BO486" s="5">
        <f>IF(A486="","",N(INDEX(Projects[Structural Engineering],485)))</f>
        <v/>
      </c>
      <c r="BP486" s="5">
        <f>IF(A486="","",N(INDEX(Projects[Site Sup],485)))</f>
        <v/>
      </c>
      <c r="BQ486" s="5">
        <f>IF(A486="","",N(INDEX(Projects[Controls Commissioning],485)))</f>
        <v/>
      </c>
      <c r="BR486" s="5">
        <f>IF(A486="","",N(INDEX(Projects[Systems Commissioning],485)))</f>
        <v/>
      </c>
      <c r="BS486" s="5">
        <f>IF(A486="","",N(INDEX(Projects[Service Commissioning],485)))</f>
        <v/>
      </c>
      <c r="BT486" s="5">
        <f>IF(A486="","",N(INDEX(Projects[Controls Eng],485)))</f>
        <v/>
      </c>
      <c r="BU486" s="5">
        <f>IF(A486="","",N(INDEX(Projects[Controls Purchase],485)))</f>
        <v/>
      </c>
      <c r="BV486" s="5">
        <f>IF(A486="","",N(INDEX(Projects[Software Eng],485)))</f>
        <v/>
      </c>
      <c r="BW486" s="5">
        <f>IF(A486="","",N(INDEX(Projects[Misc],485)))</f>
        <v/>
      </c>
      <c r="BX486" s="5">
        <f>IF(A486="","",SUM(BJ486:BW486))</f>
        <v/>
      </c>
      <c r="BY486" s="5">
        <f>IF(A486="","",IFERROR(IF(ISNUMBER(U486),U486,VALUE(SUBSTITUTE(SUBSTITUTE(SUBSTITUTE(UPPER(TRIM(U486)),"M",""),",","")," ",""))),0))</f>
        <v/>
      </c>
      <c r="BZ486" s="5">
        <f>INDEX(Projects[Solution Type],485)&amp;""</f>
        <v/>
      </c>
      <c r="CA486" s="5">
        <f>INDEX(Projects[Client / Region],485)&amp;""</f>
        <v/>
      </c>
      <c r="CB486" s="5">
        <f>INDEX(Projects[Year],485)</f>
        <v/>
      </c>
      <c r="CC486" s="5">
        <f>INDEX(Projects[Won?],485)&amp;""</f>
        <v/>
      </c>
      <c r="CD486" s="5">
        <f>INDEX(Projects[Value (USD M)],485)</f>
        <v/>
      </c>
    </row>
    <row r="487" ht="15" customHeight="1" s="74">
      <c r="A487" s="66">
        <f>INDEX(Projects[Project ID *],486)&amp;""</f>
        <v/>
      </c>
      <c r="B487" s="66">
        <f>INDEX(Projects[Project Name *],486)&amp;""</f>
        <v/>
      </c>
      <c r="C487" s="66">
        <f>INDEX(Projects[MS Shuttles],486)</f>
        <v/>
      </c>
      <c r="D487" s="66">
        <f>INDEX(Projects[MS Tote Locations],486)</f>
        <v/>
      </c>
      <c r="E487" s="66">
        <f>INDEX(Projects[AS Robots],486)</f>
        <v/>
      </c>
      <c r="F487" s="66">
        <f>INDEX(Projects[AS Tote Locations],486)</f>
        <v/>
      </c>
      <c r="G487" s="66">
        <f>INDEX(Projects[PS Shuttles],486)</f>
        <v/>
      </c>
      <c r="H487" s="66">
        <f>INDEX(Projects[PS Pallet Locations],486)</f>
        <v/>
      </c>
      <c r="I487" s="66">
        <f>INDEX(Projects[SRM Cranes],486)</f>
        <v/>
      </c>
      <c r="J487" s="66">
        <f>INDEX(Projects[SRM Pallet Locations],486)</f>
        <v/>
      </c>
      <c r="K487" s="66">
        <f>INDEX(Projects[Case Conv (m)],486)</f>
        <v/>
      </c>
      <c r="L487" s="66">
        <f>INDEX(Projects[Pallet Conv (m)],486)</f>
        <v/>
      </c>
      <c r="M487" s="66">
        <f>INDEX(Projects[Mech Eng (wks)],486)</f>
        <v/>
      </c>
      <c r="N487" s="66">
        <f>INDEX(Projects[Controls Eng (wks)],486)</f>
        <v/>
      </c>
      <c r="O487" s="66">
        <f>INDEX(Projects[Systems Eng (wks)],486)</f>
        <v/>
      </c>
      <c r="P487" s="66">
        <f>INDEX(Projects[Software Eng (wks)],486)</f>
        <v/>
      </c>
      <c r="Q487" s="66">
        <f>INDEX(Projects[M&amp;E Installation (wks)],486)</f>
        <v/>
      </c>
      <c r="R487" s="66">
        <f>INDEX(Projects[Commissioning (wks)],486)</f>
        <v/>
      </c>
      <c r="S487" s="66">
        <f>INDEX(Projects[Total Timeline (wks)],486)</f>
        <v/>
      </c>
      <c r="T487" s="66">
        <f>INDEX(Projects[Currency],486)&amp;""</f>
        <v/>
      </c>
      <c r="U487" s="67">
        <f>INDEX(Projects[Value (M)],486)</f>
        <v/>
      </c>
      <c r="V487" s="66">
        <f>IF('Smart Search'!B13=1,IFERROR(1/'Smart Search'!H13,0),0)</f>
        <v/>
      </c>
      <c r="W487" s="66">
        <f>IF('Smart Search'!B13=1,IFERROR(1/'Smart Search'!H13,0),0)</f>
        <v/>
      </c>
      <c r="X487" s="66">
        <f>IF('Smart Search'!C13=1,IFERROR(1/'Smart Search'!H13,0),0)</f>
        <v/>
      </c>
      <c r="Y487" s="66">
        <f>IF('Smart Search'!C13=1,IFERROR(1/'Smart Search'!H13,0),0)</f>
        <v/>
      </c>
      <c r="Z487" s="66">
        <f>IF('Smart Search'!D13=1,IFERROR(1/'Smart Search'!H13,0),0)</f>
        <v/>
      </c>
      <c r="AA487" s="66">
        <f>IF('Smart Search'!D13=1,IFERROR(1/'Smart Search'!H13,0),0)</f>
        <v/>
      </c>
      <c r="AB487" s="66">
        <f>IF('Smart Search'!E13=1,IFERROR(1/'Smart Search'!H13,0),0)</f>
        <v/>
      </c>
      <c r="AC487" s="66">
        <f>IF('Smart Search'!E13=1,IFERROR(1/'Smart Search'!H13,0),0)</f>
        <v/>
      </c>
      <c r="AD487" s="66">
        <f>IF('Smart Search'!F13=1,IFERROR(1/'Smart Search'!H13,0),0)</f>
        <v/>
      </c>
      <c r="AE487" s="66">
        <f>IF('Smart Search'!F13=1,IFERROR(1/'Smart Search'!H13,0),0)</f>
        <v/>
      </c>
      <c r="AF487" s="66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66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66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66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66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66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66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66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66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66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66">
        <f>AF487*V487</f>
        <v/>
      </c>
      <c r="AQ487" s="66">
        <f>AG487*W487</f>
        <v/>
      </c>
      <c r="AR487" s="66">
        <f>AH487*X487</f>
        <v/>
      </c>
      <c r="AS487" s="66">
        <f>AI487*Y487</f>
        <v/>
      </c>
      <c r="AT487" s="66">
        <f>AJ487*Z487</f>
        <v/>
      </c>
      <c r="AU487" s="66">
        <f>AK487*AA487</f>
        <v/>
      </c>
      <c r="AV487" s="66">
        <f>AL487*AB487</f>
        <v/>
      </c>
      <c r="AW487" s="66">
        <f>AM487*AC487</f>
        <v/>
      </c>
      <c r="AX487" s="66">
        <f>AN487*AD487</f>
        <v/>
      </c>
      <c r="AY487" s="66">
        <f>AO487*AE487</f>
        <v/>
      </c>
      <c r="AZ487" s="66">
        <f>INDEX(Projects[Automation Equipment],486)&amp;""</f>
        <v/>
      </c>
      <c r="BA487" s="66">
        <f>IF(OR(A487="",'Smart Search'!H13=0),"",MAX(0,BE487*BF487*MAX(0,1-BG487)))</f>
        <v/>
      </c>
      <c r="BB487" s="66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66">
        <f>IF('Smart Search'!G13=1,IFERROR(1/'Smart Search'!H13,0),0)</f>
        <v/>
      </c>
      <c r="BD487" s="66">
        <f>BB487*BC487</f>
        <v/>
      </c>
      <c r="BE487" s="66">
        <f>AP487+AQ487+AR487+AS487+AT487+AU487+AV487+AW487+AX487+AY487+BD487</f>
        <v/>
      </c>
      <c r="BF487" s="5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5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5">
        <f>IF(AND(A487&lt;&gt;"",OR('Smart Search'!$L$5="",'Smart Search'!$L$5="All",TRIM(BZ487)=TRIM('Smart Search'!$L$5)),OR(TRIM('Smart Search'!$L$6)="",TRIM('Smart Search'!$L$6)="All",ISNUMBER(SEARCH(SUBSTITUTE(SUBSTITUTE(SUBSTITUTE(TRIM('Smart Search'!$L$6),"~","~~"),"*","~*"),"?","~?"),CA487))),OR('Smart Search'!$L$7="",AND(CB487&lt;&gt;0,CB487='Smart Search'!$L$7)),OR('Smart Search'!$L$8="",'Smart Search'!$L$8="All",TRIM(CC487)=TRIM('Smart Search'!$L$8))),IF(BA487="","",BA487+ROW()*0.0000000001),"")</f>
        <v/>
      </c>
      <c r="BI487" s="5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5">
        <f>IF(A487="","",N(INDEX(Projects[Mech Inst],486)))</f>
        <v/>
      </c>
      <c r="BK487" s="5">
        <f>IF(A487="","",N(INDEX(Projects[Elec Inst],486)))</f>
        <v/>
      </c>
      <c r="BL487" s="5">
        <f>IF(A487="","",N(INDEX(Projects[Project Management],486)))</f>
        <v/>
      </c>
      <c r="BM487" s="5">
        <f>IF(A487="","",N(INDEX(Projects[Systems Eng],486)))</f>
        <v/>
      </c>
      <c r="BN487" s="5">
        <f>IF(A487="","",N(INDEX(Projects[Mechanical Eng],486)))</f>
        <v/>
      </c>
      <c r="BO487" s="5">
        <f>IF(A487="","",N(INDEX(Projects[Structural Engineering],486)))</f>
        <v/>
      </c>
      <c r="BP487" s="5">
        <f>IF(A487="","",N(INDEX(Projects[Site Sup],486)))</f>
        <v/>
      </c>
      <c r="BQ487" s="5">
        <f>IF(A487="","",N(INDEX(Projects[Controls Commissioning],486)))</f>
        <v/>
      </c>
      <c r="BR487" s="5">
        <f>IF(A487="","",N(INDEX(Projects[Systems Commissioning],486)))</f>
        <v/>
      </c>
      <c r="BS487" s="5">
        <f>IF(A487="","",N(INDEX(Projects[Service Commissioning],486)))</f>
        <v/>
      </c>
      <c r="BT487" s="5">
        <f>IF(A487="","",N(INDEX(Projects[Controls Eng],486)))</f>
        <v/>
      </c>
      <c r="BU487" s="5">
        <f>IF(A487="","",N(INDEX(Projects[Controls Purchase],486)))</f>
        <v/>
      </c>
      <c r="BV487" s="5">
        <f>IF(A487="","",N(INDEX(Projects[Software Eng],486)))</f>
        <v/>
      </c>
      <c r="BW487" s="5">
        <f>IF(A487="","",N(INDEX(Projects[Misc],486)))</f>
        <v/>
      </c>
      <c r="BX487" s="5">
        <f>IF(A487="","",SUM(BJ487:BW487))</f>
        <v/>
      </c>
      <c r="BY487" s="5">
        <f>IF(A487="","",IFERROR(IF(ISNUMBER(U487),U487,VALUE(SUBSTITUTE(SUBSTITUTE(SUBSTITUTE(UPPER(TRIM(U487)),"M",""),",","")," ",""))),0))</f>
        <v/>
      </c>
      <c r="BZ487" s="5">
        <f>INDEX(Projects[Solution Type],486)&amp;""</f>
        <v/>
      </c>
      <c r="CA487" s="5">
        <f>INDEX(Projects[Client / Region],486)&amp;""</f>
        <v/>
      </c>
      <c r="CB487" s="5">
        <f>INDEX(Projects[Year],486)</f>
        <v/>
      </c>
      <c r="CC487" s="5">
        <f>INDEX(Projects[Won?],486)&amp;""</f>
        <v/>
      </c>
      <c r="CD487" s="5">
        <f>INDEX(Projects[Value (USD M)],486)</f>
        <v/>
      </c>
    </row>
    <row r="488" ht="15" customHeight="1" s="74">
      <c r="A488" s="66">
        <f>INDEX(Projects[Project ID *],487)&amp;""</f>
        <v/>
      </c>
      <c r="B488" s="66">
        <f>INDEX(Projects[Project Name *],487)&amp;""</f>
        <v/>
      </c>
      <c r="C488" s="66">
        <f>INDEX(Projects[MS Shuttles],487)</f>
        <v/>
      </c>
      <c r="D488" s="66">
        <f>INDEX(Projects[MS Tote Locations],487)</f>
        <v/>
      </c>
      <c r="E488" s="66">
        <f>INDEX(Projects[AS Robots],487)</f>
        <v/>
      </c>
      <c r="F488" s="66">
        <f>INDEX(Projects[AS Tote Locations],487)</f>
        <v/>
      </c>
      <c r="G488" s="66">
        <f>INDEX(Projects[PS Shuttles],487)</f>
        <v/>
      </c>
      <c r="H488" s="66">
        <f>INDEX(Projects[PS Pallet Locations],487)</f>
        <v/>
      </c>
      <c r="I488" s="66">
        <f>INDEX(Projects[SRM Cranes],487)</f>
        <v/>
      </c>
      <c r="J488" s="66">
        <f>INDEX(Projects[SRM Pallet Locations],487)</f>
        <v/>
      </c>
      <c r="K488" s="66">
        <f>INDEX(Projects[Case Conv (m)],487)</f>
        <v/>
      </c>
      <c r="L488" s="66">
        <f>INDEX(Projects[Pallet Conv (m)],487)</f>
        <v/>
      </c>
      <c r="M488" s="66">
        <f>INDEX(Projects[Mech Eng (wks)],487)</f>
        <v/>
      </c>
      <c r="N488" s="66">
        <f>INDEX(Projects[Controls Eng (wks)],487)</f>
        <v/>
      </c>
      <c r="O488" s="66">
        <f>INDEX(Projects[Systems Eng (wks)],487)</f>
        <v/>
      </c>
      <c r="P488" s="66">
        <f>INDEX(Projects[Software Eng (wks)],487)</f>
        <v/>
      </c>
      <c r="Q488" s="66">
        <f>INDEX(Projects[M&amp;E Installation (wks)],487)</f>
        <v/>
      </c>
      <c r="R488" s="66">
        <f>INDEX(Projects[Commissioning (wks)],487)</f>
        <v/>
      </c>
      <c r="S488" s="66">
        <f>INDEX(Projects[Total Timeline (wks)],487)</f>
        <v/>
      </c>
      <c r="T488" s="66">
        <f>INDEX(Projects[Currency],487)&amp;""</f>
        <v/>
      </c>
      <c r="U488" s="67">
        <f>INDEX(Projects[Value (M)],487)</f>
        <v/>
      </c>
      <c r="V488" s="66">
        <f>IF('Smart Search'!B13=1,IFERROR(1/'Smart Search'!H13,0),0)</f>
        <v/>
      </c>
      <c r="W488" s="66">
        <f>IF('Smart Search'!B13=1,IFERROR(1/'Smart Search'!H13,0),0)</f>
        <v/>
      </c>
      <c r="X488" s="66">
        <f>IF('Smart Search'!C13=1,IFERROR(1/'Smart Search'!H13,0),0)</f>
        <v/>
      </c>
      <c r="Y488" s="66">
        <f>IF('Smart Search'!C13=1,IFERROR(1/'Smart Search'!H13,0),0)</f>
        <v/>
      </c>
      <c r="Z488" s="66">
        <f>IF('Smart Search'!D13=1,IFERROR(1/'Smart Search'!H13,0),0)</f>
        <v/>
      </c>
      <c r="AA488" s="66">
        <f>IF('Smart Search'!D13=1,IFERROR(1/'Smart Search'!H13,0),0)</f>
        <v/>
      </c>
      <c r="AB488" s="66">
        <f>IF('Smart Search'!E13=1,IFERROR(1/'Smart Search'!H13,0),0)</f>
        <v/>
      </c>
      <c r="AC488" s="66">
        <f>IF('Smart Search'!E13=1,IFERROR(1/'Smart Search'!H13,0),0)</f>
        <v/>
      </c>
      <c r="AD488" s="66">
        <f>IF('Smart Search'!F13=1,IFERROR(1/'Smart Search'!H13,0),0)</f>
        <v/>
      </c>
      <c r="AE488" s="66">
        <f>IF('Smart Search'!F13=1,IFERROR(1/'Smart Search'!H13,0),0)</f>
        <v/>
      </c>
      <c r="AF488" s="66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66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66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66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66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66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66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66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66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66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66">
        <f>AF488*V488</f>
        <v/>
      </c>
      <c r="AQ488" s="66">
        <f>AG488*W488</f>
        <v/>
      </c>
      <c r="AR488" s="66">
        <f>AH488*X488</f>
        <v/>
      </c>
      <c r="AS488" s="66">
        <f>AI488*Y488</f>
        <v/>
      </c>
      <c r="AT488" s="66">
        <f>AJ488*Z488</f>
        <v/>
      </c>
      <c r="AU488" s="66">
        <f>AK488*AA488</f>
        <v/>
      </c>
      <c r="AV488" s="66">
        <f>AL488*AB488</f>
        <v/>
      </c>
      <c r="AW488" s="66">
        <f>AM488*AC488</f>
        <v/>
      </c>
      <c r="AX488" s="66">
        <f>AN488*AD488</f>
        <v/>
      </c>
      <c r="AY488" s="66">
        <f>AO488*AE488</f>
        <v/>
      </c>
      <c r="AZ488" s="66">
        <f>INDEX(Projects[Automation Equipment],487)&amp;""</f>
        <v/>
      </c>
      <c r="BA488" s="66">
        <f>IF(OR(A488="",'Smart Search'!H13=0),"",MAX(0,BE488*BF488*MAX(0,1-BG488)))</f>
        <v/>
      </c>
      <c r="BB488" s="66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66">
        <f>IF('Smart Search'!G13=1,IFERROR(1/'Smart Search'!H13,0),0)</f>
        <v/>
      </c>
      <c r="BD488" s="66">
        <f>BB488*BC488</f>
        <v/>
      </c>
      <c r="BE488" s="66">
        <f>AP488+AQ488+AR488+AS488+AT488+AU488+AV488+AW488+AX488+AY488+BD488</f>
        <v/>
      </c>
      <c r="BF488" s="5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5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5">
        <f>IF(AND(A488&lt;&gt;"",OR('Smart Search'!$L$5="",'Smart Search'!$L$5="All",TRIM(BZ488)=TRIM('Smart Search'!$L$5)),OR(TRIM('Smart Search'!$L$6)="",TRIM('Smart Search'!$L$6)="All",ISNUMBER(SEARCH(SUBSTITUTE(SUBSTITUTE(SUBSTITUTE(TRIM('Smart Search'!$L$6),"~","~~"),"*","~*"),"?","~?"),CA488))),OR('Smart Search'!$L$7="",AND(CB488&lt;&gt;0,CB488='Smart Search'!$L$7)),OR('Smart Search'!$L$8="",'Smart Search'!$L$8="All",TRIM(CC488)=TRIM('Smart Search'!$L$8))),IF(BA488="","",BA488+ROW()*0.0000000001),"")</f>
        <v/>
      </c>
      <c r="BI488" s="5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5">
        <f>IF(A488="","",N(INDEX(Projects[Mech Inst],487)))</f>
        <v/>
      </c>
      <c r="BK488" s="5">
        <f>IF(A488="","",N(INDEX(Projects[Elec Inst],487)))</f>
        <v/>
      </c>
      <c r="BL488" s="5">
        <f>IF(A488="","",N(INDEX(Projects[Project Management],487)))</f>
        <v/>
      </c>
      <c r="BM488" s="5">
        <f>IF(A488="","",N(INDEX(Projects[Systems Eng],487)))</f>
        <v/>
      </c>
      <c r="BN488" s="5">
        <f>IF(A488="","",N(INDEX(Projects[Mechanical Eng],487)))</f>
        <v/>
      </c>
      <c r="BO488" s="5">
        <f>IF(A488="","",N(INDEX(Projects[Structural Engineering],487)))</f>
        <v/>
      </c>
      <c r="BP488" s="5">
        <f>IF(A488="","",N(INDEX(Projects[Site Sup],487)))</f>
        <v/>
      </c>
      <c r="BQ488" s="5">
        <f>IF(A488="","",N(INDEX(Projects[Controls Commissioning],487)))</f>
        <v/>
      </c>
      <c r="BR488" s="5">
        <f>IF(A488="","",N(INDEX(Projects[Systems Commissioning],487)))</f>
        <v/>
      </c>
      <c r="BS488" s="5">
        <f>IF(A488="","",N(INDEX(Projects[Service Commissioning],487)))</f>
        <v/>
      </c>
      <c r="BT488" s="5">
        <f>IF(A488="","",N(INDEX(Projects[Controls Eng],487)))</f>
        <v/>
      </c>
      <c r="BU488" s="5">
        <f>IF(A488="","",N(INDEX(Projects[Controls Purchase],487)))</f>
        <v/>
      </c>
      <c r="BV488" s="5">
        <f>IF(A488="","",N(INDEX(Projects[Software Eng],487)))</f>
        <v/>
      </c>
      <c r="BW488" s="5">
        <f>IF(A488="","",N(INDEX(Projects[Misc],487)))</f>
        <v/>
      </c>
      <c r="BX488" s="5">
        <f>IF(A488="","",SUM(BJ488:BW488))</f>
        <v/>
      </c>
      <c r="BY488" s="5">
        <f>IF(A488="","",IFERROR(IF(ISNUMBER(U488),U488,VALUE(SUBSTITUTE(SUBSTITUTE(SUBSTITUTE(UPPER(TRIM(U488)),"M",""),",","")," ",""))),0))</f>
        <v/>
      </c>
      <c r="BZ488" s="5">
        <f>INDEX(Projects[Solution Type],487)&amp;""</f>
        <v/>
      </c>
      <c r="CA488" s="5">
        <f>INDEX(Projects[Client / Region],487)&amp;""</f>
        <v/>
      </c>
      <c r="CB488" s="5">
        <f>INDEX(Projects[Year],487)</f>
        <v/>
      </c>
      <c r="CC488" s="5">
        <f>INDEX(Projects[Won?],487)&amp;""</f>
        <v/>
      </c>
      <c r="CD488" s="5">
        <f>INDEX(Projects[Value (USD M)],487)</f>
        <v/>
      </c>
    </row>
    <row r="489" ht="15" customHeight="1" s="74">
      <c r="A489" s="66">
        <f>INDEX(Projects[Project ID *],488)&amp;""</f>
        <v/>
      </c>
      <c r="B489" s="66">
        <f>INDEX(Projects[Project Name *],488)&amp;""</f>
        <v/>
      </c>
      <c r="C489" s="66">
        <f>INDEX(Projects[MS Shuttles],488)</f>
        <v/>
      </c>
      <c r="D489" s="66">
        <f>INDEX(Projects[MS Tote Locations],488)</f>
        <v/>
      </c>
      <c r="E489" s="66">
        <f>INDEX(Projects[AS Robots],488)</f>
        <v/>
      </c>
      <c r="F489" s="66">
        <f>INDEX(Projects[AS Tote Locations],488)</f>
        <v/>
      </c>
      <c r="G489" s="66">
        <f>INDEX(Projects[PS Shuttles],488)</f>
        <v/>
      </c>
      <c r="H489" s="66">
        <f>INDEX(Projects[PS Pallet Locations],488)</f>
        <v/>
      </c>
      <c r="I489" s="66">
        <f>INDEX(Projects[SRM Cranes],488)</f>
        <v/>
      </c>
      <c r="J489" s="66">
        <f>INDEX(Projects[SRM Pallet Locations],488)</f>
        <v/>
      </c>
      <c r="K489" s="66">
        <f>INDEX(Projects[Case Conv (m)],488)</f>
        <v/>
      </c>
      <c r="L489" s="66">
        <f>INDEX(Projects[Pallet Conv (m)],488)</f>
        <v/>
      </c>
      <c r="M489" s="66">
        <f>INDEX(Projects[Mech Eng (wks)],488)</f>
        <v/>
      </c>
      <c r="N489" s="66">
        <f>INDEX(Projects[Controls Eng (wks)],488)</f>
        <v/>
      </c>
      <c r="O489" s="66">
        <f>INDEX(Projects[Systems Eng (wks)],488)</f>
        <v/>
      </c>
      <c r="P489" s="66">
        <f>INDEX(Projects[Software Eng (wks)],488)</f>
        <v/>
      </c>
      <c r="Q489" s="66">
        <f>INDEX(Projects[M&amp;E Installation (wks)],488)</f>
        <v/>
      </c>
      <c r="R489" s="66">
        <f>INDEX(Projects[Commissioning (wks)],488)</f>
        <v/>
      </c>
      <c r="S489" s="66">
        <f>INDEX(Projects[Total Timeline (wks)],488)</f>
        <v/>
      </c>
      <c r="T489" s="66">
        <f>INDEX(Projects[Currency],488)&amp;""</f>
        <v/>
      </c>
      <c r="U489" s="67">
        <f>INDEX(Projects[Value (M)],488)</f>
        <v/>
      </c>
      <c r="V489" s="66">
        <f>IF('Smart Search'!B13=1,IFERROR(1/'Smart Search'!H13,0),0)</f>
        <v/>
      </c>
      <c r="W489" s="66">
        <f>IF('Smart Search'!B13=1,IFERROR(1/'Smart Search'!H13,0),0)</f>
        <v/>
      </c>
      <c r="X489" s="66">
        <f>IF('Smart Search'!C13=1,IFERROR(1/'Smart Search'!H13,0),0)</f>
        <v/>
      </c>
      <c r="Y489" s="66">
        <f>IF('Smart Search'!C13=1,IFERROR(1/'Smart Search'!H13,0),0)</f>
        <v/>
      </c>
      <c r="Z489" s="66">
        <f>IF('Smart Search'!D13=1,IFERROR(1/'Smart Search'!H13,0),0)</f>
        <v/>
      </c>
      <c r="AA489" s="66">
        <f>IF('Smart Search'!D13=1,IFERROR(1/'Smart Search'!H13,0),0)</f>
        <v/>
      </c>
      <c r="AB489" s="66">
        <f>IF('Smart Search'!E13=1,IFERROR(1/'Smart Search'!H13,0),0)</f>
        <v/>
      </c>
      <c r="AC489" s="66">
        <f>IF('Smart Search'!E13=1,IFERROR(1/'Smart Search'!H13,0),0)</f>
        <v/>
      </c>
      <c r="AD489" s="66">
        <f>IF('Smart Search'!F13=1,IFERROR(1/'Smart Search'!H13,0),0)</f>
        <v/>
      </c>
      <c r="AE489" s="66">
        <f>IF('Smart Search'!F13=1,IFERROR(1/'Smart Search'!H13,0),0)</f>
        <v/>
      </c>
      <c r="AF489" s="66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66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66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66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66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66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66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66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66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66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66">
        <f>AF489*V489</f>
        <v/>
      </c>
      <c r="AQ489" s="66">
        <f>AG489*W489</f>
        <v/>
      </c>
      <c r="AR489" s="66">
        <f>AH489*X489</f>
        <v/>
      </c>
      <c r="AS489" s="66">
        <f>AI489*Y489</f>
        <v/>
      </c>
      <c r="AT489" s="66">
        <f>AJ489*Z489</f>
        <v/>
      </c>
      <c r="AU489" s="66">
        <f>AK489*AA489</f>
        <v/>
      </c>
      <c r="AV489" s="66">
        <f>AL489*AB489</f>
        <v/>
      </c>
      <c r="AW489" s="66">
        <f>AM489*AC489</f>
        <v/>
      </c>
      <c r="AX489" s="66">
        <f>AN489*AD489</f>
        <v/>
      </c>
      <c r="AY489" s="66">
        <f>AO489*AE489</f>
        <v/>
      </c>
      <c r="AZ489" s="66">
        <f>INDEX(Projects[Automation Equipment],488)&amp;""</f>
        <v/>
      </c>
      <c r="BA489" s="66">
        <f>IF(OR(A489="",'Smart Search'!H13=0),"",MAX(0,BE489*BF489*MAX(0,1-BG489)))</f>
        <v/>
      </c>
      <c r="BB489" s="66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66">
        <f>IF('Smart Search'!G13=1,IFERROR(1/'Smart Search'!H13,0),0)</f>
        <v/>
      </c>
      <c r="BD489" s="66">
        <f>BB489*BC489</f>
        <v/>
      </c>
      <c r="BE489" s="66">
        <f>AP489+AQ489+AR489+AS489+AT489+AU489+AV489+AW489+AX489+AY489+BD489</f>
        <v/>
      </c>
      <c r="BF489" s="5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5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5">
        <f>IF(AND(A489&lt;&gt;"",OR('Smart Search'!$L$5="",'Smart Search'!$L$5="All",TRIM(BZ489)=TRIM('Smart Search'!$L$5)),OR(TRIM('Smart Search'!$L$6)="",TRIM('Smart Search'!$L$6)="All",ISNUMBER(SEARCH(SUBSTITUTE(SUBSTITUTE(SUBSTITUTE(TRIM('Smart Search'!$L$6),"~","~~"),"*","~*"),"?","~?"),CA489))),OR('Smart Search'!$L$7="",AND(CB489&lt;&gt;0,CB489='Smart Search'!$L$7)),OR('Smart Search'!$L$8="",'Smart Search'!$L$8="All",TRIM(CC489)=TRIM('Smart Search'!$L$8))),IF(BA489="","",BA489+ROW()*0.0000000001),"")</f>
        <v/>
      </c>
      <c r="BI489" s="5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5">
        <f>IF(A489="","",N(INDEX(Projects[Mech Inst],488)))</f>
        <v/>
      </c>
      <c r="BK489" s="5">
        <f>IF(A489="","",N(INDEX(Projects[Elec Inst],488)))</f>
        <v/>
      </c>
      <c r="BL489" s="5">
        <f>IF(A489="","",N(INDEX(Projects[Project Management],488)))</f>
        <v/>
      </c>
      <c r="BM489" s="5">
        <f>IF(A489="","",N(INDEX(Projects[Systems Eng],488)))</f>
        <v/>
      </c>
      <c r="BN489" s="5">
        <f>IF(A489="","",N(INDEX(Projects[Mechanical Eng],488)))</f>
        <v/>
      </c>
      <c r="BO489" s="5">
        <f>IF(A489="","",N(INDEX(Projects[Structural Engineering],488)))</f>
        <v/>
      </c>
      <c r="BP489" s="5">
        <f>IF(A489="","",N(INDEX(Projects[Site Sup],488)))</f>
        <v/>
      </c>
      <c r="BQ489" s="5">
        <f>IF(A489="","",N(INDEX(Projects[Controls Commissioning],488)))</f>
        <v/>
      </c>
      <c r="BR489" s="5">
        <f>IF(A489="","",N(INDEX(Projects[Systems Commissioning],488)))</f>
        <v/>
      </c>
      <c r="BS489" s="5">
        <f>IF(A489="","",N(INDEX(Projects[Service Commissioning],488)))</f>
        <v/>
      </c>
      <c r="BT489" s="5">
        <f>IF(A489="","",N(INDEX(Projects[Controls Eng],488)))</f>
        <v/>
      </c>
      <c r="BU489" s="5">
        <f>IF(A489="","",N(INDEX(Projects[Controls Purchase],488)))</f>
        <v/>
      </c>
      <c r="BV489" s="5">
        <f>IF(A489="","",N(INDEX(Projects[Software Eng],488)))</f>
        <v/>
      </c>
      <c r="BW489" s="5">
        <f>IF(A489="","",N(INDEX(Projects[Misc],488)))</f>
        <v/>
      </c>
      <c r="BX489" s="5">
        <f>IF(A489="","",SUM(BJ489:BW489))</f>
        <v/>
      </c>
      <c r="BY489" s="5">
        <f>IF(A489="","",IFERROR(IF(ISNUMBER(U489),U489,VALUE(SUBSTITUTE(SUBSTITUTE(SUBSTITUTE(UPPER(TRIM(U489)),"M",""),",","")," ",""))),0))</f>
        <v/>
      </c>
      <c r="BZ489" s="5">
        <f>INDEX(Projects[Solution Type],488)&amp;""</f>
        <v/>
      </c>
      <c r="CA489" s="5">
        <f>INDEX(Projects[Client / Region],488)&amp;""</f>
        <v/>
      </c>
      <c r="CB489" s="5">
        <f>INDEX(Projects[Year],488)</f>
        <v/>
      </c>
      <c r="CC489" s="5">
        <f>INDEX(Projects[Won?],488)&amp;""</f>
        <v/>
      </c>
      <c r="CD489" s="5">
        <f>INDEX(Projects[Value (USD M)],488)</f>
        <v/>
      </c>
    </row>
    <row r="490" ht="15" customHeight="1" s="74">
      <c r="A490" s="66">
        <f>INDEX(Projects[Project ID *],489)&amp;""</f>
        <v/>
      </c>
      <c r="B490" s="66">
        <f>INDEX(Projects[Project Name *],489)&amp;""</f>
        <v/>
      </c>
      <c r="C490" s="66">
        <f>INDEX(Projects[MS Shuttles],489)</f>
        <v/>
      </c>
      <c r="D490" s="66">
        <f>INDEX(Projects[MS Tote Locations],489)</f>
        <v/>
      </c>
      <c r="E490" s="66">
        <f>INDEX(Projects[AS Robots],489)</f>
        <v/>
      </c>
      <c r="F490" s="66">
        <f>INDEX(Projects[AS Tote Locations],489)</f>
        <v/>
      </c>
      <c r="G490" s="66">
        <f>INDEX(Projects[PS Shuttles],489)</f>
        <v/>
      </c>
      <c r="H490" s="66">
        <f>INDEX(Projects[PS Pallet Locations],489)</f>
        <v/>
      </c>
      <c r="I490" s="66">
        <f>INDEX(Projects[SRM Cranes],489)</f>
        <v/>
      </c>
      <c r="J490" s="66">
        <f>INDEX(Projects[SRM Pallet Locations],489)</f>
        <v/>
      </c>
      <c r="K490" s="66">
        <f>INDEX(Projects[Case Conv (m)],489)</f>
        <v/>
      </c>
      <c r="L490" s="66">
        <f>INDEX(Projects[Pallet Conv (m)],489)</f>
        <v/>
      </c>
      <c r="M490" s="66">
        <f>INDEX(Projects[Mech Eng (wks)],489)</f>
        <v/>
      </c>
      <c r="N490" s="66">
        <f>INDEX(Projects[Controls Eng (wks)],489)</f>
        <v/>
      </c>
      <c r="O490" s="66">
        <f>INDEX(Projects[Systems Eng (wks)],489)</f>
        <v/>
      </c>
      <c r="P490" s="66">
        <f>INDEX(Projects[Software Eng (wks)],489)</f>
        <v/>
      </c>
      <c r="Q490" s="66">
        <f>INDEX(Projects[M&amp;E Installation (wks)],489)</f>
        <v/>
      </c>
      <c r="R490" s="66">
        <f>INDEX(Projects[Commissioning (wks)],489)</f>
        <v/>
      </c>
      <c r="S490" s="66">
        <f>INDEX(Projects[Total Timeline (wks)],489)</f>
        <v/>
      </c>
      <c r="T490" s="66">
        <f>INDEX(Projects[Currency],489)&amp;""</f>
        <v/>
      </c>
      <c r="U490" s="67">
        <f>INDEX(Projects[Value (M)],489)</f>
        <v/>
      </c>
      <c r="V490" s="66">
        <f>IF('Smart Search'!B13=1,IFERROR(1/'Smart Search'!H13,0),0)</f>
        <v/>
      </c>
      <c r="W490" s="66">
        <f>IF('Smart Search'!B13=1,IFERROR(1/'Smart Search'!H13,0),0)</f>
        <v/>
      </c>
      <c r="X490" s="66">
        <f>IF('Smart Search'!C13=1,IFERROR(1/'Smart Search'!H13,0),0)</f>
        <v/>
      </c>
      <c r="Y490" s="66">
        <f>IF('Smart Search'!C13=1,IFERROR(1/'Smart Search'!H13,0),0)</f>
        <v/>
      </c>
      <c r="Z490" s="66">
        <f>IF('Smart Search'!D13=1,IFERROR(1/'Smart Search'!H13,0),0)</f>
        <v/>
      </c>
      <c r="AA490" s="66">
        <f>IF('Smart Search'!D13=1,IFERROR(1/'Smart Search'!H13,0),0)</f>
        <v/>
      </c>
      <c r="AB490" s="66">
        <f>IF('Smart Search'!E13=1,IFERROR(1/'Smart Search'!H13,0),0)</f>
        <v/>
      </c>
      <c r="AC490" s="66">
        <f>IF('Smart Search'!E13=1,IFERROR(1/'Smart Search'!H13,0),0)</f>
        <v/>
      </c>
      <c r="AD490" s="66">
        <f>IF('Smart Search'!F13=1,IFERROR(1/'Smart Search'!H13,0),0)</f>
        <v/>
      </c>
      <c r="AE490" s="66">
        <f>IF('Smart Search'!F13=1,IFERROR(1/'Smart Search'!H13,0),0)</f>
        <v/>
      </c>
      <c r="AF490" s="66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66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66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66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66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66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66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66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66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66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66">
        <f>AF490*V490</f>
        <v/>
      </c>
      <c r="AQ490" s="66">
        <f>AG490*W490</f>
        <v/>
      </c>
      <c r="AR490" s="66">
        <f>AH490*X490</f>
        <v/>
      </c>
      <c r="AS490" s="66">
        <f>AI490*Y490</f>
        <v/>
      </c>
      <c r="AT490" s="66">
        <f>AJ490*Z490</f>
        <v/>
      </c>
      <c r="AU490" s="66">
        <f>AK490*AA490</f>
        <v/>
      </c>
      <c r="AV490" s="66">
        <f>AL490*AB490</f>
        <v/>
      </c>
      <c r="AW490" s="66">
        <f>AM490*AC490</f>
        <v/>
      </c>
      <c r="AX490" s="66">
        <f>AN490*AD490</f>
        <v/>
      </c>
      <c r="AY490" s="66">
        <f>AO490*AE490</f>
        <v/>
      </c>
      <c r="AZ490" s="66">
        <f>INDEX(Projects[Automation Equipment],489)&amp;""</f>
        <v/>
      </c>
      <c r="BA490" s="66">
        <f>IF(OR(A490="",'Smart Search'!H13=0),"",MAX(0,BE490*BF490*MAX(0,1-BG490)))</f>
        <v/>
      </c>
      <c r="BB490" s="66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66">
        <f>IF('Smart Search'!G13=1,IFERROR(1/'Smart Search'!H13,0),0)</f>
        <v/>
      </c>
      <c r="BD490" s="66">
        <f>BB490*BC490</f>
        <v/>
      </c>
      <c r="BE490" s="66">
        <f>AP490+AQ490+AR490+AS490+AT490+AU490+AV490+AW490+AX490+AY490+BD490</f>
        <v/>
      </c>
      <c r="BF490" s="5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5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5">
        <f>IF(AND(A490&lt;&gt;"",OR('Smart Search'!$L$5="",'Smart Search'!$L$5="All",TRIM(BZ490)=TRIM('Smart Search'!$L$5)),OR(TRIM('Smart Search'!$L$6)="",TRIM('Smart Search'!$L$6)="All",ISNUMBER(SEARCH(SUBSTITUTE(SUBSTITUTE(SUBSTITUTE(TRIM('Smart Search'!$L$6),"~","~~"),"*","~*"),"?","~?"),CA490))),OR('Smart Search'!$L$7="",AND(CB490&lt;&gt;0,CB490='Smart Search'!$L$7)),OR('Smart Search'!$L$8="",'Smart Search'!$L$8="All",TRIM(CC490)=TRIM('Smart Search'!$L$8))),IF(BA490="","",BA490+ROW()*0.0000000001),"")</f>
        <v/>
      </c>
      <c r="BI490" s="5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5">
        <f>IF(A490="","",N(INDEX(Projects[Mech Inst],489)))</f>
        <v/>
      </c>
      <c r="BK490" s="5">
        <f>IF(A490="","",N(INDEX(Projects[Elec Inst],489)))</f>
        <v/>
      </c>
      <c r="BL490" s="5">
        <f>IF(A490="","",N(INDEX(Projects[Project Management],489)))</f>
        <v/>
      </c>
      <c r="BM490" s="5">
        <f>IF(A490="","",N(INDEX(Projects[Systems Eng],489)))</f>
        <v/>
      </c>
      <c r="BN490" s="5">
        <f>IF(A490="","",N(INDEX(Projects[Mechanical Eng],489)))</f>
        <v/>
      </c>
      <c r="BO490" s="5">
        <f>IF(A490="","",N(INDEX(Projects[Structural Engineering],489)))</f>
        <v/>
      </c>
      <c r="BP490" s="5">
        <f>IF(A490="","",N(INDEX(Projects[Site Sup],489)))</f>
        <v/>
      </c>
      <c r="BQ490" s="5">
        <f>IF(A490="","",N(INDEX(Projects[Controls Commissioning],489)))</f>
        <v/>
      </c>
      <c r="BR490" s="5">
        <f>IF(A490="","",N(INDEX(Projects[Systems Commissioning],489)))</f>
        <v/>
      </c>
      <c r="BS490" s="5">
        <f>IF(A490="","",N(INDEX(Projects[Service Commissioning],489)))</f>
        <v/>
      </c>
      <c r="BT490" s="5">
        <f>IF(A490="","",N(INDEX(Projects[Controls Eng],489)))</f>
        <v/>
      </c>
      <c r="BU490" s="5">
        <f>IF(A490="","",N(INDEX(Projects[Controls Purchase],489)))</f>
        <v/>
      </c>
      <c r="BV490" s="5">
        <f>IF(A490="","",N(INDEX(Projects[Software Eng],489)))</f>
        <v/>
      </c>
      <c r="BW490" s="5">
        <f>IF(A490="","",N(INDEX(Projects[Misc],489)))</f>
        <v/>
      </c>
      <c r="BX490" s="5">
        <f>IF(A490="","",SUM(BJ490:BW490))</f>
        <v/>
      </c>
      <c r="BY490" s="5">
        <f>IF(A490="","",IFERROR(IF(ISNUMBER(U490),U490,VALUE(SUBSTITUTE(SUBSTITUTE(SUBSTITUTE(UPPER(TRIM(U490)),"M",""),",","")," ",""))),0))</f>
        <v/>
      </c>
      <c r="BZ490" s="5">
        <f>INDEX(Projects[Solution Type],489)&amp;""</f>
        <v/>
      </c>
      <c r="CA490" s="5">
        <f>INDEX(Projects[Client / Region],489)&amp;""</f>
        <v/>
      </c>
      <c r="CB490" s="5">
        <f>INDEX(Projects[Year],489)</f>
        <v/>
      </c>
      <c r="CC490" s="5">
        <f>INDEX(Projects[Won?],489)&amp;""</f>
        <v/>
      </c>
      <c r="CD490" s="5">
        <f>INDEX(Projects[Value (USD M)],489)</f>
        <v/>
      </c>
    </row>
    <row r="491" ht="15" customHeight="1" s="74">
      <c r="A491" s="66">
        <f>INDEX(Projects[Project ID *],490)&amp;""</f>
        <v/>
      </c>
      <c r="B491" s="66">
        <f>INDEX(Projects[Project Name *],490)&amp;""</f>
        <v/>
      </c>
      <c r="C491" s="66">
        <f>INDEX(Projects[MS Shuttles],490)</f>
        <v/>
      </c>
      <c r="D491" s="66">
        <f>INDEX(Projects[MS Tote Locations],490)</f>
        <v/>
      </c>
      <c r="E491" s="66">
        <f>INDEX(Projects[AS Robots],490)</f>
        <v/>
      </c>
      <c r="F491" s="66">
        <f>INDEX(Projects[AS Tote Locations],490)</f>
        <v/>
      </c>
      <c r="G491" s="66">
        <f>INDEX(Projects[PS Shuttles],490)</f>
        <v/>
      </c>
      <c r="H491" s="66">
        <f>INDEX(Projects[PS Pallet Locations],490)</f>
        <v/>
      </c>
      <c r="I491" s="66">
        <f>INDEX(Projects[SRM Cranes],490)</f>
        <v/>
      </c>
      <c r="J491" s="66">
        <f>INDEX(Projects[SRM Pallet Locations],490)</f>
        <v/>
      </c>
      <c r="K491" s="66">
        <f>INDEX(Projects[Case Conv (m)],490)</f>
        <v/>
      </c>
      <c r="L491" s="66">
        <f>INDEX(Projects[Pallet Conv (m)],490)</f>
        <v/>
      </c>
      <c r="M491" s="66">
        <f>INDEX(Projects[Mech Eng (wks)],490)</f>
        <v/>
      </c>
      <c r="N491" s="66">
        <f>INDEX(Projects[Controls Eng (wks)],490)</f>
        <v/>
      </c>
      <c r="O491" s="66">
        <f>INDEX(Projects[Systems Eng (wks)],490)</f>
        <v/>
      </c>
      <c r="P491" s="66">
        <f>INDEX(Projects[Software Eng (wks)],490)</f>
        <v/>
      </c>
      <c r="Q491" s="66">
        <f>INDEX(Projects[M&amp;E Installation (wks)],490)</f>
        <v/>
      </c>
      <c r="R491" s="66">
        <f>INDEX(Projects[Commissioning (wks)],490)</f>
        <v/>
      </c>
      <c r="S491" s="66">
        <f>INDEX(Projects[Total Timeline (wks)],490)</f>
        <v/>
      </c>
      <c r="T491" s="66">
        <f>INDEX(Projects[Currency],490)&amp;""</f>
        <v/>
      </c>
      <c r="U491" s="67">
        <f>INDEX(Projects[Value (M)],490)</f>
        <v/>
      </c>
      <c r="V491" s="66">
        <f>IF('Smart Search'!B13=1,IFERROR(1/'Smart Search'!H13,0),0)</f>
        <v/>
      </c>
      <c r="W491" s="66">
        <f>IF('Smart Search'!B13=1,IFERROR(1/'Smart Search'!H13,0),0)</f>
        <v/>
      </c>
      <c r="X491" s="66">
        <f>IF('Smart Search'!C13=1,IFERROR(1/'Smart Search'!H13,0),0)</f>
        <v/>
      </c>
      <c r="Y491" s="66">
        <f>IF('Smart Search'!C13=1,IFERROR(1/'Smart Search'!H13,0),0)</f>
        <v/>
      </c>
      <c r="Z491" s="66">
        <f>IF('Smart Search'!D13=1,IFERROR(1/'Smart Search'!H13,0),0)</f>
        <v/>
      </c>
      <c r="AA491" s="66">
        <f>IF('Smart Search'!D13=1,IFERROR(1/'Smart Search'!H13,0),0)</f>
        <v/>
      </c>
      <c r="AB491" s="66">
        <f>IF('Smart Search'!E13=1,IFERROR(1/'Smart Search'!H13,0),0)</f>
        <v/>
      </c>
      <c r="AC491" s="66">
        <f>IF('Smart Search'!E13=1,IFERROR(1/'Smart Search'!H13,0),0)</f>
        <v/>
      </c>
      <c r="AD491" s="66">
        <f>IF('Smart Search'!F13=1,IFERROR(1/'Smart Search'!H13,0),0)</f>
        <v/>
      </c>
      <c r="AE491" s="66">
        <f>IF('Smart Search'!F13=1,IFERROR(1/'Smart Search'!H13,0),0)</f>
        <v/>
      </c>
      <c r="AF491" s="66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66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66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66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66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66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66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66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66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66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66">
        <f>AF491*V491</f>
        <v/>
      </c>
      <c r="AQ491" s="66">
        <f>AG491*W491</f>
        <v/>
      </c>
      <c r="AR491" s="66">
        <f>AH491*X491</f>
        <v/>
      </c>
      <c r="AS491" s="66">
        <f>AI491*Y491</f>
        <v/>
      </c>
      <c r="AT491" s="66">
        <f>AJ491*Z491</f>
        <v/>
      </c>
      <c r="AU491" s="66">
        <f>AK491*AA491</f>
        <v/>
      </c>
      <c r="AV491" s="66">
        <f>AL491*AB491</f>
        <v/>
      </c>
      <c r="AW491" s="66">
        <f>AM491*AC491</f>
        <v/>
      </c>
      <c r="AX491" s="66">
        <f>AN491*AD491</f>
        <v/>
      </c>
      <c r="AY491" s="66">
        <f>AO491*AE491</f>
        <v/>
      </c>
      <c r="AZ491" s="66">
        <f>INDEX(Projects[Automation Equipment],490)&amp;""</f>
        <v/>
      </c>
      <c r="BA491" s="66">
        <f>IF(OR(A491="",'Smart Search'!H13=0),"",MAX(0,BE491*BF491*MAX(0,1-BG491)))</f>
        <v/>
      </c>
      <c r="BB491" s="66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66">
        <f>IF('Smart Search'!G13=1,IFERROR(1/'Smart Search'!H13,0),0)</f>
        <v/>
      </c>
      <c r="BD491" s="66">
        <f>BB491*BC491</f>
        <v/>
      </c>
      <c r="BE491" s="66">
        <f>AP491+AQ491+AR491+AS491+AT491+AU491+AV491+AW491+AX491+AY491+BD491</f>
        <v/>
      </c>
      <c r="BF491" s="5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5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5">
        <f>IF(AND(A491&lt;&gt;"",OR('Smart Search'!$L$5="",'Smart Search'!$L$5="All",TRIM(BZ491)=TRIM('Smart Search'!$L$5)),OR(TRIM('Smart Search'!$L$6)="",TRIM('Smart Search'!$L$6)="All",ISNUMBER(SEARCH(SUBSTITUTE(SUBSTITUTE(SUBSTITUTE(TRIM('Smart Search'!$L$6),"~","~~"),"*","~*"),"?","~?"),CA491))),OR('Smart Search'!$L$7="",AND(CB491&lt;&gt;0,CB491='Smart Search'!$L$7)),OR('Smart Search'!$L$8="",'Smart Search'!$L$8="All",TRIM(CC491)=TRIM('Smart Search'!$L$8))),IF(BA491="","",BA491+ROW()*0.0000000001),"")</f>
        <v/>
      </c>
      <c r="BI491" s="5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5">
        <f>IF(A491="","",N(INDEX(Projects[Mech Inst],490)))</f>
        <v/>
      </c>
      <c r="BK491" s="5">
        <f>IF(A491="","",N(INDEX(Projects[Elec Inst],490)))</f>
        <v/>
      </c>
      <c r="BL491" s="5">
        <f>IF(A491="","",N(INDEX(Projects[Project Management],490)))</f>
        <v/>
      </c>
      <c r="BM491" s="5">
        <f>IF(A491="","",N(INDEX(Projects[Systems Eng],490)))</f>
        <v/>
      </c>
      <c r="BN491" s="5">
        <f>IF(A491="","",N(INDEX(Projects[Mechanical Eng],490)))</f>
        <v/>
      </c>
      <c r="BO491" s="5">
        <f>IF(A491="","",N(INDEX(Projects[Structural Engineering],490)))</f>
        <v/>
      </c>
      <c r="BP491" s="5">
        <f>IF(A491="","",N(INDEX(Projects[Site Sup],490)))</f>
        <v/>
      </c>
      <c r="BQ491" s="5">
        <f>IF(A491="","",N(INDEX(Projects[Controls Commissioning],490)))</f>
        <v/>
      </c>
      <c r="BR491" s="5">
        <f>IF(A491="","",N(INDEX(Projects[Systems Commissioning],490)))</f>
        <v/>
      </c>
      <c r="BS491" s="5">
        <f>IF(A491="","",N(INDEX(Projects[Service Commissioning],490)))</f>
        <v/>
      </c>
      <c r="BT491" s="5">
        <f>IF(A491="","",N(INDEX(Projects[Controls Eng],490)))</f>
        <v/>
      </c>
      <c r="BU491" s="5">
        <f>IF(A491="","",N(INDEX(Projects[Controls Purchase],490)))</f>
        <v/>
      </c>
      <c r="BV491" s="5">
        <f>IF(A491="","",N(INDEX(Projects[Software Eng],490)))</f>
        <v/>
      </c>
      <c r="BW491" s="5">
        <f>IF(A491="","",N(INDEX(Projects[Misc],490)))</f>
        <v/>
      </c>
      <c r="BX491" s="5">
        <f>IF(A491="","",SUM(BJ491:BW491))</f>
        <v/>
      </c>
      <c r="BY491" s="5">
        <f>IF(A491="","",IFERROR(IF(ISNUMBER(U491),U491,VALUE(SUBSTITUTE(SUBSTITUTE(SUBSTITUTE(UPPER(TRIM(U491)),"M",""),",","")," ",""))),0))</f>
        <v/>
      </c>
      <c r="BZ491" s="5">
        <f>INDEX(Projects[Solution Type],490)&amp;""</f>
        <v/>
      </c>
      <c r="CA491" s="5">
        <f>INDEX(Projects[Client / Region],490)&amp;""</f>
        <v/>
      </c>
      <c r="CB491" s="5">
        <f>INDEX(Projects[Year],490)</f>
        <v/>
      </c>
      <c r="CC491" s="5">
        <f>INDEX(Projects[Won?],490)&amp;""</f>
        <v/>
      </c>
      <c r="CD491" s="5">
        <f>INDEX(Projects[Value (USD M)],490)</f>
        <v/>
      </c>
    </row>
    <row r="492" ht="15" customHeight="1" s="74">
      <c r="A492" s="66">
        <f>INDEX(Projects[Project ID *],491)&amp;""</f>
        <v/>
      </c>
      <c r="B492" s="66">
        <f>INDEX(Projects[Project Name *],491)&amp;""</f>
        <v/>
      </c>
      <c r="C492" s="66">
        <f>INDEX(Projects[MS Shuttles],491)</f>
        <v/>
      </c>
      <c r="D492" s="66">
        <f>INDEX(Projects[MS Tote Locations],491)</f>
        <v/>
      </c>
      <c r="E492" s="66">
        <f>INDEX(Projects[AS Robots],491)</f>
        <v/>
      </c>
      <c r="F492" s="66">
        <f>INDEX(Projects[AS Tote Locations],491)</f>
        <v/>
      </c>
      <c r="G492" s="66">
        <f>INDEX(Projects[PS Shuttles],491)</f>
        <v/>
      </c>
      <c r="H492" s="66">
        <f>INDEX(Projects[PS Pallet Locations],491)</f>
        <v/>
      </c>
      <c r="I492" s="66">
        <f>INDEX(Projects[SRM Cranes],491)</f>
        <v/>
      </c>
      <c r="J492" s="66">
        <f>INDEX(Projects[SRM Pallet Locations],491)</f>
        <v/>
      </c>
      <c r="K492" s="66">
        <f>INDEX(Projects[Case Conv (m)],491)</f>
        <v/>
      </c>
      <c r="L492" s="66">
        <f>INDEX(Projects[Pallet Conv (m)],491)</f>
        <v/>
      </c>
      <c r="M492" s="66">
        <f>INDEX(Projects[Mech Eng (wks)],491)</f>
        <v/>
      </c>
      <c r="N492" s="66">
        <f>INDEX(Projects[Controls Eng (wks)],491)</f>
        <v/>
      </c>
      <c r="O492" s="66">
        <f>INDEX(Projects[Systems Eng (wks)],491)</f>
        <v/>
      </c>
      <c r="P492" s="66">
        <f>INDEX(Projects[Software Eng (wks)],491)</f>
        <v/>
      </c>
      <c r="Q492" s="66">
        <f>INDEX(Projects[M&amp;E Installation (wks)],491)</f>
        <v/>
      </c>
      <c r="R492" s="66">
        <f>INDEX(Projects[Commissioning (wks)],491)</f>
        <v/>
      </c>
      <c r="S492" s="66">
        <f>INDEX(Projects[Total Timeline (wks)],491)</f>
        <v/>
      </c>
      <c r="T492" s="66">
        <f>INDEX(Projects[Currency],491)&amp;""</f>
        <v/>
      </c>
      <c r="U492" s="67">
        <f>INDEX(Projects[Value (M)],491)</f>
        <v/>
      </c>
      <c r="V492" s="66">
        <f>IF('Smart Search'!B13=1,IFERROR(1/'Smart Search'!H13,0),0)</f>
        <v/>
      </c>
      <c r="W492" s="66">
        <f>IF('Smart Search'!B13=1,IFERROR(1/'Smart Search'!H13,0),0)</f>
        <v/>
      </c>
      <c r="X492" s="66">
        <f>IF('Smart Search'!C13=1,IFERROR(1/'Smart Search'!H13,0),0)</f>
        <v/>
      </c>
      <c r="Y492" s="66">
        <f>IF('Smart Search'!C13=1,IFERROR(1/'Smart Search'!H13,0),0)</f>
        <v/>
      </c>
      <c r="Z492" s="66">
        <f>IF('Smart Search'!D13=1,IFERROR(1/'Smart Search'!H13,0),0)</f>
        <v/>
      </c>
      <c r="AA492" s="66">
        <f>IF('Smart Search'!D13=1,IFERROR(1/'Smart Search'!H13,0),0)</f>
        <v/>
      </c>
      <c r="AB492" s="66">
        <f>IF('Smart Search'!E13=1,IFERROR(1/'Smart Search'!H13,0),0)</f>
        <v/>
      </c>
      <c r="AC492" s="66">
        <f>IF('Smart Search'!E13=1,IFERROR(1/'Smart Search'!H13,0),0)</f>
        <v/>
      </c>
      <c r="AD492" s="66">
        <f>IF('Smart Search'!F13=1,IFERROR(1/'Smart Search'!H13,0),0)</f>
        <v/>
      </c>
      <c r="AE492" s="66">
        <f>IF('Smart Search'!F13=1,IFERROR(1/'Smart Search'!H13,0),0)</f>
        <v/>
      </c>
      <c r="AF492" s="66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66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66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66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66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66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66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66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66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66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66">
        <f>AF492*V492</f>
        <v/>
      </c>
      <c r="AQ492" s="66">
        <f>AG492*W492</f>
        <v/>
      </c>
      <c r="AR492" s="66">
        <f>AH492*X492</f>
        <v/>
      </c>
      <c r="AS492" s="66">
        <f>AI492*Y492</f>
        <v/>
      </c>
      <c r="AT492" s="66">
        <f>AJ492*Z492</f>
        <v/>
      </c>
      <c r="AU492" s="66">
        <f>AK492*AA492</f>
        <v/>
      </c>
      <c r="AV492" s="66">
        <f>AL492*AB492</f>
        <v/>
      </c>
      <c r="AW492" s="66">
        <f>AM492*AC492</f>
        <v/>
      </c>
      <c r="AX492" s="66">
        <f>AN492*AD492</f>
        <v/>
      </c>
      <c r="AY492" s="66">
        <f>AO492*AE492</f>
        <v/>
      </c>
      <c r="AZ492" s="66">
        <f>INDEX(Projects[Automation Equipment],491)&amp;""</f>
        <v/>
      </c>
      <c r="BA492" s="66">
        <f>IF(OR(A492="",'Smart Search'!H13=0),"",MAX(0,BE492*BF492*MAX(0,1-BG492)))</f>
        <v/>
      </c>
      <c r="BB492" s="66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66">
        <f>IF('Smart Search'!G13=1,IFERROR(1/'Smart Search'!H13,0),0)</f>
        <v/>
      </c>
      <c r="BD492" s="66">
        <f>BB492*BC492</f>
        <v/>
      </c>
      <c r="BE492" s="66">
        <f>AP492+AQ492+AR492+AS492+AT492+AU492+AV492+AW492+AX492+AY492+BD492</f>
        <v/>
      </c>
      <c r="BF492" s="5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5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5">
        <f>IF(AND(A492&lt;&gt;"",OR('Smart Search'!$L$5="",'Smart Search'!$L$5="All",TRIM(BZ492)=TRIM('Smart Search'!$L$5)),OR(TRIM('Smart Search'!$L$6)="",TRIM('Smart Search'!$L$6)="All",ISNUMBER(SEARCH(SUBSTITUTE(SUBSTITUTE(SUBSTITUTE(TRIM('Smart Search'!$L$6),"~","~~"),"*","~*"),"?","~?"),CA492))),OR('Smart Search'!$L$7="",AND(CB492&lt;&gt;0,CB492='Smart Search'!$L$7)),OR('Smart Search'!$L$8="",'Smart Search'!$L$8="All",TRIM(CC492)=TRIM('Smart Search'!$L$8))),IF(BA492="","",BA492+ROW()*0.0000000001),"")</f>
        <v/>
      </c>
      <c r="BI492" s="5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5">
        <f>IF(A492="","",N(INDEX(Projects[Mech Inst],491)))</f>
        <v/>
      </c>
      <c r="BK492" s="5">
        <f>IF(A492="","",N(INDEX(Projects[Elec Inst],491)))</f>
        <v/>
      </c>
      <c r="BL492" s="5">
        <f>IF(A492="","",N(INDEX(Projects[Project Management],491)))</f>
        <v/>
      </c>
      <c r="BM492" s="5">
        <f>IF(A492="","",N(INDEX(Projects[Systems Eng],491)))</f>
        <v/>
      </c>
      <c r="BN492" s="5">
        <f>IF(A492="","",N(INDEX(Projects[Mechanical Eng],491)))</f>
        <v/>
      </c>
      <c r="BO492" s="5">
        <f>IF(A492="","",N(INDEX(Projects[Structural Engineering],491)))</f>
        <v/>
      </c>
      <c r="BP492" s="5">
        <f>IF(A492="","",N(INDEX(Projects[Site Sup],491)))</f>
        <v/>
      </c>
      <c r="BQ492" s="5">
        <f>IF(A492="","",N(INDEX(Projects[Controls Commissioning],491)))</f>
        <v/>
      </c>
      <c r="BR492" s="5">
        <f>IF(A492="","",N(INDEX(Projects[Systems Commissioning],491)))</f>
        <v/>
      </c>
      <c r="BS492" s="5">
        <f>IF(A492="","",N(INDEX(Projects[Service Commissioning],491)))</f>
        <v/>
      </c>
      <c r="BT492" s="5">
        <f>IF(A492="","",N(INDEX(Projects[Controls Eng],491)))</f>
        <v/>
      </c>
      <c r="BU492" s="5">
        <f>IF(A492="","",N(INDEX(Projects[Controls Purchase],491)))</f>
        <v/>
      </c>
      <c r="BV492" s="5">
        <f>IF(A492="","",N(INDEX(Projects[Software Eng],491)))</f>
        <v/>
      </c>
      <c r="BW492" s="5">
        <f>IF(A492="","",N(INDEX(Projects[Misc],491)))</f>
        <v/>
      </c>
      <c r="BX492" s="5">
        <f>IF(A492="","",SUM(BJ492:BW492))</f>
        <v/>
      </c>
      <c r="BY492" s="5">
        <f>IF(A492="","",IFERROR(IF(ISNUMBER(U492),U492,VALUE(SUBSTITUTE(SUBSTITUTE(SUBSTITUTE(UPPER(TRIM(U492)),"M",""),",","")," ",""))),0))</f>
        <v/>
      </c>
      <c r="BZ492" s="5">
        <f>INDEX(Projects[Solution Type],491)&amp;""</f>
        <v/>
      </c>
      <c r="CA492" s="5">
        <f>INDEX(Projects[Client / Region],491)&amp;""</f>
        <v/>
      </c>
      <c r="CB492" s="5">
        <f>INDEX(Projects[Year],491)</f>
        <v/>
      </c>
      <c r="CC492" s="5">
        <f>INDEX(Projects[Won?],491)&amp;""</f>
        <v/>
      </c>
      <c r="CD492" s="5">
        <f>INDEX(Projects[Value (USD M)],491)</f>
        <v/>
      </c>
    </row>
    <row r="493" ht="15" customHeight="1" s="74">
      <c r="A493" s="66">
        <f>INDEX(Projects[Project ID *],492)&amp;""</f>
        <v/>
      </c>
      <c r="B493" s="66">
        <f>INDEX(Projects[Project Name *],492)&amp;""</f>
        <v/>
      </c>
      <c r="C493" s="66">
        <f>INDEX(Projects[MS Shuttles],492)</f>
        <v/>
      </c>
      <c r="D493" s="66">
        <f>INDEX(Projects[MS Tote Locations],492)</f>
        <v/>
      </c>
      <c r="E493" s="66">
        <f>INDEX(Projects[AS Robots],492)</f>
        <v/>
      </c>
      <c r="F493" s="66">
        <f>INDEX(Projects[AS Tote Locations],492)</f>
        <v/>
      </c>
      <c r="G493" s="66">
        <f>INDEX(Projects[PS Shuttles],492)</f>
        <v/>
      </c>
      <c r="H493" s="66">
        <f>INDEX(Projects[PS Pallet Locations],492)</f>
        <v/>
      </c>
      <c r="I493" s="66">
        <f>INDEX(Projects[SRM Cranes],492)</f>
        <v/>
      </c>
      <c r="J493" s="66">
        <f>INDEX(Projects[SRM Pallet Locations],492)</f>
        <v/>
      </c>
      <c r="K493" s="66">
        <f>INDEX(Projects[Case Conv (m)],492)</f>
        <v/>
      </c>
      <c r="L493" s="66">
        <f>INDEX(Projects[Pallet Conv (m)],492)</f>
        <v/>
      </c>
      <c r="M493" s="66">
        <f>INDEX(Projects[Mech Eng (wks)],492)</f>
        <v/>
      </c>
      <c r="N493" s="66">
        <f>INDEX(Projects[Controls Eng (wks)],492)</f>
        <v/>
      </c>
      <c r="O493" s="66">
        <f>INDEX(Projects[Systems Eng (wks)],492)</f>
        <v/>
      </c>
      <c r="P493" s="66">
        <f>INDEX(Projects[Software Eng (wks)],492)</f>
        <v/>
      </c>
      <c r="Q493" s="66">
        <f>INDEX(Projects[M&amp;E Installation (wks)],492)</f>
        <v/>
      </c>
      <c r="R493" s="66">
        <f>INDEX(Projects[Commissioning (wks)],492)</f>
        <v/>
      </c>
      <c r="S493" s="66">
        <f>INDEX(Projects[Total Timeline (wks)],492)</f>
        <v/>
      </c>
      <c r="T493" s="66">
        <f>INDEX(Projects[Currency],492)&amp;""</f>
        <v/>
      </c>
      <c r="U493" s="67">
        <f>INDEX(Projects[Value (M)],492)</f>
        <v/>
      </c>
      <c r="V493" s="66">
        <f>IF('Smart Search'!B13=1,IFERROR(1/'Smart Search'!H13,0),0)</f>
        <v/>
      </c>
      <c r="W493" s="66">
        <f>IF('Smart Search'!B13=1,IFERROR(1/'Smart Search'!H13,0),0)</f>
        <v/>
      </c>
      <c r="X493" s="66">
        <f>IF('Smart Search'!C13=1,IFERROR(1/'Smart Search'!H13,0),0)</f>
        <v/>
      </c>
      <c r="Y493" s="66">
        <f>IF('Smart Search'!C13=1,IFERROR(1/'Smart Search'!H13,0),0)</f>
        <v/>
      </c>
      <c r="Z493" s="66">
        <f>IF('Smart Search'!D13=1,IFERROR(1/'Smart Search'!H13,0),0)</f>
        <v/>
      </c>
      <c r="AA493" s="66">
        <f>IF('Smart Search'!D13=1,IFERROR(1/'Smart Search'!H13,0),0)</f>
        <v/>
      </c>
      <c r="AB493" s="66">
        <f>IF('Smart Search'!E13=1,IFERROR(1/'Smart Search'!H13,0),0)</f>
        <v/>
      </c>
      <c r="AC493" s="66">
        <f>IF('Smart Search'!E13=1,IFERROR(1/'Smart Search'!H13,0),0)</f>
        <v/>
      </c>
      <c r="AD493" s="66">
        <f>IF('Smart Search'!F13=1,IFERROR(1/'Smart Search'!H13,0),0)</f>
        <v/>
      </c>
      <c r="AE493" s="66">
        <f>IF('Smart Search'!F13=1,IFERROR(1/'Smart Search'!H13,0),0)</f>
        <v/>
      </c>
      <c r="AF493" s="66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66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66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66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66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66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66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66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66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66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66">
        <f>AF493*V493</f>
        <v/>
      </c>
      <c r="AQ493" s="66">
        <f>AG493*W493</f>
        <v/>
      </c>
      <c r="AR493" s="66">
        <f>AH493*X493</f>
        <v/>
      </c>
      <c r="AS493" s="66">
        <f>AI493*Y493</f>
        <v/>
      </c>
      <c r="AT493" s="66">
        <f>AJ493*Z493</f>
        <v/>
      </c>
      <c r="AU493" s="66">
        <f>AK493*AA493</f>
        <v/>
      </c>
      <c r="AV493" s="66">
        <f>AL493*AB493</f>
        <v/>
      </c>
      <c r="AW493" s="66">
        <f>AM493*AC493</f>
        <v/>
      </c>
      <c r="AX493" s="66">
        <f>AN493*AD493</f>
        <v/>
      </c>
      <c r="AY493" s="66">
        <f>AO493*AE493</f>
        <v/>
      </c>
      <c r="AZ493" s="66">
        <f>INDEX(Projects[Automation Equipment],492)&amp;""</f>
        <v/>
      </c>
      <c r="BA493" s="66">
        <f>IF(OR(A493="",'Smart Search'!H13=0),"",MAX(0,BE493*BF493*MAX(0,1-BG493)))</f>
        <v/>
      </c>
      <c r="BB493" s="66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66">
        <f>IF('Smart Search'!G13=1,IFERROR(1/'Smart Search'!H13,0),0)</f>
        <v/>
      </c>
      <c r="BD493" s="66">
        <f>BB493*BC493</f>
        <v/>
      </c>
      <c r="BE493" s="66">
        <f>AP493+AQ493+AR493+AS493+AT493+AU493+AV493+AW493+AX493+AY493+BD493</f>
        <v/>
      </c>
      <c r="BF493" s="5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5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5">
        <f>IF(AND(A493&lt;&gt;"",OR('Smart Search'!$L$5="",'Smart Search'!$L$5="All",TRIM(BZ493)=TRIM('Smart Search'!$L$5)),OR(TRIM('Smart Search'!$L$6)="",TRIM('Smart Search'!$L$6)="All",ISNUMBER(SEARCH(SUBSTITUTE(SUBSTITUTE(SUBSTITUTE(TRIM('Smart Search'!$L$6),"~","~~"),"*","~*"),"?","~?"),CA493))),OR('Smart Search'!$L$7="",AND(CB493&lt;&gt;0,CB493='Smart Search'!$L$7)),OR('Smart Search'!$L$8="",'Smart Search'!$L$8="All",TRIM(CC493)=TRIM('Smart Search'!$L$8))),IF(BA493="","",BA493+ROW()*0.0000000001),"")</f>
        <v/>
      </c>
      <c r="BI493" s="5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5">
        <f>IF(A493="","",N(INDEX(Projects[Mech Inst],492)))</f>
        <v/>
      </c>
      <c r="BK493" s="5">
        <f>IF(A493="","",N(INDEX(Projects[Elec Inst],492)))</f>
        <v/>
      </c>
      <c r="BL493" s="5">
        <f>IF(A493="","",N(INDEX(Projects[Project Management],492)))</f>
        <v/>
      </c>
      <c r="BM493" s="5">
        <f>IF(A493="","",N(INDEX(Projects[Systems Eng],492)))</f>
        <v/>
      </c>
      <c r="BN493" s="5">
        <f>IF(A493="","",N(INDEX(Projects[Mechanical Eng],492)))</f>
        <v/>
      </c>
      <c r="BO493" s="5">
        <f>IF(A493="","",N(INDEX(Projects[Structural Engineering],492)))</f>
        <v/>
      </c>
      <c r="BP493" s="5">
        <f>IF(A493="","",N(INDEX(Projects[Site Sup],492)))</f>
        <v/>
      </c>
      <c r="BQ493" s="5">
        <f>IF(A493="","",N(INDEX(Projects[Controls Commissioning],492)))</f>
        <v/>
      </c>
      <c r="BR493" s="5">
        <f>IF(A493="","",N(INDEX(Projects[Systems Commissioning],492)))</f>
        <v/>
      </c>
      <c r="BS493" s="5">
        <f>IF(A493="","",N(INDEX(Projects[Service Commissioning],492)))</f>
        <v/>
      </c>
      <c r="BT493" s="5">
        <f>IF(A493="","",N(INDEX(Projects[Controls Eng],492)))</f>
        <v/>
      </c>
      <c r="BU493" s="5">
        <f>IF(A493="","",N(INDEX(Projects[Controls Purchase],492)))</f>
        <v/>
      </c>
      <c r="BV493" s="5">
        <f>IF(A493="","",N(INDEX(Projects[Software Eng],492)))</f>
        <v/>
      </c>
      <c r="BW493" s="5">
        <f>IF(A493="","",N(INDEX(Projects[Misc],492)))</f>
        <v/>
      </c>
      <c r="BX493" s="5">
        <f>IF(A493="","",SUM(BJ493:BW493))</f>
        <v/>
      </c>
      <c r="BY493" s="5">
        <f>IF(A493="","",IFERROR(IF(ISNUMBER(U493),U493,VALUE(SUBSTITUTE(SUBSTITUTE(SUBSTITUTE(UPPER(TRIM(U493)),"M",""),",","")," ",""))),0))</f>
        <v/>
      </c>
      <c r="BZ493" s="5">
        <f>INDEX(Projects[Solution Type],492)&amp;""</f>
        <v/>
      </c>
      <c r="CA493" s="5">
        <f>INDEX(Projects[Client / Region],492)&amp;""</f>
        <v/>
      </c>
      <c r="CB493" s="5">
        <f>INDEX(Projects[Year],492)</f>
        <v/>
      </c>
      <c r="CC493" s="5">
        <f>INDEX(Projects[Won?],492)&amp;""</f>
        <v/>
      </c>
      <c r="CD493" s="5">
        <f>INDEX(Projects[Value (USD M)],492)</f>
        <v/>
      </c>
    </row>
    <row r="494" ht="15" customHeight="1" s="74">
      <c r="A494" s="66">
        <f>INDEX(Projects[Project ID *],493)&amp;""</f>
        <v/>
      </c>
      <c r="B494" s="66">
        <f>INDEX(Projects[Project Name *],493)&amp;""</f>
        <v/>
      </c>
      <c r="C494" s="66">
        <f>INDEX(Projects[MS Shuttles],493)</f>
        <v/>
      </c>
      <c r="D494" s="66">
        <f>INDEX(Projects[MS Tote Locations],493)</f>
        <v/>
      </c>
      <c r="E494" s="66">
        <f>INDEX(Projects[AS Robots],493)</f>
        <v/>
      </c>
      <c r="F494" s="66">
        <f>INDEX(Projects[AS Tote Locations],493)</f>
        <v/>
      </c>
      <c r="G494" s="66">
        <f>INDEX(Projects[PS Shuttles],493)</f>
        <v/>
      </c>
      <c r="H494" s="66">
        <f>INDEX(Projects[PS Pallet Locations],493)</f>
        <v/>
      </c>
      <c r="I494" s="66">
        <f>INDEX(Projects[SRM Cranes],493)</f>
        <v/>
      </c>
      <c r="J494" s="66">
        <f>INDEX(Projects[SRM Pallet Locations],493)</f>
        <v/>
      </c>
      <c r="K494" s="66">
        <f>INDEX(Projects[Case Conv (m)],493)</f>
        <v/>
      </c>
      <c r="L494" s="66">
        <f>INDEX(Projects[Pallet Conv (m)],493)</f>
        <v/>
      </c>
      <c r="M494" s="66">
        <f>INDEX(Projects[Mech Eng (wks)],493)</f>
        <v/>
      </c>
      <c r="N494" s="66">
        <f>INDEX(Projects[Controls Eng (wks)],493)</f>
        <v/>
      </c>
      <c r="O494" s="66">
        <f>INDEX(Projects[Systems Eng (wks)],493)</f>
        <v/>
      </c>
      <c r="P494" s="66">
        <f>INDEX(Projects[Software Eng (wks)],493)</f>
        <v/>
      </c>
      <c r="Q494" s="66">
        <f>INDEX(Projects[M&amp;E Installation (wks)],493)</f>
        <v/>
      </c>
      <c r="R494" s="66">
        <f>INDEX(Projects[Commissioning (wks)],493)</f>
        <v/>
      </c>
      <c r="S494" s="66">
        <f>INDEX(Projects[Total Timeline (wks)],493)</f>
        <v/>
      </c>
      <c r="T494" s="66">
        <f>INDEX(Projects[Currency],493)&amp;""</f>
        <v/>
      </c>
      <c r="U494" s="67">
        <f>INDEX(Projects[Value (M)],493)</f>
        <v/>
      </c>
      <c r="V494" s="66">
        <f>IF('Smart Search'!B13=1,IFERROR(1/'Smart Search'!H13,0),0)</f>
        <v/>
      </c>
      <c r="W494" s="66">
        <f>IF('Smart Search'!B13=1,IFERROR(1/'Smart Search'!H13,0),0)</f>
        <v/>
      </c>
      <c r="X494" s="66">
        <f>IF('Smart Search'!C13=1,IFERROR(1/'Smart Search'!H13,0),0)</f>
        <v/>
      </c>
      <c r="Y494" s="66">
        <f>IF('Smart Search'!C13=1,IFERROR(1/'Smart Search'!H13,0),0)</f>
        <v/>
      </c>
      <c r="Z494" s="66">
        <f>IF('Smart Search'!D13=1,IFERROR(1/'Smart Search'!H13,0),0)</f>
        <v/>
      </c>
      <c r="AA494" s="66">
        <f>IF('Smart Search'!D13=1,IFERROR(1/'Smart Search'!H13,0),0)</f>
        <v/>
      </c>
      <c r="AB494" s="66">
        <f>IF('Smart Search'!E13=1,IFERROR(1/'Smart Search'!H13,0),0)</f>
        <v/>
      </c>
      <c r="AC494" s="66">
        <f>IF('Smart Search'!E13=1,IFERROR(1/'Smart Search'!H13,0),0)</f>
        <v/>
      </c>
      <c r="AD494" s="66">
        <f>IF('Smart Search'!F13=1,IFERROR(1/'Smart Search'!H13,0),0)</f>
        <v/>
      </c>
      <c r="AE494" s="66">
        <f>IF('Smart Search'!F13=1,IFERROR(1/'Smart Search'!H13,0),0)</f>
        <v/>
      </c>
      <c r="AF494" s="66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66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66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66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66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66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66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66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66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66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66">
        <f>AF494*V494</f>
        <v/>
      </c>
      <c r="AQ494" s="66">
        <f>AG494*W494</f>
        <v/>
      </c>
      <c r="AR494" s="66">
        <f>AH494*X494</f>
        <v/>
      </c>
      <c r="AS494" s="66">
        <f>AI494*Y494</f>
        <v/>
      </c>
      <c r="AT494" s="66">
        <f>AJ494*Z494</f>
        <v/>
      </c>
      <c r="AU494" s="66">
        <f>AK494*AA494</f>
        <v/>
      </c>
      <c r="AV494" s="66">
        <f>AL494*AB494</f>
        <v/>
      </c>
      <c r="AW494" s="66">
        <f>AM494*AC494</f>
        <v/>
      </c>
      <c r="AX494" s="66">
        <f>AN494*AD494</f>
        <v/>
      </c>
      <c r="AY494" s="66">
        <f>AO494*AE494</f>
        <v/>
      </c>
      <c r="AZ494" s="66">
        <f>INDEX(Projects[Automation Equipment],493)&amp;""</f>
        <v/>
      </c>
      <c r="BA494" s="66">
        <f>IF(OR(A494="",'Smart Search'!H13=0),"",MAX(0,BE494*BF494*MAX(0,1-BG494)))</f>
        <v/>
      </c>
      <c r="BB494" s="66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66">
        <f>IF('Smart Search'!G13=1,IFERROR(1/'Smart Search'!H13,0),0)</f>
        <v/>
      </c>
      <c r="BD494" s="66">
        <f>BB494*BC494</f>
        <v/>
      </c>
      <c r="BE494" s="66">
        <f>AP494+AQ494+AR494+AS494+AT494+AU494+AV494+AW494+AX494+AY494+BD494</f>
        <v/>
      </c>
      <c r="BF494" s="5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5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5">
        <f>IF(AND(A494&lt;&gt;"",OR('Smart Search'!$L$5="",'Smart Search'!$L$5="All",TRIM(BZ494)=TRIM('Smart Search'!$L$5)),OR(TRIM('Smart Search'!$L$6)="",TRIM('Smart Search'!$L$6)="All",ISNUMBER(SEARCH(SUBSTITUTE(SUBSTITUTE(SUBSTITUTE(TRIM('Smart Search'!$L$6),"~","~~"),"*","~*"),"?","~?"),CA494))),OR('Smart Search'!$L$7="",AND(CB494&lt;&gt;0,CB494='Smart Search'!$L$7)),OR('Smart Search'!$L$8="",'Smart Search'!$L$8="All",TRIM(CC494)=TRIM('Smart Search'!$L$8))),IF(BA494="","",BA494+ROW()*0.0000000001),"")</f>
        <v/>
      </c>
      <c r="BI494" s="5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5">
        <f>IF(A494="","",N(INDEX(Projects[Mech Inst],493)))</f>
        <v/>
      </c>
      <c r="BK494" s="5">
        <f>IF(A494="","",N(INDEX(Projects[Elec Inst],493)))</f>
        <v/>
      </c>
      <c r="BL494" s="5">
        <f>IF(A494="","",N(INDEX(Projects[Project Management],493)))</f>
        <v/>
      </c>
      <c r="BM494" s="5">
        <f>IF(A494="","",N(INDEX(Projects[Systems Eng],493)))</f>
        <v/>
      </c>
      <c r="BN494" s="5">
        <f>IF(A494="","",N(INDEX(Projects[Mechanical Eng],493)))</f>
        <v/>
      </c>
      <c r="BO494" s="5">
        <f>IF(A494="","",N(INDEX(Projects[Structural Engineering],493)))</f>
        <v/>
      </c>
      <c r="BP494" s="5">
        <f>IF(A494="","",N(INDEX(Projects[Site Sup],493)))</f>
        <v/>
      </c>
      <c r="BQ494" s="5">
        <f>IF(A494="","",N(INDEX(Projects[Controls Commissioning],493)))</f>
        <v/>
      </c>
      <c r="BR494" s="5">
        <f>IF(A494="","",N(INDEX(Projects[Systems Commissioning],493)))</f>
        <v/>
      </c>
      <c r="BS494" s="5">
        <f>IF(A494="","",N(INDEX(Projects[Service Commissioning],493)))</f>
        <v/>
      </c>
      <c r="BT494" s="5">
        <f>IF(A494="","",N(INDEX(Projects[Controls Eng],493)))</f>
        <v/>
      </c>
      <c r="BU494" s="5">
        <f>IF(A494="","",N(INDEX(Projects[Controls Purchase],493)))</f>
        <v/>
      </c>
      <c r="BV494" s="5">
        <f>IF(A494="","",N(INDEX(Projects[Software Eng],493)))</f>
        <v/>
      </c>
      <c r="BW494" s="5">
        <f>IF(A494="","",N(INDEX(Projects[Misc],493)))</f>
        <v/>
      </c>
      <c r="BX494" s="5">
        <f>IF(A494="","",SUM(BJ494:BW494))</f>
        <v/>
      </c>
      <c r="BY494" s="5">
        <f>IF(A494="","",IFERROR(IF(ISNUMBER(U494),U494,VALUE(SUBSTITUTE(SUBSTITUTE(SUBSTITUTE(UPPER(TRIM(U494)),"M",""),",","")," ",""))),0))</f>
        <v/>
      </c>
      <c r="BZ494" s="5">
        <f>INDEX(Projects[Solution Type],493)&amp;""</f>
        <v/>
      </c>
      <c r="CA494" s="5">
        <f>INDEX(Projects[Client / Region],493)&amp;""</f>
        <v/>
      </c>
      <c r="CB494" s="5">
        <f>INDEX(Projects[Year],493)</f>
        <v/>
      </c>
      <c r="CC494" s="5">
        <f>INDEX(Projects[Won?],493)&amp;""</f>
        <v/>
      </c>
      <c r="CD494" s="5">
        <f>INDEX(Projects[Value (USD M)],493)</f>
        <v/>
      </c>
    </row>
    <row r="495" ht="15" customHeight="1" s="74">
      <c r="A495" s="66">
        <f>INDEX(Projects[Project ID *],494)&amp;""</f>
        <v/>
      </c>
      <c r="B495" s="66">
        <f>INDEX(Projects[Project Name *],494)&amp;""</f>
        <v/>
      </c>
      <c r="C495" s="66">
        <f>INDEX(Projects[MS Shuttles],494)</f>
        <v/>
      </c>
      <c r="D495" s="66">
        <f>INDEX(Projects[MS Tote Locations],494)</f>
        <v/>
      </c>
      <c r="E495" s="66">
        <f>INDEX(Projects[AS Robots],494)</f>
        <v/>
      </c>
      <c r="F495" s="66">
        <f>INDEX(Projects[AS Tote Locations],494)</f>
        <v/>
      </c>
      <c r="G495" s="66">
        <f>INDEX(Projects[PS Shuttles],494)</f>
        <v/>
      </c>
      <c r="H495" s="66">
        <f>INDEX(Projects[PS Pallet Locations],494)</f>
        <v/>
      </c>
      <c r="I495" s="66">
        <f>INDEX(Projects[SRM Cranes],494)</f>
        <v/>
      </c>
      <c r="J495" s="66">
        <f>INDEX(Projects[SRM Pallet Locations],494)</f>
        <v/>
      </c>
      <c r="K495" s="66">
        <f>INDEX(Projects[Case Conv (m)],494)</f>
        <v/>
      </c>
      <c r="L495" s="66">
        <f>INDEX(Projects[Pallet Conv (m)],494)</f>
        <v/>
      </c>
      <c r="M495" s="66">
        <f>INDEX(Projects[Mech Eng (wks)],494)</f>
        <v/>
      </c>
      <c r="N495" s="66">
        <f>INDEX(Projects[Controls Eng (wks)],494)</f>
        <v/>
      </c>
      <c r="O495" s="66">
        <f>INDEX(Projects[Systems Eng (wks)],494)</f>
        <v/>
      </c>
      <c r="P495" s="66">
        <f>INDEX(Projects[Software Eng (wks)],494)</f>
        <v/>
      </c>
      <c r="Q495" s="66">
        <f>INDEX(Projects[M&amp;E Installation (wks)],494)</f>
        <v/>
      </c>
      <c r="R495" s="66">
        <f>INDEX(Projects[Commissioning (wks)],494)</f>
        <v/>
      </c>
      <c r="S495" s="66">
        <f>INDEX(Projects[Total Timeline (wks)],494)</f>
        <v/>
      </c>
      <c r="T495" s="66">
        <f>INDEX(Projects[Currency],494)&amp;""</f>
        <v/>
      </c>
      <c r="U495" s="67">
        <f>INDEX(Projects[Value (M)],494)</f>
        <v/>
      </c>
      <c r="V495" s="66">
        <f>IF('Smart Search'!B13=1,IFERROR(1/'Smart Search'!H13,0),0)</f>
        <v/>
      </c>
      <c r="W495" s="66">
        <f>IF('Smart Search'!B13=1,IFERROR(1/'Smart Search'!H13,0),0)</f>
        <v/>
      </c>
      <c r="X495" s="66">
        <f>IF('Smart Search'!C13=1,IFERROR(1/'Smart Search'!H13,0),0)</f>
        <v/>
      </c>
      <c r="Y495" s="66">
        <f>IF('Smart Search'!C13=1,IFERROR(1/'Smart Search'!H13,0),0)</f>
        <v/>
      </c>
      <c r="Z495" s="66">
        <f>IF('Smart Search'!D13=1,IFERROR(1/'Smart Search'!H13,0),0)</f>
        <v/>
      </c>
      <c r="AA495" s="66">
        <f>IF('Smart Search'!D13=1,IFERROR(1/'Smart Search'!H13,0),0)</f>
        <v/>
      </c>
      <c r="AB495" s="66">
        <f>IF('Smart Search'!E13=1,IFERROR(1/'Smart Search'!H13,0),0)</f>
        <v/>
      </c>
      <c r="AC495" s="66">
        <f>IF('Smart Search'!E13=1,IFERROR(1/'Smart Search'!H13,0),0)</f>
        <v/>
      </c>
      <c r="AD495" s="66">
        <f>IF('Smart Search'!F13=1,IFERROR(1/'Smart Search'!H13,0),0)</f>
        <v/>
      </c>
      <c r="AE495" s="66">
        <f>IF('Smart Search'!F13=1,IFERROR(1/'Smart Search'!H13,0),0)</f>
        <v/>
      </c>
      <c r="AF495" s="66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66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66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66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66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66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66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66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66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66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66">
        <f>AF495*V495</f>
        <v/>
      </c>
      <c r="AQ495" s="66">
        <f>AG495*W495</f>
        <v/>
      </c>
      <c r="AR495" s="66">
        <f>AH495*X495</f>
        <v/>
      </c>
      <c r="AS495" s="66">
        <f>AI495*Y495</f>
        <v/>
      </c>
      <c r="AT495" s="66">
        <f>AJ495*Z495</f>
        <v/>
      </c>
      <c r="AU495" s="66">
        <f>AK495*AA495</f>
        <v/>
      </c>
      <c r="AV495" s="66">
        <f>AL495*AB495</f>
        <v/>
      </c>
      <c r="AW495" s="66">
        <f>AM495*AC495</f>
        <v/>
      </c>
      <c r="AX495" s="66">
        <f>AN495*AD495</f>
        <v/>
      </c>
      <c r="AY495" s="66">
        <f>AO495*AE495</f>
        <v/>
      </c>
      <c r="AZ495" s="66">
        <f>INDEX(Projects[Automation Equipment],494)&amp;""</f>
        <v/>
      </c>
      <c r="BA495" s="66">
        <f>IF(OR(A495="",'Smart Search'!H13=0),"",MAX(0,BE495*BF495*MAX(0,1-BG495)))</f>
        <v/>
      </c>
      <c r="BB495" s="66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66">
        <f>IF('Smart Search'!G13=1,IFERROR(1/'Smart Search'!H13,0),0)</f>
        <v/>
      </c>
      <c r="BD495" s="66">
        <f>BB495*BC495</f>
        <v/>
      </c>
      <c r="BE495" s="66">
        <f>AP495+AQ495+AR495+AS495+AT495+AU495+AV495+AW495+AX495+AY495+BD495</f>
        <v/>
      </c>
      <c r="BF495" s="5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5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5">
        <f>IF(AND(A495&lt;&gt;"",OR('Smart Search'!$L$5="",'Smart Search'!$L$5="All",TRIM(BZ495)=TRIM('Smart Search'!$L$5)),OR(TRIM('Smart Search'!$L$6)="",TRIM('Smart Search'!$L$6)="All",ISNUMBER(SEARCH(SUBSTITUTE(SUBSTITUTE(SUBSTITUTE(TRIM('Smart Search'!$L$6),"~","~~"),"*","~*"),"?","~?"),CA495))),OR('Smart Search'!$L$7="",AND(CB495&lt;&gt;0,CB495='Smart Search'!$L$7)),OR('Smart Search'!$L$8="",'Smart Search'!$L$8="All",TRIM(CC495)=TRIM('Smart Search'!$L$8))),IF(BA495="","",BA495+ROW()*0.0000000001),"")</f>
        <v/>
      </c>
      <c r="BI495" s="5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5">
        <f>IF(A495="","",N(INDEX(Projects[Mech Inst],494)))</f>
        <v/>
      </c>
      <c r="BK495" s="5">
        <f>IF(A495="","",N(INDEX(Projects[Elec Inst],494)))</f>
        <v/>
      </c>
      <c r="BL495" s="5">
        <f>IF(A495="","",N(INDEX(Projects[Project Management],494)))</f>
        <v/>
      </c>
      <c r="BM495" s="5">
        <f>IF(A495="","",N(INDEX(Projects[Systems Eng],494)))</f>
        <v/>
      </c>
      <c r="BN495" s="5">
        <f>IF(A495="","",N(INDEX(Projects[Mechanical Eng],494)))</f>
        <v/>
      </c>
      <c r="BO495" s="5">
        <f>IF(A495="","",N(INDEX(Projects[Structural Engineering],494)))</f>
        <v/>
      </c>
      <c r="BP495" s="5">
        <f>IF(A495="","",N(INDEX(Projects[Site Sup],494)))</f>
        <v/>
      </c>
      <c r="BQ495" s="5">
        <f>IF(A495="","",N(INDEX(Projects[Controls Commissioning],494)))</f>
        <v/>
      </c>
      <c r="BR495" s="5">
        <f>IF(A495="","",N(INDEX(Projects[Systems Commissioning],494)))</f>
        <v/>
      </c>
      <c r="BS495" s="5">
        <f>IF(A495="","",N(INDEX(Projects[Service Commissioning],494)))</f>
        <v/>
      </c>
      <c r="BT495" s="5">
        <f>IF(A495="","",N(INDEX(Projects[Controls Eng],494)))</f>
        <v/>
      </c>
      <c r="BU495" s="5">
        <f>IF(A495="","",N(INDEX(Projects[Controls Purchase],494)))</f>
        <v/>
      </c>
      <c r="BV495" s="5">
        <f>IF(A495="","",N(INDEX(Projects[Software Eng],494)))</f>
        <v/>
      </c>
      <c r="BW495" s="5">
        <f>IF(A495="","",N(INDEX(Projects[Misc],494)))</f>
        <v/>
      </c>
      <c r="BX495" s="5">
        <f>IF(A495="","",SUM(BJ495:BW495))</f>
        <v/>
      </c>
      <c r="BY495" s="5">
        <f>IF(A495="","",IFERROR(IF(ISNUMBER(U495),U495,VALUE(SUBSTITUTE(SUBSTITUTE(SUBSTITUTE(UPPER(TRIM(U495)),"M",""),",","")," ",""))),0))</f>
        <v/>
      </c>
      <c r="BZ495" s="5">
        <f>INDEX(Projects[Solution Type],494)&amp;""</f>
        <v/>
      </c>
      <c r="CA495" s="5">
        <f>INDEX(Projects[Client / Region],494)&amp;""</f>
        <v/>
      </c>
      <c r="CB495" s="5">
        <f>INDEX(Projects[Year],494)</f>
        <v/>
      </c>
      <c r="CC495" s="5">
        <f>INDEX(Projects[Won?],494)&amp;""</f>
        <v/>
      </c>
      <c r="CD495" s="5">
        <f>INDEX(Projects[Value (USD M)],494)</f>
        <v/>
      </c>
    </row>
    <row r="496" ht="15" customHeight="1" s="74">
      <c r="A496" s="66">
        <f>INDEX(Projects[Project ID *],495)&amp;""</f>
        <v/>
      </c>
      <c r="B496" s="66">
        <f>INDEX(Projects[Project Name *],495)&amp;""</f>
        <v/>
      </c>
      <c r="C496" s="66">
        <f>INDEX(Projects[MS Shuttles],495)</f>
        <v/>
      </c>
      <c r="D496" s="66">
        <f>INDEX(Projects[MS Tote Locations],495)</f>
        <v/>
      </c>
      <c r="E496" s="66">
        <f>INDEX(Projects[AS Robots],495)</f>
        <v/>
      </c>
      <c r="F496" s="66">
        <f>INDEX(Projects[AS Tote Locations],495)</f>
        <v/>
      </c>
      <c r="G496" s="66">
        <f>INDEX(Projects[PS Shuttles],495)</f>
        <v/>
      </c>
      <c r="H496" s="66">
        <f>INDEX(Projects[PS Pallet Locations],495)</f>
        <v/>
      </c>
      <c r="I496" s="66">
        <f>INDEX(Projects[SRM Cranes],495)</f>
        <v/>
      </c>
      <c r="J496" s="66">
        <f>INDEX(Projects[SRM Pallet Locations],495)</f>
        <v/>
      </c>
      <c r="K496" s="66">
        <f>INDEX(Projects[Case Conv (m)],495)</f>
        <v/>
      </c>
      <c r="L496" s="66">
        <f>INDEX(Projects[Pallet Conv (m)],495)</f>
        <v/>
      </c>
      <c r="M496" s="66">
        <f>INDEX(Projects[Mech Eng (wks)],495)</f>
        <v/>
      </c>
      <c r="N496" s="66">
        <f>INDEX(Projects[Controls Eng (wks)],495)</f>
        <v/>
      </c>
      <c r="O496" s="66">
        <f>INDEX(Projects[Systems Eng (wks)],495)</f>
        <v/>
      </c>
      <c r="P496" s="66">
        <f>INDEX(Projects[Software Eng (wks)],495)</f>
        <v/>
      </c>
      <c r="Q496" s="66">
        <f>INDEX(Projects[M&amp;E Installation (wks)],495)</f>
        <v/>
      </c>
      <c r="R496" s="66">
        <f>INDEX(Projects[Commissioning (wks)],495)</f>
        <v/>
      </c>
      <c r="S496" s="66">
        <f>INDEX(Projects[Total Timeline (wks)],495)</f>
        <v/>
      </c>
      <c r="T496" s="66">
        <f>INDEX(Projects[Currency],495)&amp;""</f>
        <v/>
      </c>
      <c r="U496" s="67">
        <f>INDEX(Projects[Value (M)],495)</f>
        <v/>
      </c>
      <c r="V496" s="66">
        <f>IF('Smart Search'!B13=1,IFERROR(1/'Smart Search'!H13,0),0)</f>
        <v/>
      </c>
      <c r="W496" s="66">
        <f>IF('Smart Search'!B13=1,IFERROR(1/'Smart Search'!H13,0),0)</f>
        <v/>
      </c>
      <c r="X496" s="66">
        <f>IF('Smart Search'!C13=1,IFERROR(1/'Smart Search'!H13,0),0)</f>
        <v/>
      </c>
      <c r="Y496" s="66">
        <f>IF('Smart Search'!C13=1,IFERROR(1/'Smart Search'!H13,0),0)</f>
        <v/>
      </c>
      <c r="Z496" s="66">
        <f>IF('Smart Search'!D13=1,IFERROR(1/'Smart Search'!H13,0),0)</f>
        <v/>
      </c>
      <c r="AA496" s="66">
        <f>IF('Smart Search'!D13=1,IFERROR(1/'Smart Search'!H13,0),0)</f>
        <v/>
      </c>
      <c r="AB496" s="66">
        <f>IF('Smart Search'!E13=1,IFERROR(1/'Smart Search'!H13,0),0)</f>
        <v/>
      </c>
      <c r="AC496" s="66">
        <f>IF('Smart Search'!E13=1,IFERROR(1/'Smart Search'!H13,0),0)</f>
        <v/>
      </c>
      <c r="AD496" s="66">
        <f>IF('Smart Search'!F13=1,IFERROR(1/'Smart Search'!H13,0),0)</f>
        <v/>
      </c>
      <c r="AE496" s="66">
        <f>IF('Smart Search'!F13=1,IFERROR(1/'Smart Search'!H13,0),0)</f>
        <v/>
      </c>
      <c r="AF496" s="66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66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66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66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66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66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66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66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66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66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66">
        <f>AF496*V496</f>
        <v/>
      </c>
      <c r="AQ496" s="66">
        <f>AG496*W496</f>
        <v/>
      </c>
      <c r="AR496" s="66">
        <f>AH496*X496</f>
        <v/>
      </c>
      <c r="AS496" s="66">
        <f>AI496*Y496</f>
        <v/>
      </c>
      <c r="AT496" s="66">
        <f>AJ496*Z496</f>
        <v/>
      </c>
      <c r="AU496" s="66">
        <f>AK496*AA496</f>
        <v/>
      </c>
      <c r="AV496" s="66">
        <f>AL496*AB496</f>
        <v/>
      </c>
      <c r="AW496" s="66">
        <f>AM496*AC496</f>
        <v/>
      </c>
      <c r="AX496" s="66">
        <f>AN496*AD496</f>
        <v/>
      </c>
      <c r="AY496" s="66">
        <f>AO496*AE496</f>
        <v/>
      </c>
      <c r="AZ496" s="66">
        <f>INDEX(Projects[Automation Equipment],495)&amp;""</f>
        <v/>
      </c>
      <c r="BA496" s="66">
        <f>IF(OR(A496="",'Smart Search'!H13=0),"",MAX(0,BE496*BF496*MAX(0,1-BG496)))</f>
        <v/>
      </c>
      <c r="BB496" s="66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66">
        <f>IF('Smart Search'!G13=1,IFERROR(1/'Smart Search'!H13,0),0)</f>
        <v/>
      </c>
      <c r="BD496" s="66">
        <f>BB496*BC496</f>
        <v/>
      </c>
      <c r="BE496" s="66">
        <f>AP496+AQ496+AR496+AS496+AT496+AU496+AV496+AW496+AX496+AY496+BD496</f>
        <v/>
      </c>
      <c r="BF496" s="5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5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5">
        <f>IF(AND(A496&lt;&gt;"",OR('Smart Search'!$L$5="",'Smart Search'!$L$5="All",TRIM(BZ496)=TRIM('Smart Search'!$L$5)),OR(TRIM('Smart Search'!$L$6)="",TRIM('Smart Search'!$L$6)="All",ISNUMBER(SEARCH(SUBSTITUTE(SUBSTITUTE(SUBSTITUTE(TRIM('Smart Search'!$L$6),"~","~~"),"*","~*"),"?","~?"),CA496))),OR('Smart Search'!$L$7="",AND(CB496&lt;&gt;0,CB496='Smart Search'!$L$7)),OR('Smart Search'!$L$8="",'Smart Search'!$L$8="All",TRIM(CC496)=TRIM('Smart Search'!$L$8))),IF(BA496="","",BA496+ROW()*0.0000000001),"")</f>
        <v/>
      </c>
      <c r="BI496" s="5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5">
        <f>IF(A496="","",N(INDEX(Projects[Mech Inst],495)))</f>
        <v/>
      </c>
      <c r="BK496" s="5">
        <f>IF(A496="","",N(INDEX(Projects[Elec Inst],495)))</f>
        <v/>
      </c>
      <c r="BL496" s="5">
        <f>IF(A496="","",N(INDEX(Projects[Project Management],495)))</f>
        <v/>
      </c>
      <c r="BM496" s="5">
        <f>IF(A496="","",N(INDEX(Projects[Systems Eng],495)))</f>
        <v/>
      </c>
      <c r="BN496" s="5">
        <f>IF(A496="","",N(INDEX(Projects[Mechanical Eng],495)))</f>
        <v/>
      </c>
      <c r="BO496" s="5">
        <f>IF(A496="","",N(INDEX(Projects[Structural Engineering],495)))</f>
        <v/>
      </c>
      <c r="BP496" s="5">
        <f>IF(A496="","",N(INDEX(Projects[Site Sup],495)))</f>
        <v/>
      </c>
      <c r="BQ496" s="5">
        <f>IF(A496="","",N(INDEX(Projects[Controls Commissioning],495)))</f>
        <v/>
      </c>
      <c r="BR496" s="5">
        <f>IF(A496="","",N(INDEX(Projects[Systems Commissioning],495)))</f>
        <v/>
      </c>
      <c r="BS496" s="5">
        <f>IF(A496="","",N(INDEX(Projects[Service Commissioning],495)))</f>
        <v/>
      </c>
      <c r="BT496" s="5">
        <f>IF(A496="","",N(INDEX(Projects[Controls Eng],495)))</f>
        <v/>
      </c>
      <c r="BU496" s="5">
        <f>IF(A496="","",N(INDEX(Projects[Controls Purchase],495)))</f>
        <v/>
      </c>
      <c r="BV496" s="5">
        <f>IF(A496="","",N(INDEX(Projects[Software Eng],495)))</f>
        <v/>
      </c>
      <c r="BW496" s="5">
        <f>IF(A496="","",N(INDEX(Projects[Misc],495)))</f>
        <v/>
      </c>
      <c r="BX496" s="5">
        <f>IF(A496="","",SUM(BJ496:BW496))</f>
        <v/>
      </c>
      <c r="BY496" s="5">
        <f>IF(A496="","",IFERROR(IF(ISNUMBER(U496),U496,VALUE(SUBSTITUTE(SUBSTITUTE(SUBSTITUTE(UPPER(TRIM(U496)),"M",""),",","")," ",""))),0))</f>
        <v/>
      </c>
      <c r="BZ496" s="5">
        <f>INDEX(Projects[Solution Type],495)&amp;""</f>
        <v/>
      </c>
      <c r="CA496" s="5">
        <f>INDEX(Projects[Client / Region],495)&amp;""</f>
        <v/>
      </c>
      <c r="CB496" s="5">
        <f>INDEX(Projects[Year],495)</f>
        <v/>
      </c>
      <c r="CC496" s="5">
        <f>INDEX(Projects[Won?],495)&amp;""</f>
        <v/>
      </c>
      <c r="CD496" s="5">
        <f>INDEX(Projects[Value (USD M)],495)</f>
        <v/>
      </c>
    </row>
    <row r="497" ht="15" customHeight="1" s="74">
      <c r="A497" s="66">
        <f>INDEX(Projects[Project ID *],496)&amp;""</f>
        <v/>
      </c>
      <c r="B497" s="66">
        <f>INDEX(Projects[Project Name *],496)&amp;""</f>
        <v/>
      </c>
      <c r="C497" s="66">
        <f>INDEX(Projects[MS Shuttles],496)</f>
        <v/>
      </c>
      <c r="D497" s="66">
        <f>INDEX(Projects[MS Tote Locations],496)</f>
        <v/>
      </c>
      <c r="E497" s="66">
        <f>INDEX(Projects[AS Robots],496)</f>
        <v/>
      </c>
      <c r="F497" s="66">
        <f>INDEX(Projects[AS Tote Locations],496)</f>
        <v/>
      </c>
      <c r="G497" s="66">
        <f>INDEX(Projects[PS Shuttles],496)</f>
        <v/>
      </c>
      <c r="H497" s="66">
        <f>INDEX(Projects[PS Pallet Locations],496)</f>
        <v/>
      </c>
      <c r="I497" s="66">
        <f>INDEX(Projects[SRM Cranes],496)</f>
        <v/>
      </c>
      <c r="J497" s="66">
        <f>INDEX(Projects[SRM Pallet Locations],496)</f>
        <v/>
      </c>
      <c r="K497" s="66">
        <f>INDEX(Projects[Case Conv (m)],496)</f>
        <v/>
      </c>
      <c r="L497" s="66">
        <f>INDEX(Projects[Pallet Conv (m)],496)</f>
        <v/>
      </c>
      <c r="M497" s="66">
        <f>INDEX(Projects[Mech Eng (wks)],496)</f>
        <v/>
      </c>
      <c r="N497" s="66">
        <f>INDEX(Projects[Controls Eng (wks)],496)</f>
        <v/>
      </c>
      <c r="O497" s="66">
        <f>INDEX(Projects[Systems Eng (wks)],496)</f>
        <v/>
      </c>
      <c r="P497" s="66">
        <f>INDEX(Projects[Software Eng (wks)],496)</f>
        <v/>
      </c>
      <c r="Q497" s="66">
        <f>INDEX(Projects[M&amp;E Installation (wks)],496)</f>
        <v/>
      </c>
      <c r="R497" s="66">
        <f>INDEX(Projects[Commissioning (wks)],496)</f>
        <v/>
      </c>
      <c r="S497" s="66">
        <f>INDEX(Projects[Total Timeline (wks)],496)</f>
        <v/>
      </c>
      <c r="T497" s="66">
        <f>INDEX(Projects[Currency],496)&amp;""</f>
        <v/>
      </c>
      <c r="U497" s="67">
        <f>INDEX(Projects[Value (M)],496)</f>
        <v/>
      </c>
      <c r="V497" s="66">
        <f>IF('Smart Search'!B13=1,IFERROR(1/'Smart Search'!H13,0),0)</f>
        <v/>
      </c>
      <c r="W497" s="66">
        <f>IF('Smart Search'!B13=1,IFERROR(1/'Smart Search'!H13,0),0)</f>
        <v/>
      </c>
      <c r="X497" s="66">
        <f>IF('Smart Search'!C13=1,IFERROR(1/'Smart Search'!H13,0),0)</f>
        <v/>
      </c>
      <c r="Y497" s="66">
        <f>IF('Smart Search'!C13=1,IFERROR(1/'Smart Search'!H13,0),0)</f>
        <v/>
      </c>
      <c r="Z497" s="66">
        <f>IF('Smart Search'!D13=1,IFERROR(1/'Smart Search'!H13,0),0)</f>
        <v/>
      </c>
      <c r="AA497" s="66">
        <f>IF('Smart Search'!D13=1,IFERROR(1/'Smart Search'!H13,0),0)</f>
        <v/>
      </c>
      <c r="AB497" s="66">
        <f>IF('Smart Search'!E13=1,IFERROR(1/'Smart Search'!H13,0),0)</f>
        <v/>
      </c>
      <c r="AC497" s="66">
        <f>IF('Smart Search'!E13=1,IFERROR(1/'Smart Search'!H13,0),0)</f>
        <v/>
      </c>
      <c r="AD497" s="66">
        <f>IF('Smart Search'!F13=1,IFERROR(1/'Smart Search'!H13,0),0)</f>
        <v/>
      </c>
      <c r="AE497" s="66">
        <f>IF('Smart Search'!F13=1,IFERROR(1/'Smart Search'!H13,0),0)</f>
        <v/>
      </c>
      <c r="AF497" s="66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66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66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66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66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66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66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66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66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66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66">
        <f>AF497*V497</f>
        <v/>
      </c>
      <c r="AQ497" s="66">
        <f>AG497*W497</f>
        <v/>
      </c>
      <c r="AR497" s="66">
        <f>AH497*X497</f>
        <v/>
      </c>
      <c r="AS497" s="66">
        <f>AI497*Y497</f>
        <v/>
      </c>
      <c r="AT497" s="66">
        <f>AJ497*Z497</f>
        <v/>
      </c>
      <c r="AU497" s="66">
        <f>AK497*AA497</f>
        <v/>
      </c>
      <c r="AV497" s="66">
        <f>AL497*AB497</f>
        <v/>
      </c>
      <c r="AW497" s="66">
        <f>AM497*AC497</f>
        <v/>
      </c>
      <c r="AX497" s="66">
        <f>AN497*AD497</f>
        <v/>
      </c>
      <c r="AY497" s="66">
        <f>AO497*AE497</f>
        <v/>
      </c>
      <c r="AZ497" s="66">
        <f>INDEX(Projects[Automation Equipment],496)&amp;""</f>
        <v/>
      </c>
      <c r="BA497" s="66">
        <f>IF(OR(A497="",'Smart Search'!H13=0),"",MAX(0,BE497*BF497*MAX(0,1-BG497)))</f>
        <v/>
      </c>
      <c r="BB497" s="66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66">
        <f>IF('Smart Search'!G13=1,IFERROR(1/'Smart Search'!H13,0),0)</f>
        <v/>
      </c>
      <c r="BD497" s="66">
        <f>BB497*BC497</f>
        <v/>
      </c>
      <c r="BE497" s="66">
        <f>AP497+AQ497+AR497+AS497+AT497+AU497+AV497+AW497+AX497+AY497+BD497</f>
        <v/>
      </c>
      <c r="BF497" s="5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5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5">
        <f>IF(AND(A497&lt;&gt;"",OR('Smart Search'!$L$5="",'Smart Search'!$L$5="All",TRIM(BZ497)=TRIM('Smart Search'!$L$5)),OR(TRIM('Smart Search'!$L$6)="",TRIM('Smart Search'!$L$6)="All",ISNUMBER(SEARCH(SUBSTITUTE(SUBSTITUTE(SUBSTITUTE(TRIM('Smart Search'!$L$6),"~","~~"),"*","~*"),"?","~?"),CA497))),OR('Smart Search'!$L$7="",AND(CB497&lt;&gt;0,CB497='Smart Search'!$L$7)),OR('Smart Search'!$L$8="",'Smart Search'!$L$8="All",TRIM(CC497)=TRIM('Smart Search'!$L$8))),IF(BA497="","",BA497+ROW()*0.0000000001),"")</f>
        <v/>
      </c>
      <c r="BI497" s="5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5">
        <f>IF(A497="","",N(INDEX(Projects[Mech Inst],496)))</f>
        <v/>
      </c>
      <c r="BK497" s="5">
        <f>IF(A497="","",N(INDEX(Projects[Elec Inst],496)))</f>
        <v/>
      </c>
      <c r="BL497" s="5">
        <f>IF(A497="","",N(INDEX(Projects[Project Management],496)))</f>
        <v/>
      </c>
      <c r="BM497" s="5">
        <f>IF(A497="","",N(INDEX(Projects[Systems Eng],496)))</f>
        <v/>
      </c>
      <c r="BN497" s="5">
        <f>IF(A497="","",N(INDEX(Projects[Mechanical Eng],496)))</f>
        <v/>
      </c>
      <c r="BO497" s="5">
        <f>IF(A497="","",N(INDEX(Projects[Structural Engineering],496)))</f>
        <v/>
      </c>
      <c r="BP497" s="5">
        <f>IF(A497="","",N(INDEX(Projects[Site Sup],496)))</f>
        <v/>
      </c>
      <c r="BQ497" s="5">
        <f>IF(A497="","",N(INDEX(Projects[Controls Commissioning],496)))</f>
        <v/>
      </c>
      <c r="BR497" s="5">
        <f>IF(A497="","",N(INDEX(Projects[Systems Commissioning],496)))</f>
        <v/>
      </c>
      <c r="BS497" s="5">
        <f>IF(A497="","",N(INDEX(Projects[Service Commissioning],496)))</f>
        <v/>
      </c>
      <c r="BT497" s="5">
        <f>IF(A497="","",N(INDEX(Projects[Controls Eng],496)))</f>
        <v/>
      </c>
      <c r="BU497" s="5">
        <f>IF(A497="","",N(INDEX(Projects[Controls Purchase],496)))</f>
        <v/>
      </c>
      <c r="BV497" s="5">
        <f>IF(A497="","",N(INDEX(Projects[Software Eng],496)))</f>
        <v/>
      </c>
      <c r="BW497" s="5">
        <f>IF(A497="","",N(INDEX(Projects[Misc],496)))</f>
        <v/>
      </c>
      <c r="BX497" s="5">
        <f>IF(A497="","",SUM(BJ497:BW497))</f>
        <v/>
      </c>
      <c r="BY497" s="5">
        <f>IF(A497="","",IFERROR(IF(ISNUMBER(U497),U497,VALUE(SUBSTITUTE(SUBSTITUTE(SUBSTITUTE(UPPER(TRIM(U497)),"M",""),",","")," ",""))),0))</f>
        <v/>
      </c>
      <c r="BZ497" s="5">
        <f>INDEX(Projects[Solution Type],496)&amp;""</f>
        <v/>
      </c>
      <c r="CA497" s="5">
        <f>INDEX(Projects[Client / Region],496)&amp;""</f>
        <v/>
      </c>
      <c r="CB497" s="5">
        <f>INDEX(Projects[Year],496)</f>
        <v/>
      </c>
      <c r="CC497" s="5">
        <f>INDEX(Projects[Won?],496)&amp;""</f>
        <v/>
      </c>
      <c r="CD497" s="5">
        <f>INDEX(Projects[Value (USD M)],496)</f>
        <v/>
      </c>
    </row>
    <row r="498" ht="15" customHeight="1" s="74">
      <c r="A498" s="66">
        <f>INDEX(Projects[Project ID *],497)&amp;""</f>
        <v/>
      </c>
      <c r="B498" s="66">
        <f>INDEX(Projects[Project Name *],497)&amp;""</f>
        <v/>
      </c>
      <c r="C498" s="66">
        <f>INDEX(Projects[MS Shuttles],497)</f>
        <v/>
      </c>
      <c r="D498" s="66">
        <f>INDEX(Projects[MS Tote Locations],497)</f>
        <v/>
      </c>
      <c r="E498" s="66">
        <f>INDEX(Projects[AS Robots],497)</f>
        <v/>
      </c>
      <c r="F498" s="66">
        <f>INDEX(Projects[AS Tote Locations],497)</f>
        <v/>
      </c>
      <c r="G498" s="66">
        <f>INDEX(Projects[PS Shuttles],497)</f>
        <v/>
      </c>
      <c r="H498" s="66">
        <f>INDEX(Projects[PS Pallet Locations],497)</f>
        <v/>
      </c>
      <c r="I498" s="66">
        <f>INDEX(Projects[SRM Cranes],497)</f>
        <v/>
      </c>
      <c r="J498" s="66">
        <f>INDEX(Projects[SRM Pallet Locations],497)</f>
        <v/>
      </c>
      <c r="K498" s="66">
        <f>INDEX(Projects[Case Conv (m)],497)</f>
        <v/>
      </c>
      <c r="L498" s="66">
        <f>INDEX(Projects[Pallet Conv (m)],497)</f>
        <v/>
      </c>
      <c r="M498" s="66">
        <f>INDEX(Projects[Mech Eng (wks)],497)</f>
        <v/>
      </c>
      <c r="N498" s="66">
        <f>INDEX(Projects[Controls Eng (wks)],497)</f>
        <v/>
      </c>
      <c r="O498" s="66">
        <f>INDEX(Projects[Systems Eng (wks)],497)</f>
        <v/>
      </c>
      <c r="P498" s="66">
        <f>INDEX(Projects[Software Eng (wks)],497)</f>
        <v/>
      </c>
      <c r="Q498" s="66">
        <f>INDEX(Projects[M&amp;E Installation (wks)],497)</f>
        <v/>
      </c>
      <c r="R498" s="66">
        <f>INDEX(Projects[Commissioning (wks)],497)</f>
        <v/>
      </c>
      <c r="S498" s="66">
        <f>INDEX(Projects[Total Timeline (wks)],497)</f>
        <v/>
      </c>
      <c r="T498" s="66">
        <f>INDEX(Projects[Currency],497)&amp;""</f>
        <v/>
      </c>
      <c r="U498" s="67">
        <f>INDEX(Projects[Value (M)],497)</f>
        <v/>
      </c>
      <c r="V498" s="66">
        <f>IF('Smart Search'!B13=1,IFERROR(1/'Smart Search'!H13,0),0)</f>
        <v/>
      </c>
      <c r="W498" s="66">
        <f>IF('Smart Search'!B13=1,IFERROR(1/'Smart Search'!H13,0),0)</f>
        <v/>
      </c>
      <c r="X498" s="66">
        <f>IF('Smart Search'!C13=1,IFERROR(1/'Smart Search'!H13,0),0)</f>
        <v/>
      </c>
      <c r="Y498" s="66">
        <f>IF('Smart Search'!C13=1,IFERROR(1/'Smart Search'!H13,0),0)</f>
        <v/>
      </c>
      <c r="Z498" s="66">
        <f>IF('Smart Search'!D13=1,IFERROR(1/'Smart Search'!H13,0),0)</f>
        <v/>
      </c>
      <c r="AA498" s="66">
        <f>IF('Smart Search'!D13=1,IFERROR(1/'Smart Search'!H13,0),0)</f>
        <v/>
      </c>
      <c r="AB498" s="66">
        <f>IF('Smart Search'!E13=1,IFERROR(1/'Smart Search'!H13,0),0)</f>
        <v/>
      </c>
      <c r="AC498" s="66">
        <f>IF('Smart Search'!E13=1,IFERROR(1/'Smart Search'!H13,0),0)</f>
        <v/>
      </c>
      <c r="AD498" s="66">
        <f>IF('Smart Search'!F13=1,IFERROR(1/'Smart Search'!H13,0),0)</f>
        <v/>
      </c>
      <c r="AE498" s="66">
        <f>IF('Smart Search'!F13=1,IFERROR(1/'Smart Search'!H13,0),0)</f>
        <v/>
      </c>
      <c r="AF498" s="66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66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66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66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66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66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66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66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66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66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66">
        <f>AF498*V498</f>
        <v/>
      </c>
      <c r="AQ498" s="66">
        <f>AG498*W498</f>
        <v/>
      </c>
      <c r="AR498" s="66">
        <f>AH498*X498</f>
        <v/>
      </c>
      <c r="AS498" s="66">
        <f>AI498*Y498</f>
        <v/>
      </c>
      <c r="AT498" s="66">
        <f>AJ498*Z498</f>
        <v/>
      </c>
      <c r="AU498" s="66">
        <f>AK498*AA498</f>
        <v/>
      </c>
      <c r="AV498" s="66">
        <f>AL498*AB498</f>
        <v/>
      </c>
      <c r="AW498" s="66">
        <f>AM498*AC498</f>
        <v/>
      </c>
      <c r="AX498" s="66">
        <f>AN498*AD498</f>
        <v/>
      </c>
      <c r="AY498" s="66">
        <f>AO498*AE498</f>
        <v/>
      </c>
      <c r="AZ498" s="66">
        <f>INDEX(Projects[Automation Equipment],497)&amp;""</f>
        <v/>
      </c>
      <c r="BA498" s="66">
        <f>IF(OR(A498="",'Smart Search'!H13=0),"",MAX(0,BE498*BF498*MAX(0,1-BG498)))</f>
        <v/>
      </c>
      <c r="BB498" s="66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66">
        <f>IF('Smart Search'!G13=1,IFERROR(1/'Smart Search'!H13,0),0)</f>
        <v/>
      </c>
      <c r="BD498" s="66">
        <f>BB498*BC498</f>
        <v/>
      </c>
      <c r="BE498" s="66">
        <f>AP498+AQ498+AR498+AS498+AT498+AU498+AV498+AW498+AX498+AY498+BD498</f>
        <v/>
      </c>
      <c r="BF498" s="5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5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5">
        <f>IF(AND(A498&lt;&gt;"",OR('Smart Search'!$L$5="",'Smart Search'!$L$5="All",TRIM(BZ498)=TRIM('Smart Search'!$L$5)),OR(TRIM('Smart Search'!$L$6)="",TRIM('Smart Search'!$L$6)="All",ISNUMBER(SEARCH(SUBSTITUTE(SUBSTITUTE(SUBSTITUTE(TRIM('Smart Search'!$L$6),"~","~~"),"*","~*"),"?","~?"),CA498))),OR('Smart Search'!$L$7="",AND(CB498&lt;&gt;0,CB498='Smart Search'!$L$7)),OR('Smart Search'!$L$8="",'Smart Search'!$L$8="All",TRIM(CC498)=TRIM('Smart Search'!$L$8))),IF(BA498="","",BA498+ROW()*0.0000000001),"")</f>
        <v/>
      </c>
      <c r="BI498" s="5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5">
        <f>IF(A498="","",N(INDEX(Projects[Mech Inst],497)))</f>
        <v/>
      </c>
      <c r="BK498" s="5">
        <f>IF(A498="","",N(INDEX(Projects[Elec Inst],497)))</f>
        <v/>
      </c>
      <c r="BL498" s="5">
        <f>IF(A498="","",N(INDEX(Projects[Project Management],497)))</f>
        <v/>
      </c>
      <c r="BM498" s="5">
        <f>IF(A498="","",N(INDEX(Projects[Systems Eng],497)))</f>
        <v/>
      </c>
      <c r="BN498" s="5">
        <f>IF(A498="","",N(INDEX(Projects[Mechanical Eng],497)))</f>
        <v/>
      </c>
      <c r="BO498" s="5">
        <f>IF(A498="","",N(INDEX(Projects[Structural Engineering],497)))</f>
        <v/>
      </c>
      <c r="BP498" s="5">
        <f>IF(A498="","",N(INDEX(Projects[Site Sup],497)))</f>
        <v/>
      </c>
      <c r="BQ498" s="5">
        <f>IF(A498="","",N(INDEX(Projects[Controls Commissioning],497)))</f>
        <v/>
      </c>
      <c r="BR498" s="5">
        <f>IF(A498="","",N(INDEX(Projects[Systems Commissioning],497)))</f>
        <v/>
      </c>
      <c r="BS498" s="5">
        <f>IF(A498="","",N(INDEX(Projects[Service Commissioning],497)))</f>
        <v/>
      </c>
      <c r="BT498" s="5">
        <f>IF(A498="","",N(INDEX(Projects[Controls Eng],497)))</f>
        <v/>
      </c>
      <c r="BU498" s="5">
        <f>IF(A498="","",N(INDEX(Projects[Controls Purchase],497)))</f>
        <v/>
      </c>
      <c r="BV498" s="5">
        <f>IF(A498="","",N(INDEX(Projects[Software Eng],497)))</f>
        <v/>
      </c>
      <c r="BW498" s="5">
        <f>IF(A498="","",N(INDEX(Projects[Misc],497)))</f>
        <v/>
      </c>
      <c r="BX498" s="5">
        <f>IF(A498="","",SUM(BJ498:BW498))</f>
        <v/>
      </c>
      <c r="BY498" s="5">
        <f>IF(A498="","",IFERROR(IF(ISNUMBER(U498),U498,VALUE(SUBSTITUTE(SUBSTITUTE(SUBSTITUTE(UPPER(TRIM(U498)),"M",""),",","")," ",""))),0))</f>
        <v/>
      </c>
      <c r="BZ498" s="5">
        <f>INDEX(Projects[Solution Type],497)&amp;""</f>
        <v/>
      </c>
      <c r="CA498" s="5">
        <f>INDEX(Projects[Client / Region],497)&amp;""</f>
        <v/>
      </c>
      <c r="CB498" s="5">
        <f>INDEX(Projects[Year],497)</f>
        <v/>
      </c>
      <c r="CC498" s="5">
        <f>INDEX(Projects[Won?],497)&amp;""</f>
        <v/>
      </c>
      <c r="CD498" s="5">
        <f>INDEX(Projects[Value (USD M)],497)</f>
        <v/>
      </c>
    </row>
    <row r="499" ht="15" customHeight="1" s="74">
      <c r="A499" s="66">
        <f>INDEX(Projects[Project ID *],498)&amp;""</f>
        <v/>
      </c>
      <c r="B499" s="66">
        <f>INDEX(Projects[Project Name *],498)&amp;""</f>
        <v/>
      </c>
      <c r="C499" s="66">
        <f>INDEX(Projects[MS Shuttles],498)</f>
        <v/>
      </c>
      <c r="D499" s="66">
        <f>INDEX(Projects[MS Tote Locations],498)</f>
        <v/>
      </c>
      <c r="E499" s="66">
        <f>INDEX(Projects[AS Robots],498)</f>
        <v/>
      </c>
      <c r="F499" s="66">
        <f>INDEX(Projects[AS Tote Locations],498)</f>
        <v/>
      </c>
      <c r="G499" s="66">
        <f>INDEX(Projects[PS Shuttles],498)</f>
        <v/>
      </c>
      <c r="H499" s="66">
        <f>INDEX(Projects[PS Pallet Locations],498)</f>
        <v/>
      </c>
      <c r="I499" s="66">
        <f>INDEX(Projects[SRM Cranes],498)</f>
        <v/>
      </c>
      <c r="J499" s="66">
        <f>INDEX(Projects[SRM Pallet Locations],498)</f>
        <v/>
      </c>
      <c r="K499" s="66">
        <f>INDEX(Projects[Case Conv (m)],498)</f>
        <v/>
      </c>
      <c r="L499" s="66">
        <f>INDEX(Projects[Pallet Conv (m)],498)</f>
        <v/>
      </c>
      <c r="M499" s="66">
        <f>INDEX(Projects[Mech Eng (wks)],498)</f>
        <v/>
      </c>
      <c r="N499" s="66">
        <f>INDEX(Projects[Controls Eng (wks)],498)</f>
        <v/>
      </c>
      <c r="O499" s="66">
        <f>INDEX(Projects[Systems Eng (wks)],498)</f>
        <v/>
      </c>
      <c r="P499" s="66">
        <f>INDEX(Projects[Software Eng (wks)],498)</f>
        <v/>
      </c>
      <c r="Q499" s="66">
        <f>INDEX(Projects[M&amp;E Installation (wks)],498)</f>
        <v/>
      </c>
      <c r="R499" s="66">
        <f>INDEX(Projects[Commissioning (wks)],498)</f>
        <v/>
      </c>
      <c r="S499" s="66">
        <f>INDEX(Projects[Total Timeline (wks)],498)</f>
        <v/>
      </c>
      <c r="T499" s="66">
        <f>INDEX(Projects[Currency],498)&amp;""</f>
        <v/>
      </c>
      <c r="U499" s="67">
        <f>INDEX(Projects[Value (M)],498)</f>
        <v/>
      </c>
      <c r="V499" s="66">
        <f>IF('Smart Search'!B13=1,IFERROR(1/'Smart Search'!H13,0),0)</f>
        <v/>
      </c>
      <c r="W499" s="66">
        <f>IF('Smart Search'!B13=1,IFERROR(1/'Smart Search'!H13,0),0)</f>
        <v/>
      </c>
      <c r="X499" s="66">
        <f>IF('Smart Search'!C13=1,IFERROR(1/'Smart Search'!H13,0),0)</f>
        <v/>
      </c>
      <c r="Y499" s="66">
        <f>IF('Smart Search'!C13=1,IFERROR(1/'Smart Search'!H13,0),0)</f>
        <v/>
      </c>
      <c r="Z499" s="66">
        <f>IF('Smart Search'!D13=1,IFERROR(1/'Smart Search'!H13,0),0)</f>
        <v/>
      </c>
      <c r="AA499" s="66">
        <f>IF('Smart Search'!D13=1,IFERROR(1/'Smart Search'!H13,0),0)</f>
        <v/>
      </c>
      <c r="AB499" s="66">
        <f>IF('Smart Search'!E13=1,IFERROR(1/'Smart Search'!H13,0),0)</f>
        <v/>
      </c>
      <c r="AC499" s="66">
        <f>IF('Smart Search'!E13=1,IFERROR(1/'Smart Search'!H13,0),0)</f>
        <v/>
      </c>
      <c r="AD499" s="66">
        <f>IF('Smart Search'!F13=1,IFERROR(1/'Smart Search'!H13,0),0)</f>
        <v/>
      </c>
      <c r="AE499" s="66">
        <f>IF('Smart Search'!F13=1,IFERROR(1/'Smart Search'!H13,0),0)</f>
        <v/>
      </c>
      <c r="AF499" s="66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66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66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66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66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66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66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66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66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66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66">
        <f>AF499*V499</f>
        <v/>
      </c>
      <c r="AQ499" s="66">
        <f>AG499*W499</f>
        <v/>
      </c>
      <c r="AR499" s="66">
        <f>AH499*X499</f>
        <v/>
      </c>
      <c r="AS499" s="66">
        <f>AI499*Y499</f>
        <v/>
      </c>
      <c r="AT499" s="66">
        <f>AJ499*Z499</f>
        <v/>
      </c>
      <c r="AU499" s="66">
        <f>AK499*AA499</f>
        <v/>
      </c>
      <c r="AV499" s="66">
        <f>AL499*AB499</f>
        <v/>
      </c>
      <c r="AW499" s="66">
        <f>AM499*AC499</f>
        <v/>
      </c>
      <c r="AX499" s="66">
        <f>AN499*AD499</f>
        <v/>
      </c>
      <c r="AY499" s="66">
        <f>AO499*AE499</f>
        <v/>
      </c>
      <c r="AZ499" s="66">
        <f>INDEX(Projects[Automation Equipment],498)&amp;""</f>
        <v/>
      </c>
      <c r="BA499" s="66">
        <f>IF(OR(A499="",'Smart Search'!H13=0),"",MAX(0,BE499*BF499*MAX(0,1-BG499)))</f>
        <v/>
      </c>
      <c r="BB499" s="66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66">
        <f>IF('Smart Search'!G13=1,IFERROR(1/'Smart Search'!H13,0),0)</f>
        <v/>
      </c>
      <c r="BD499" s="66">
        <f>BB499*BC499</f>
        <v/>
      </c>
      <c r="BE499" s="66">
        <f>AP499+AQ499+AR499+AS499+AT499+AU499+AV499+AW499+AX499+AY499+BD499</f>
        <v/>
      </c>
      <c r="BF499" s="5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5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5">
        <f>IF(AND(A499&lt;&gt;"",OR('Smart Search'!$L$5="",'Smart Search'!$L$5="All",TRIM(BZ499)=TRIM('Smart Search'!$L$5)),OR(TRIM('Smart Search'!$L$6)="",TRIM('Smart Search'!$L$6)="All",ISNUMBER(SEARCH(SUBSTITUTE(SUBSTITUTE(SUBSTITUTE(TRIM('Smart Search'!$L$6),"~","~~"),"*","~*"),"?","~?"),CA499))),OR('Smart Search'!$L$7="",AND(CB499&lt;&gt;0,CB499='Smart Search'!$L$7)),OR('Smart Search'!$L$8="",'Smart Search'!$L$8="All",TRIM(CC499)=TRIM('Smart Search'!$L$8))),IF(BA499="","",BA499+ROW()*0.0000000001),"")</f>
        <v/>
      </c>
      <c r="BI499" s="5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5">
        <f>IF(A499="","",N(INDEX(Projects[Mech Inst],498)))</f>
        <v/>
      </c>
      <c r="BK499" s="5">
        <f>IF(A499="","",N(INDEX(Projects[Elec Inst],498)))</f>
        <v/>
      </c>
      <c r="BL499" s="5">
        <f>IF(A499="","",N(INDEX(Projects[Project Management],498)))</f>
        <v/>
      </c>
      <c r="BM499" s="5">
        <f>IF(A499="","",N(INDEX(Projects[Systems Eng],498)))</f>
        <v/>
      </c>
      <c r="BN499" s="5">
        <f>IF(A499="","",N(INDEX(Projects[Mechanical Eng],498)))</f>
        <v/>
      </c>
      <c r="BO499" s="5">
        <f>IF(A499="","",N(INDEX(Projects[Structural Engineering],498)))</f>
        <v/>
      </c>
      <c r="BP499" s="5">
        <f>IF(A499="","",N(INDEX(Projects[Site Sup],498)))</f>
        <v/>
      </c>
      <c r="BQ499" s="5">
        <f>IF(A499="","",N(INDEX(Projects[Controls Commissioning],498)))</f>
        <v/>
      </c>
      <c r="BR499" s="5">
        <f>IF(A499="","",N(INDEX(Projects[Systems Commissioning],498)))</f>
        <v/>
      </c>
      <c r="BS499" s="5">
        <f>IF(A499="","",N(INDEX(Projects[Service Commissioning],498)))</f>
        <v/>
      </c>
      <c r="BT499" s="5">
        <f>IF(A499="","",N(INDEX(Projects[Controls Eng],498)))</f>
        <v/>
      </c>
      <c r="BU499" s="5">
        <f>IF(A499="","",N(INDEX(Projects[Controls Purchase],498)))</f>
        <v/>
      </c>
      <c r="BV499" s="5">
        <f>IF(A499="","",N(INDEX(Projects[Software Eng],498)))</f>
        <v/>
      </c>
      <c r="BW499" s="5">
        <f>IF(A499="","",N(INDEX(Projects[Misc],498)))</f>
        <v/>
      </c>
      <c r="BX499" s="5">
        <f>IF(A499="","",SUM(BJ499:BW499))</f>
        <v/>
      </c>
      <c r="BY499" s="5">
        <f>IF(A499="","",IFERROR(IF(ISNUMBER(U499),U499,VALUE(SUBSTITUTE(SUBSTITUTE(SUBSTITUTE(UPPER(TRIM(U499)),"M",""),",","")," ",""))),0))</f>
        <v/>
      </c>
      <c r="BZ499" s="5">
        <f>INDEX(Projects[Solution Type],498)&amp;""</f>
        <v/>
      </c>
      <c r="CA499" s="5">
        <f>INDEX(Projects[Client / Region],498)&amp;""</f>
        <v/>
      </c>
      <c r="CB499" s="5">
        <f>INDEX(Projects[Year],498)</f>
        <v/>
      </c>
      <c r="CC499" s="5">
        <f>INDEX(Projects[Won?],498)&amp;""</f>
        <v/>
      </c>
      <c r="CD499" s="5">
        <f>INDEX(Projects[Value (USD M)],498)</f>
        <v/>
      </c>
    </row>
    <row r="500" ht="15" customHeight="1" s="74">
      <c r="A500" s="66">
        <f>INDEX(Projects[Project ID *],499)&amp;""</f>
        <v/>
      </c>
      <c r="B500" s="66">
        <f>INDEX(Projects[Project Name *],499)&amp;""</f>
        <v/>
      </c>
      <c r="C500" s="66">
        <f>INDEX(Projects[MS Shuttles],499)</f>
        <v/>
      </c>
      <c r="D500" s="66">
        <f>INDEX(Projects[MS Tote Locations],499)</f>
        <v/>
      </c>
      <c r="E500" s="66">
        <f>INDEX(Projects[AS Robots],499)</f>
        <v/>
      </c>
      <c r="F500" s="66">
        <f>INDEX(Projects[AS Tote Locations],499)</f>
        <v/>
      </c>
      <c r="G500" s="66">
        <f>INDEX(Projects[PS Shuttles],499)</f>
        <v/>
      </c>
      <c r="H500" s="66">
        <f>INDEX(Projects[PS Pallet Locations],499)</f>
        <v/>
      </c>
      <c r="I500" s="66">
        <f>INDEX(Projects[SRM Cranes],499)</f>
        <v/>
      </c>
      <c r="J500" s="66">
        <f>INDEX(Projects[SRM Pallet Locations],499)</f>
        <v/>
      </c>
      <c r="K500" s="66">
        <f>INDEX(Projects[Case Conv (m)],499)</f>
        <v/>
      </c>
      <c r="L500" s="66">
        <f>INDEX(Projects[Pallet Conv (m)],499)</f>
        <v/>
      </c>
      <c r="M500" s="66">
        <f>INDEX(Projects[Mech Eng (wks)],499)</f>
        <v/>
      </c>
      <c r="N500" s="66">
        <f>INDEX(Projects[Controls Eng (wks)],499)</f>
        <v/>
      </c>
      <c r="O500" s="66">
        <f>INDEX(Projects[Systems Eng (wks)],499)</f>
        <v/>
      </c>
      <c r="P500" s="66">
        <f>INDEX(Projects[Software Eng (wks)],499)</f>
        <v/>
      </c>
      <c r="Q500" s="66">
        <f>INDEX(Projects[M&amp;E Installation (wks)],499)</f>
        <v/>
      </c>
      <c r="R500" s="66">
        <f>INDEX(Projects[Commissioning (wks)],499)</f>
        <v/>
      </c>
      <c r="S500" s="66">
        <f>INDEX(Projects[Total Timeline (wks)],499)</f>
        <v/>
      </c>
      <c r="T500" s="66">
        <f>INDEX(Projects[Currency],499)&amp;""</f>
        <v/>
      </c>
      <c r="U500" s="67">
        <f>INDEX(Projects[Value (M)],499)</f>
        <v/>
      </c>
      <c r="V500" s="66">
        <f>IF('Smart Search'!B13=1,IFERROR(1/'Smart Search'!H13,0),0)</f>
        <v/>
      </c>
      <c r="W500" s="66">
        <f>IF('Smart Search'!B13=1,IFERROR(1/'Smart Search'!H13,0),0)</f>
        <v/>
      </c>
      <c r="X500" s="66">
        <f>IF('Smart Search'!C13=1,IFERROR(1/'Smart Search'!H13,0),0)</f>
        <v/>
      </c>
      <c r="Y500" s="66">
        <f>IF('Smart Search'!C13=1,IFERROR(1/'Smart Search'!H13,0),0)</f>
        <v/>
      </c>
      <c r="Z500" s="66">
        <f>IF('Smart Search'!D13=1,IFERROR(1/'Smart Search'!H13,0),0)</f>
        <v/>
      </c>
      <c r="AA500" s="66">
        <f>IF('Smart Search'!D13=1,IFERROR(1/'Smart Search'!H13,0),0)</f>
        <v/>
      </c>
      <c r="AB500" s="66">
        <f>IF('Smart Search'!E13=1,IFERROR(1/'Smart Search'!H13,0),0)</f>
        <v/>
      </c>
      <c r="AC500" s="66">
        <f>IF('Smart Search'!E13=1,IFERROR(1/'Smart Search'!H13,0),0)</f>
        <v/>
      </c>
      <c r="AD500" s="66">
        <f>IF('Smart Search'!F13=1,IFERROR(1/'Smart Search'!H13,0),0)</f>
        <v/>
      </c>
      <c r="AE500" s="66">
        <f>IF('Smart Search'!F13=1,IFERROR(1/'Smart Search'!H13,0),0)</f>
        <v/>
      </c>
      <c r="AF500" s="66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66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66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66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66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66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66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66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66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66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66">
        <f>AF500*V500</f>
        <v/>
      </c>
      <c r="AQ500" s="66">
        <f>AG500*W500</f>
        <v/>
      </c>
      <c r="AR500" s="66">
        <f>AH500*X500</f>
        <v/>
      </c>
      <c r="AS500" s="66">
        <f>AI500*Y500</f>
        <v/>
      </c>
      <c r="AT500" s="66">
        <f>AJ500*Z500</f>
        <v/>
      </c>
      <c r="AU500" s="66">
        <f>AK500*AA500</f>
        <v/>
      </c>
      <c r="AV500" s="66">
        <f>AL500*AB500</f>
        <v/>
      </c>
      <c r="AW500" s="66">
        <f>AM500*AC500</f>
        <v/>
      </c>
      <c r="AX500" s="66">
        <f>AN500*AD500</f>
        <v/>
      </c>
      <c r="AY500" s="66">
        <f>AO500*AE500</f>
        <v/>
      </c>
      <c r="AZ500" s="66">
        <f>INDEX(Projects[Automation Equipment],499)&amp;""</f>
        <v/>
      </c>
      <c r="BA500" s="66">
        <f>IF(OR(A500="",'Smart Search'!H13=0),"",MAX(0,BE500*BF500*MAX(0,1-BG500)))</f>
        <v/>
      </c>
      <c r="BB500" s="66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66">
        <f>IF('Smart Search'!G13=1,IFERROR(1/'Smart Search'!H13,0),0)</f>
        <v/>
      </c>
      <c r="BD500" s="66">
        <f>BB500*BC500</f>
        <v/>
      </c>
      <c r="BE500" s="66">
        <f>AP500+AQ500+AR500+AS500+AT500+AU500+AV500+AW500+AX500+AY500+BD500</f>
        <v/>
      </c>
      <c r="BF500" s="5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5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5">
        <f>IF(AND(A500&lt;&gt;"",OR('Smart Search'!$L$5="",'Smart Search'!$L$5="All",TRIM(BZ500)=TRIM('Smart Search'!$L$5)),OR(TRIM('Smart Search'!$L$6)="",TRIM('Smart Search'!$L$6)="All",ISNUMBER(SEARCH(SUBSTITUTE(SUBSTITUTE(SUBSTITUTE(TRIM('Smart Search'!$L$6),"~","~~"),"*","~*"),"?","~?"),CA500))),OR('Smart Search'!$L$7="",AND(CB500&lt;&gt;0,CB500='Smart Search'!$L$7)),OR('Smart Search'!$L$8="",'Smart Search'!$L$8="All",TRIM(CC500)=TRIM('Smart Search'!$L$8))),IF(BA500="","",BA500+ROW()*0.0000000001),"")</f>
        <v/>
      </c>
      <c r="BI500" s="5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5">
        <f>IF(A500="","",N(INDEX(Projects[Mech Inst],499)))</f>
        <v/>
      </c>
      <c r="BK500" s="5">
        <f>IF(A500="","",N(INDEX(Projects[Elec Inst],499)))</f>
        <v/>
      </c>
      <c r="BL500" s="5">
        <f>IF(A500="","",N(INDEX(Projects[Project Management],499)))</f>
        <v/>
      </c>
      <c r="BM500" s="5">
        <f>IF(A500="","",N(INDEX(Projects[Systems Eng],499)))</f>
        <v/>
      </c>
      <c r="BN500" s="5">
        <f>IF(A500="","",N(INDEX(Projects[Mechanical Eng],499)))</f>
        <v/>
      </c>
      <c r="BO500" s="5">
        <f>IF(A500="","",N(INDEX(Projects[Structural Engineering],499)))</f>
        <v/>
      </c>
      <c r="BP500" s="5">
        <f>IF(A500="","",N(INDEX(Projects[Site Sup],499)))</f>
        <v/>
      </c>
      <c r="BQ500" s="5">
        <f>IF(A500="","",N(INDEX(Projects[Controls Commissioning],499)))</f>
        <v/>
      </c>
      <c r="BR500" s="5">
        <f>IF(A500="","",N(INDEX(Projects[Systems Commissioning],499)))</f>
        <v/>
      </c>
      <c r="BS500" s="5">
        <f>IF(A500="","",N(INDEX(Projects[Service Commissioning],499)))</f>
        <v/>
      </c>
      <c r="BT500" s="5">
        <f>IF(A500="","",N(INDEX(Projects[Controls Eng],499)))</f>
        <v/>
      </c>
      <c r="BU500" s="5">
        <f>IF(A500="","",N(INDEX(Projects[Controls Purchase],499)))</f>
        <v/>
      </c>
      <c r="BV500" s="5">
        <f>IF(A500="","",N(INDEX(Projects[Software Eng],499)))</f>
        <v/>
      </c>
      <c r="BW500" s="5">
        <f>IF(A500="","",N(INDEX(Projects[Misc],499)))</f>
        <v/>
      </c>
      <c r="BX500" s="5">
        <f>IF(A500="","",SUM(BJ500:BW500))</f>
        <v/>
      </c>
      <c r="BY500" s="5">
        <f>IF(A500="","",IFERROR(IF(ISNUMBER(U500),U500,VALUE(SUBSTITUTE(SUBSTITUTE(SUBSTITUTE(UPPER(TRIM(U500)),"M",""),",","")," ",""))),0))</f>
        <v/>
      </c>
      <c r="BZ500" s="5">
        <f>INDEX(Projects[Solution Type],499)&amp;""</f>
        <v/>
      </c>
      <c r="CA500" s="5">
        <f>INDEX(Projects[Client / Region],499)&amp;""</f>
        <v/>
      </c>
      <c r="CB500" s="5">
        <f>INDEX(Projects[Year],499)</f>
        <v/>
      </c>
      <c r="CC500" s="5">
        <f>INDEX(Projects[Won?],499)&amp;""</f>
        <v/>
      </c>
      <c r="CD500" s="5">
        <f>INDEX(Projects[Value (USD M)],499)</f>
        <v/>
      </c>
    </row>
    <row r="501" ht="15" customHeight="1" s="74">
      <c r="A501" s="66" t="n"/>
      <c r="B501" s="66" t="n"/>
      <c r="C501" s="66" t="n"/>
      <c r="D501" s="66" t="n"/>
      <c r="E501" s="66" t="n"/>
      <c r="F501" s="66" t="n"/>
      <c r="G501" s="66" t="n"/>
      <c r="H501" s="66" t="n"/>
      <c r="I501" s="66" t="n"/>
      <c r="J501" s="66" t="n"/>
      <c r="K501" s="66" t="n"/>
      <c r="L501" s="66" t="n"/>
      <c r="M501" s="66" t="n"/>
      <c r="N501" s="66" t="n"/>
      <c r="O501" s="66" t="n"/>
      <c r="P501" s="66" t="n"/>
      <c r="Q501" s="66" t="n"/>
      <c r="R501" s="66" t="n"/>
      <c r="S501" s="66" t="n"/>
      <c r="T501" s="66" t="n"/>
      <c r="U501" s="67" t="n"/>
      <c r="V501" s="66" t="n"/>
      <c r="W501" s="66" t="n"/>
      <c r="X501" s="66" t="n"/>
      <c r="Y501" s="66" t="n"/>
      <c r="Z501" s="66" t="n"/>
      <c r="AA501" s="66" t="n"/>
      <c r="AB501" s="66" t="n"/>
      <c r="AC501" s="66" t="n"/>
      <c r="AD501" s="66" t="n"/>
      <c r="AE501" s="66" t="n"/>
      <c r="AF501" s="66" t="n"/>
      <c r="AG501" s="66" t="n"/>
      <c r="AH501" s="66" t="n"/>
      <c r="AI501" s="66" t="n"/>
      <c r="AJ501" s="66" t="n"/>
      <c r="AK501" s="66" t="n"/>
      <c r="AL501" s="66" t="n"/>
      <c r="AM501" s="66" t="n"/>
      <c r="AN501" s="66" t="n"/>
      <c r="AO501" s="66" t="n"/>
      <c r="AP501" s="66" t="n"/>
      <c r="AQ501" s="66" t="n"/>
      <c r="AR501" s="66" t="n"/>
      <c r="AS501" s="66" t="n"/>
      <c r="AT501" s="66" t="n"/>
      <c r="AU501" s="66" t="n"/>
      <c r="AV501" s="66" t="n"/>
      <c r="AW501" s="66" t="n"/>
      <c r="AX501" s="66" t="n"/>
      <c r="AY501" s="66" t="n"/>
      <c r="AZ501" s="66" t="n"/>
      <c r="BA501" s="66" t="n"/>
      <c r="BB501" s="66" t="n"/>
      <c r="BC501" s="66" t="n"/>
      <c r="BD501" s="66" t="n"/>
      <c r="BE501" s="66" t="n"/>
      <c r="BF501" s="5" t="n"/>
      <c r="BG501" s="5" t="n"/>
      <c r="BH501" s="5" t="n"/>
      <c r="BI501" s="5" t="n"/>
      <c r="BJ501" s="5" t="n"/>
      <c r="BK501" s="5" t="n"/>
      <c r="BL501" s="5" t="n"/>
      <c r="BM501" s="5" t="n"/>
      <c r="BN501" s="5" t="n"/>
      <c r="BO501" s="5" t="n"/>
      <c r="BP501" s="5" t="n"/>
      <c r="BQ501" s="5" t="n"/>
      <c r="BR501" s="5" t="n"/>
      <c r="BS501" s="5" t="n"/>
      <c r="BT501" s="5" t="n"/>
      <c r="BU501" s="5" t="n"/>
      <c r="BV501" s="5" t="n"/>
      <c r="BW501" s="5" t="n"/>
      <c r="BX501" s="5" t="n"/>
      <c r="BY501" s="5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34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style="74" min="1" max="1"/>
    <col width="2" customWidth="1" style="74" min="2" max="2"/>
    <col width="12" customWidth="1" style="74" min="3" max="8"/>
    <col width="2" customWidth="1" style="74" min="9" max="9"/>
    <col width="12" customWidth="1" style="74" min="10" max="15"/>
    <col width="2" customWidth="1" style="74" min="16" max="16"/>
    <col width="12" customWidth="1" style="74" min="17" max="22"/>
  </cols>
  <sheetData>
    <row r="1" ht="36" customHeight="1" s="74">
      <c r="A1" s="170" t="inlineStr">
        <is>
          <t>DEMATIC  |  Project Comparison  —  Top 3 Closest Matches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7.75" customHeight="1" s="74">
      <c r="A3" s="171" t="n"/>
      <c r="C3" s="172" t="inlineStr">
        <is>
          <t xml:space="preserve">  RANK 1  —  Best Match</t>
        </is>
      </c>
      <c r="I3" s="153" t="n"/>
      <c r="J3" s="173" t="inlineStr">
        <is>
          <t xml:space="preserve">  RANK 2  —  2nd Match</t>
        </is>
      </c>
      <c r="P3" s="153" t="n"/>
      <c r="Q3" s="174" t="inlineStr">
        <is>
          <t xml:space="preserve">  RANK 3  —  3rd Match</t>
        </is>
      </c>
    </row>
    <row r="4" ht="27.75" customHeight="1" s="74">
      <c r="A4" s="149" t="inlineStr">
        <is>
          <t>Match Score</t>
        </is>
      </c>
      <c r="B4" s="88" t="n"/>
      <c r="C4" s="143">
        <f>IFERROR(TEXT(LARGE(_Helper!BH2:BH501,1),"0%"),"-")</f>
        <v/>
      </c>
      <c r="D4" s="94" t="n"/>
      <c r="E4" s="94" t="n"/>
      <c r="F4" s="94" t="n"/>
      <c r="G4" s="94" t="n"/>
      <c r="H4" s="94" t="n"/>
      <c r="J4" s="141">
        <f>IFERROR(TEXT(LARGE(_Helper!BH2:BH501,2),"0%"),"-")</f>
        <v/>
      </c>
      <c r="K4" s="72" t="n"/>
      <c r="L4" s="72" t="n"/>
      <c r="M4" s="72" t="n"/>
      <c r="N4" s="72" t="n"/>
      <c r="O4" s="72" t="n"/>
      <c r="Q4" s="152">
        <f>IFERROR(TEXT(LARGE(_Helper!BH2:BH501,3),"0%"),"-")</f>
        <v/>
      </c>
      <c r="R4" s="72" t="n"/>
      <c r="S4" s="72" t="n"/>
      <c r="T4" s="72" t="n"/>
      <c r="U4" s="72" t="n"/>
      <c r="V4" s="72" t="n"/>
    </row>
    <row r="5" ht="19.5" customHeight="1" s="74">
      <c r="A5" s="175" t="inlineStr">
        <is>
          <t xml:space="preserve">  PROJECT INFORMATION</t>
        </is>
      </c>
    </row>
    <row r="6" ht="19.5" customHeight="1" s="74">
      <c r="A6" s="140" t="inlineStr">
        <is>
          <t>Project ID</t>
        </is>
      </c>
      <c r="B6" s="91" t="n"/>
      <c r="C6" s="135">
        <f>IFERROR(INDEX(_Helper!A2:A501,MATCH(LARGE(_Helper!BH2:BH501,1),_Helper!BH2:BH501,0)),"-")</f>
        <v/>
      </c>
      <c r="D6" s="91" t="n"/>
      <c r="E6" s="91" t="n"/>
      <c r="F6" s="91" t="n"/>
      <c r="G6" s="91" t="n"/>
      <c r="H6" s="91" t="n"/>
      <c r="I6" s="7" t="n"/>
      <c r="J6" s="136">
        <f>IFERROR(INDEX(_Helper!A2:A501,MATCH(LARGE(_Helper!BH2:BH501,2),_Helper!BH2:BH501,0)),"-")</f>
        <v/>
      </c>
      <c r="K6" s="91" t="n"/>
      <c r="L6" s="91" t="n"/>
      <c r="M6" s="91" t="n"/>
      <c r="N6" s="91" t="n"/>
      <c r="O6" s="91" t="n"/>
      <c r="P6" s="7" t="n"/>
      <c r="Q6" s="138">
        <f>IFERROR(INDEX(_Helper!A2:A501,MATCH(LARGE(_Helper!BH2:BH501,3),_Helper!BH2:BH501,0)),"-")</f>
        <v/>
      </c>
      <c r="R6" s="91" t="n"/>
      <c r="S6" s="91" t="n"/>
      <c r="T6" s="91" t="n"/>
      <c r="U6" s="91" t="n"/>
      <c r="V6" s="91" t="n"/>
    </row>
    <row r="7" ht="19.5" customHeight="1" s="74">
      <c r="A7" s="137" t="inlineStr">
        <is>
          <t>Project Name</t>
        </is>
      </c>
      <c r="B7" s="91" t="n"/>
      <c r="C7" s="135">
        <f>IFERROR(INDEX(_Helper!B2:B501,MATCH(LARGE(_Helper!BH2:BH501,1),_Helper!BH2:BH501,0)),"-")</f>
        <v/>
      </c>
      <c r="D7" s="91" t="n"/>
      <c r="E7" s="91" t="n"/>
      <c r="F7" s="91" t="n"/>
      <c r="G7" s="91" t="n"/>
      <c r="H7" s="91" t="n"/>
      <c r="I7" s="8" t="n"/>
      <c r="J7" s="136">
        <f>IFERROR(INDEX(_Helper!B2:B501,MATCH(LARGE(_Helper!BH2:BH501,2),_Helper!BH2:BH501,0)),"-")</f>
        <v/>
      </c>
      <c r="K7" s="91" t="n"/>
      <c r="L7" s="91" t="n"/>
      <c r="M7" s="91" t="n"/>
      <c r="N7" s="91" t="n"/>
      <c r="O7" s="91" t="n"/>
      <c r="P7" s="8" t="n"/>
      <c r="Q7" s="138">
        <f>IFERROR(INDEX(_Helper!B2:B501,MATCH(LARGE(_Helper!BH2:BH501,3),_Helper!BH2:BH501,0)),"-")</f>
        <v/>
      </c>
      <c r="R7" s="91" t="n"/>
      <c r="S7" s="91" t="n"/>
      <c r="T7" s="91" t="n"/>
      <c r="U7" s="91" t="n"/>
      <c r="V7" s="91" t="n"/>
    </row>
    <row r="8" ht="19.5" customHeight="1" s="74">
      <c r="A8" s="140" t="inlineStr">
        <is>
          <t>Client / Region</t>
        </is>
      </c>
      <c r="B8" s="91" t="n"/>
      <c r="C8" s="135">
        <f>IFERROR(INDEX(_Helper!CA2:CA501,MATCH(LARGE(_Helper!BH2:BH501,1),_Helper!BH2:BH501,0)),"-")</f>
        <v/>
      </c>
      <c r="D8" s="91" t="n"/>
      <c r="E8" s="91" t="n"/>
      <c r="F8" s="91" t="n"/>
      <c r="G8" s="91" t="n"/>
      <c r="H8" s="91" t="n"/>
      <c r="I8" s="7" t="n"/>
      <c r="J8" s="136">
        <f>IFERROR(INDEX(_Helper!CA2:CA501,MATCH(LARGE(_Helper!BH2:BH501,2),_Helper!BH2:BH501,0)),"-")</f>
        <v/>
      </c>
      <c r="K8" s="91" t="n"/>
      <c r="L8" s="91" t="n"/>
      <c r="M8" s="91" t="n"/>
      <c r="N8" s="91" t="n"/>
      <c r="O8" s="91" t="n"/>
      <c r="P8" s="7" t="n"/>
      <c r="Q8" s="138">
        <f>IFERROR(INDEX(_Helper!CA2:CA501,MATCH(LARGE(_Helper!BH2:BH501,3),_Helper!BH2:BH501,0)),"-")</f>
        <v/>
      </c>
      <c r="R8" s="91" t="n"/>
      <c r="S8" s="91" t="n"/>
      <c r="T8" s="91" t="n"/>
      <c r="U8" s="91" t="n"/>
      <c r="V8" s="91" t="n"/>
    </row>
    <row r="9" ht="19.5" customHeight="1" s="74">
      <c r="A9" s="137" t="inlineStr">
        <is>
          <t>Year</t>
        </is>
      </c>
      <c r="B9" s="91" t="n"/>
      <c r="C9" s="135">
        <f>IFERROR(INDEX(_Helper!CB2:CB501,MATCH(LARGE(_Helper!BH2:BH501,1),_Helper!BH2:BH501,0)),"-")</f>
        <v/>
      </c>
      <c r="D9" s="91" t="n"/>
      <c r="E9" s="91" t="n"/>
      <c r="F9" s="91" t="n"/>
      <c r="G9" s="91" t="n"/>
      <c r="H9" s="91" t="n"/>
      <c r="I9" s="8" t="n"/>
      <c r="J9" s="136">
        <f>IFERROR(INDEX(_Helper!CB2:CB501,MATCH(LARGE(_Helper!BH2:BH501,2),_Helper!BH2:BH501,0)),"-")</f>
        <v/>
      </c>
      <c r="K9" s="91" t="n"/>
      <c r="L9" s="91" t="n"/>
      <c r="M9" s="91" t="n"/>
      <c r="N9" s="91" t="n"/>
      <c r="O9" s="91" t="n"/>
      <c r="P9" s="8" t="n"/>
      <c r="Q9" s="138">
        <f>IFERROR(INDEX(_Helper!CB2:CB501,MATCH(LARGE(_Helper!BH2:BH501,3),_Helper!BH2:BH501,0)),"-")</f>
        <v/>
      </c>
      <c r="R9" s="91" t="n"/>
      <c r="S9" s="91" t="n"/>
      <c r="T9" s="91" t="n"/>
      <c r="U9" s="91" t="n"/>
      <c r="V9" s="91" t="n"/>
    </row>
    <row r="10" ht="19.5" customHeight="1" s="74">
      <c r="A10" s="140" t="inlineStr">
        <is>
          <t>Project Value</t>
        </is>
      </c>
      <c r="B10" s="91" t="n"/>
      <c r="C10" s="135">
        <f>IFERROR(INDEX(_Helper!T2:T501,MATCH(LARGE(_Helper!BH2:BH501,1),_Helper!BH2:BH501,0))&amp;" "&amp;TEXT(INDEX(_Helper!U2:U501,MATCH(LARGE(_Helper!BH2:BH501,1),_Helper!BH2:BH501,0)),"#,##0.00")&amp;" M","-")</f>
        <v/>
      </c>
      <c r="D10" s="91" t="n"/>
      <c r="E10" s="91" t="n"/>
      <c r="F10" s="91" t="n"/>
      <c r="G10" s="91" t="n"/>
      <c r="H10" s="91" t="n"/>
      <c r="I10" s="7" t="n"/>
      <c r="J10" s="136">
        <f>IFERROR(INDEX(_Helper!T2:T501,MATCH(LARGE(_Helper!BH2:BH501,2),_Helper!BH2:BH501,0))&amp;" "&amp;TEXT(INDEX(_Helper!U2:U501,MATCH(LARGE(_Helper!BH2:BH501,2),_Helper!BH2:BH501,0)),"#,##0.00")&amp;" M","-")</f>
        <v/>
      </c>
      <c r="K10" s="91" t="n"/>
      <c r="L10" s="91" t="n"/>
      <c r="M10" s="91" t="n"/>
      <c r="N10" s="91" t="n"/>
      <c r="O10" s="91" t="n"/>
      <c r="P10" s="7" t="n"/>
      <c r="Q10" s="138">
        <f>IFERROR(INDEX(_Helper!T2:T501,MATCH(LARGE(_Helper!BH2:BH501,3),_Helper!BH2:BH501,0))&amp;" "&amp;TEXT(INDEX(_Helper!U2:U501,MATCH(LARGE(_Helper!BH2:BH501,3),_Helper!BH2:BH501,0)),"#,##0.00")&amp;" M","-")</f>
        <v/>
      </c>
      <c r="R10" s="91" t="n"/>
      <c r="S10" s="91" t="n"/>
      <c r="T10" s="91" t="n"/>
      <c r="U10" s="91" t="n"/>
      <c r="V10" s="91" t="n"/>
    </row>
    <row r="11" ht="19.5" customHeight="1" s="74">
      <c r="A11" s="137" t="inlineStr">
        <is>
          <t>Value (USD equiv.)</t>
        </is>
      </c>
      <c r="B11" s="91" t="n"/>
      <c r="C11" s="135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D11" s="91" t="n"/>
      <c r="E11" s="91" t="n"/>
      <c r="F11" s="91" t="n"/>
      <c r="G11" s="91" t="n"/>
      <c r="H11" s="91" t="n"/>
      <c r="I11" s="8" t="n"/>
      <c r="J11" s="136">
        <f>IFERROR(IF(INDEX(_Helper!A2:A501,MATCH(LARGE(_Helper!BH2:BH501,2),_Helper!BH2:BH501,0))="","-",IF(ISNUMBER(INDEX(_Helper!CD2:CD501,MATCH(LARGE(_Helper!BH2:BH501,2),_Helper!BH2:BH501,0))),"≈ USD "&amp;TEXT(INDEX(_Helper!CD2:CD501,MATCH(LARGE(_Helper!BH2:BH501,2),_Helper!BH2:BH501,0)),"#,##0.00")&amp;" M","USD n/a")),"-")</f>
        <v/>
      </c>
      <c r="K11" s="91" t="n"/>
      <c r="L11" s="91" t="n"/>
      <c r="M11" s="91" t="n"/>
      <c r="N11" s="91" t="n"/>
      <c r="O11" s="91" t="n"/>
      <c r="P11" s="8" t="n"/>
      <c r="Q11" s="138">
        <f>IFERROR(IF(INDEX(_Helper!A2:A501,MATCH(LARGE(_Helper!BH2:BH501,3),_Helper!BH2:BH501,0))="","-",IF(ISNUMBER(INDEX(_Helper!CD2:CD501,MATCH(LARGE(_Helper!BH2:BH501,3),_Helper!BH2:BH501,0))),"≈ USD "&amp;TEXT(INDEX(_Helper!CD2:CD501,MATCH(LARGE(_Helper!BH2:BH501,3),_Helper!BH2:BH501,0)),"#,##0.00")&amp;" M","USD n/a")),"-")</f>
        <v/>
      </c>
      <c r="R11" s="91" t="n"/>
      <c r="S11" s="91" t="n"/>
      <c r="T11" s="91" t="n"/>
      <c r="U11" s="91" t="n"/>
      <c r="V11" s="91" t="n"/>
    </row>
    <row r="12" ht="19.5" customHeight="1" s="74">
      <c r="A12" s="175" t="inlineStr">
        <is>
          <t xml:space="preserve">  SYSTEM SPECIFICATIONS</t>
        </is>
      </c>
    </row>
    <row r="13" ht="19.5" customHeight="1" s="74">
      <c r="A13" s="140" t="inlineStr">
        <is>
          <t>MS Shuttles</t>
        </is>
      </c>
      <c r="B13" s="91" t="n"/>
      <c r="C13" s="135">
        <f>IFERROR(INDEX(_Helper!C2:C501,MATCH(LARGE(_Helper!BH2:BH501,1),_Helper!BH2:BH501,0)),"-")</f>
        <v/>
      </c>
      <c r="D13" s="91" t="n"/>
      <c r="E13" s="91" t="n"/>
      <c r="F13" s="91" t="n"/>
      <c r="G13" s="91" t="n"/>
      <c r="H13" s="91" t="n"/>
      <c r="I13" s="7" t="n"/>
      <c r="J13" s="136">
        <f>IFERROR(INDEX(_Helper!C2:C501,MATCH(LARGE(_Helper!BH2:BH501,2),_Helper!BH2:BH501,0)),"-")</f>
        <v/>
      </c>
      <c r="K13" s="91" t="n"/>
      <c r="L13" s="91" t="n"/>
      <c r="M13" s="91" t="n"/>
      <c r="N13" s="91" t="n"/>
      <c r="O13" s="91" t="n"/>
      <c r="P13" s="7" t="n"/>
      <c r="Q13" s="138">
        <f>IFERROR(INDEX(_Helper!C2:C501,MATCH(LARGE(_Helper!BH2:BH501,3),_Helper!BH2:BH501,0)),"-")</f>
        <v/>
      </c>
      <c r="R13" s="91" t="n"/>
      <c r="S13" s="91" t="n"/>
      <c r="T13" s="91" t="n"/>
      <c r="U13" s="91" t="n"/>
      <c r="V13" s="91" t="n"/>
    </row>
    <row r="14" ht="19.5" customHeight="1" s="74">
      <c r="A14" s="137" t="inlineStr">
        <is>
          <t>MS Tote Locations</t>
        </is>
      </c>
      <c r="B14" s="91" t="n"/>
      <c r="C14" s="135">
        <f>IFERROR(INDEX(_Helper!D2:D501,MATCH(LARGE(_Helper!BH2:BH501,1),_Helper!BH2:BH501,0)),"-")</f>
        <v/>
      </c>
      <c r="D14" s="91" t="n"/>
      <c r="E14" s="91" t="n"/>
      <c r="F14" s="91" t="n"/>
      <c r="G14" s="91" t="n"/>
      <c r="H14" s="91" t="n"/>
      <c r="I14" s="8" t="n"/>
      <c r="J14" s="136">
        <f>IFERROR(INDEX(_Helper!D2:D501,MATCH(LARGE(_Helper!BH2:BH501,2),_Helper!BH2:BH501,0)),"-")</f>
        <v/>
      </c>
      <c r="K14" s="91" t="n"/>
      <c r="L14" s="91" t="n"/>
      <c r="M14" s="91" t="n"/>
      <c r="N14" s="91" t="n"/>
      <c r="O14" s="91" t="n"/>
      <c r="P14" s="8" t="n"/>
      <c r="Q14" s="138">
        <f>IFERROR(INDEX(_Helper!D2:D501,MATCH(LARGE(_Helper!BH2:BH501,3),_Helper!BH2:BH501,0)),"-")</f>
        <v/>
      </c>
      <c r="R14" s="91" t="n"/>
      <c r="S14" s="91" t="n"/>
      <c r="T14" s="91" t="n"/>
      <c r="U14" s="91" t="n"/>
      <c r="V14" s="91" t="n"/>
    </row>
    <row r="15" ht="19.5" customHeight="1" s="74">
      <c r="A15" s="140" t="inlineStr">
        <is>
          <t>AS Robots</t>
        </is>
      </c>
      <c r="B15" s="91" t="n"/>
      <c r="C15" s="135">
        <f>IFERROR(INDEX(_Helper!E2:E501,MATCH(LARGE(_Helper!BH2:BH501,1),_Helper!BH2:BH501,0)),"-")</f>
        <v/>
      </c>
      <c r="D15" s="91" t="n"/>
      <c r="E15" s="91" t="n"/>
      <c r="F15" s="91" t="n"/>
      <c r="G15" s="91" t="n"/>
      <c r="H15" s="91" t="n"/>
      <c r="I15" s="7" t="n"/>
      <c r="J15" s="136">
        <f>IFERROR(INDEX(_Helper!E2:E501,MATCH(LARGE(_Helper!BH2:BH501,2),_Helper!BH2:BH501,0)),"-")</f>
        <v/>
      </c>
      <c r="K15" s="91" t="n"/>
      <c r="L15" s="91" t="n"/>
      <c r="M15" s="91" t="n"/>
      <c r="N15" s="91" t="n"/>
      <c r="O15" s="91" t="n"/>
      <c r="P15" s="7" t="n"/>
      <c r="Q15" s="138">
        <f>IFERROR(INDEX(_Helper!E2:E501,MATCH(LARGE(_Helper!BH2:BH501,3),_Helper!BH2:BH501,0)),"-")</f>
        <v/>
      </c>
      <c r="R15" s="91" t="n"/>
      <c r="S15" s="91" t="n"/>
      <c r="T15" s="91" t="n"/>
      <c r="U15" s="91" t="n"/>
      <c r="V15" s="91" t="n"/>
    </row>
    <row r="16" ht="19.5" customHeight="1" s="74">
      <c r="A16" s="137" t="inlineStr">
        <is>
          <t>AS Tote Locations</t>
        </is>
      </c>
      <c r="B16" s="91" t="n"/>
      <c r="C16" s="135">
        <f>IFERROR(INDEX(_Helper!F2:F501,MATCH(LARGE(_Helper!BH2:BH501,1),_Helper!BH2:BH501,0)),"-")</f>
        <v/>
      </c>
      <c r="D16" s="91" t="n"/>
      <c r="E16" s="91" t="n"/>
      <c r="F16" s="91" t="n"/>
      <c r="G16" s="91" t="n"/>
      <c r="H16" s="91" t="n"/>
      <c r="I16" s="8" t="n"/>
      <c r="J16" s="136">
        <f>IFERROR(INDEX(_Helper!F2:F501,MATCH(LARGE(_Helper!BH2:BH501,2),_Helper!BH2:BH501,0)),"-")</f>
        <v/>
      </c>
      <c r="K16" s="91" t="n"/>
      <c r="L16" s="91" t="n"/>
      <c r="M16" s="91" t="n"/>
      <c r="N16" s="91" t="n"/>
      <c r="O16" s="91" t="n"/>
      <c r="P16" s="8" t="n"/>
      <c r="Q16" s="138">
        <f>IFERROR(INDEX(_Helper!F2:F501,MATCH(LARGE(_Helper!BH2:BH501,3),_Helper!BH2:BH501,0)),"-")</f>
        <v/>
      </c>
      <c r="R16" s="91" t="n"/>
      <c r="S16" s="91" t="n"/>
      <c r="T16" s="91" t="n"/>
      <c r="U16" s="91" t="n"/>
      <c r="V16" s="91" t="n"/>
    </row>
    <row r="17" ht="19.5" customHeight="1" s="74">
      <c r="A17" s="140" t="inlineStr">
        <is>
          <t>PS Shuttles</t>
        </is>
      </c>
      <c r="B17" s="91" t="n"/>
      <c r="C17" s="135">
        <f>IFERROR(INDEX(_Helper!G2:G501,MATCH(LARGE(_Helper!BH2:BH501,1),_Helper!BH2:BH501,0)),"-")</f>
        <v/>
      </c>
      <c r="D17" s="91" t="n"/>
      <c r="E17" s="91" t="n"/>
      <c r="F17" s="91" t="n"/>
      <c r="G17" s="91" t="n"/>
      <c r="H17" s="91" t="n"/>
      <c r="I17" s="7" t="n"/>
      <c r="J17" s="136">
        <f>IFERROR(INDEX(_Helper!G2:G501,MATCH(LARGE(_Helper!BH2:BH501,2),_Helper!BH2:BH501,0)),"-")</f>
        <v/>
      </c>
      <c r="K17" s="91" t="n"/>
      <c r="L17" s="91" t="n"/>
      <c r="M17" s="91" t="n"/>
      <c r="N17" s="91" t="n"/>
      <c r="O17" s="91" t="n"/>
      <c r="P17" s="7" t="n"/>
      <c r="Q17" s="138">
        <f>IFERROR(INDEX(_Helper!G2:G501,MATCH(LARGE(_Helper!BH2:BH501,3),_Helper!BH2:BH501,0)),"-")</f>
        <v/>
      </c>
      <c r="R17" s="91" t="n"/>
      <c r="S17" s="91" t="n"/>
      <c r="T17" s="91" t="n"/>
      <c r="U17" s="91" t="n"/>
      <c r="V17" s="91" t="n"/>
    </row>
    <row r="18" ht="19.5" customHeight="1" s="74">
      <c r="A18" s="137" t="inlineStr">
        <is>
          <t>PS Pallet Locations</t>
        </is>
      </c>
      <c r="B18" s="91" t="n"/>
      <c r="C18" s="135">
        <f>IFERROR(INDEX(_Helper!H2:H501,MATCH(LARGE(_Helper!BH2:BH501,1),_Helper!BH2:BH501,0)),"-")</f>
        <v/>
      </c>
      <c r="D18" s="91" t="n"/>
      <c r="E18" s="91" t="n"/>
      <c r="F18" s="91" t="n"/>
      <c r="G18" s="91" t="n"/>
      <c r="H18" s="91" t="n"/>
      <c r="I18" s="8" t="n"/>
      <c r="J18" s="136">
        <f>IFERROR(INDEX(_Helper!H2:H501,MATCH(LARGE(_Helper!BH2:BH501,2),_Helper!BH2:BH501,0)),"-")</f>
        <v/>
      </c>
      <c r="K18" s="91" t="n"/>
      <c r="L18" s="91" t="n"/>
      <c r="M18" s="91" t="n"/>
      <c r="N18" s="91" t="n"/>
      <c r="O18" s="91" t="n"/>
      <c r="P18" s="8" t="n"/>
      <c r="Q18" s="138">
        <f>IFERROR(INDEX(_Helper!H2:H501,MATCH(LARGE(_Helper!BH2:BH501,3),_Helper!BH2:BH501,0)),"-")</f>
        <v/>
      </c>
      <c r="R18" s="91" t="n"/>
      <c r="S18" s="91" t="n"/>
      <c r="T18" s="91" t="n"/>
      <c r="U18" s="91" t="n"/>
      <c r="V18" s="91" t="n"/>
    </row>
    <row r="19" ht="19.5" customHeight="1" s="74">
      <c r="A19" s="140" t="inlineStr">
        <is>
          <t>SRM Cranes</t>
        </is>
      </c>
      <c r="B19" s="91" t="n"/>
      <c r="C19" s="135">
        <f>IFERROR(INDEX(_Helper!I2:I501,MATCH(LARGE(_Helper!BH2:BH501,1),_Helper!BH2:BH501,0)),"-")</f>
        <v/>
      </c>
      <c r="D19" s="91" t="n"/>
      <c r="E19" s="91" t="n"/>
      <c r="F19" s="91" t="n"/>
      <c r="G19" s="91" t="n"/>
      <c r="H19" s="91" t="n"/>
      <c r="I19" s="7" t="n"/>
      <c r="J19" s="136">
        <f>IFERROR(INDEX(_Helper!I2:I501,MATCH(LARGE(_Helper!BH2:BH501,2),_Helper!BH2:BH501,0)),"-")</f>
        <v/>
      </c>
      <c r="K19" s="91" t="n"/>
      <c r="L19" s="91" t="n"/>
      <c r="M19" s="91" t="n"/>
      <c r="N19" s="91" t="n"/>
      <c r="O19" s="91" t="n"/>
      <c r="P19" s="7" t="n"/>
      <c r="Q19" s="138">
        <f>IFERROR(INDEX(_Helper!I2:I501,MATCH(LARGE(_Helper!BH2:BH501,3),_Helper!BH2:BH501,0)),"-")</f>
        <v/>
      </c>
      <c r="R19" s="91" t="n"/>
      <c r="S19" s="91" t="n"/>
      <c r="T19" s="91" t="n"/>
      <c r="U19" s="91" t="n"/>
      <c r="V19" s="91" t="n"/>
    </row>
    <row r="20" ht="19.5" customHeight="1" s="74">
      <c r="A20" s="137" t="inlineStr">
        <is>
          <t>SRM Pallet Locations</t>
        </is>
      </c>
      <c r="B20" s="91" t="n"/>
      <c r="C20" s="135">
        <f>IFERROR(INDEX(_Helper!J2:J501,MATCH(LARGE(_Helper!BH2:BH501,1),_Helper!BH2:BH501,0)),"-")</f>
        <v/>
      </c>
      <c r="D20" s="91" t="n"/>
      <c r="E20" s="91" t="n"/>
      <c r="F20" s="91" t="n"/>
      <c r="G20" s="91" t="n"/>
      <c r="H20" s="91" t="n"/>
      <c r="I20" s="8" t="n"/>
      <c r="J20" s="136">
        <f>IFERROR(INDEX(_Helper!J2:J501,MATCH(LARGE(_Helper!BH2:BH501,2),_Helper!BH2:BH501,0)),"-")</f>
        <v/>
      </c>
      <c r="K20" s="91" t="n"/>
      <c r="L20" s="91" t="n"/>
      <c r="M20" s="91" t="n"/>
      <c r="N20" s="91" t="n"/>
      <c r="O20" s="91" t="n"/>
      <c r="P20" s="8" t="n"/>
      <c r="Q20" s="138">
        <f>IFERROR(INDEX(_Helper!J2:J501,MATCH(LARGE(_Helper!BH2:BH501,3),_Helper!BH2:BH501,0)),"-")</f>
        <v/>
      </c>
      <c r="R20" s="91" t="n"/>
      <c r="S20" s="91" t="n"/>
      <c r="T20" s="91" t="n"/>
      <c r="U20" s="91" t="n"/>
      <c r="V20" s="91" t="n"/>
    </row>
    <row r="21" ht="19.5" customHeight="1" s="74">
      <c r="A21" s="140" t="inlineStr">
        <is>
          <t>Case Conveyor (m)</t>
        </is>
      </c>
      <c r="B21" s="91" t="n"/>
      <c r="C21" s="135">
        <f>IFERROR(INDEX(_Helper!K2:K501,MATCH(LARGE(_Helper!BH2:BH501,1),_Helper!BH2:BH501,0)),"-")</f>
        <v/>
      </c>
      <c r="D21" s="91" t="n"/>
      <c r="E21" s="91" t="n"/>
      <c r="F21" s="91" t="n"/>
      <c r="G21" s="91" t="n"/>
      <c r="H21" s="91" t="n"/>
      <c r="I21" s="7" t="n"/>
      <c r="J21" s="136">
        <f>IFERROR(INDEX(_Helper!K2:K501,MATCH(LARGE(_Helper!BH2:BH501,2),_Helper!BH2:BH501,0)),"-")</f>
        <v/>
      </c>
      <c r="K21" s="91" t="n"/>
      <c r="L21" s="91" t="n"/>
      <c r="M21" s="91" t="n"/>
      <c r="N21" s="91" t="n"/>
      <c r="O21" s="91" t="n"/>
      <c r="P21" s="7" t="n"/>
      <c r="Q21" s="138">
        <f>IFERROR(INDEX(_Helper!K2:K501,MATCH(LARGE(_Helper!BH2:BH501,3),_Helper!BH2:BH501,0)),"-")</f>
        <v/>
      </c>
      <c r="R21" s="91" t="n"/>
      <c r="S21" s="91" t="n"/>
      <c r="T21" s="91" t="n"/>
      <c r="U21" s="91" t="n"/>
      <c r="V21" s="91" t="n"/>
    </row>
    <row r="22" ht="19.5" customHeight="1" s="74">
      <c r="A22" s="137" t="inlineStr">
        <is>
          <t>Pallet Conveyor (m)</t>
        </is>
      </c>
      <c r="B22" s="91" t="n"/>
      <c r="C22" s="135">
        <f>IFERROR(INDEX(_Helper!L2:L501,MATCH(LARGE(_Helper!BH2:BH501,1),_Helper!BH2:BH501,0)),"-")</f>
        <v/>
      </c>
      <c r="D22" s="91" t="n"/>
      <c r="E22" s="91" t="n"/>
      <c r="F22" s="91" t="n"/>
      <c r="G22" s="91" t="n"/>
      <c r="H22" s="91" t="n"/>
      <c r="I22" s="8" t="n"/>
      <c r="J22" s="136">
        <f>IFERROR(INDEX(_Helper!L2:L501,MATCH(LARGE(_Helper!BH2:BH501,2),_Helper!BH2:BH501,0)),"-")</f>
        <v/>
      </c>
      <c r="K22" s="91" t="n"/>
      <c r="L22" s="91" t="n"/>
      <c r="M22" s="91" t="n"/>
      <c r="N22" s="91" t="n"/>
      <c r="O22" s="91" t="n"/>
      <c r="P22" s="8" t="n"/>
      <c r="Q22" s="138">
        <f>IFERROR(INDEX(_Helper!L2:L501,MATCH(LARGE(_Helper!BH2:BH501,3),_Helper!BH2:BH501,0)),"-")</f>
        <v/>
      </c>
      <c r="R22" s="91" t="n"/>
      <c r="S22" s="91" t="n"/>
      <c r="T22" s="91" t="n"/>
      <c r="U22" s="91" t="n"/>
      <c r="V22" s="91" t="n"/>
    </row>
    <row r="23" ht="19.5" customHeight="1" s="74">
      <c r="A23" s="175" t="inlineStr">
        <is>
          <t xml:space="preserve">  SCHEDULE  (weeks)</t>
        </is>
      </c>
    </row>
    <row r="24" ht="19.5" customHeight="1" s="74">
      <c r="A24" s="140" t="inlineStr">
        <is>
          <t>Mechanical Engineering</t>
        </is>
      </c>
      <c r="B24" s="91" t="n"/>
      <c r="C24" s="135">
        <f>IFERROR(INDEX(_Helper!M2:M501,MATCH(LARGE(_Helper!BH2:BH501,1),_Helper!BH2:BH501,0)),"-")</f>
        <v/>
      </c>
      <c r="D24" s="91" t="n"/>
      <c r="E24" s="91" t="n"/>
      <c r="F24" s="91" t="n"/>
      <c r="G24" s="91" t="n"/>
      <c r="H24" s="91" t="n"/>
      <c r="I24" s="7" t="n"/>
      <c r="J24" s="136">
        <f>IFERROR(INDEX(_Helper!M2:M501,MATCH(LARGE(_Helper!BH2:BH501,2),_Helper!BH2:BH501,0)),"-")</f>
        <v/>
      </c>
      <c r="K24" s="91" t="n"/>
      <c r="L24" s="91" t="n"/>
      <c r="M24" s="91" t="n"/>
      <c r="N24" s="91" t="n"/>
      <c r="O24" s="91" t="n"/>
      <c r="P24" s="7" t="n"/>
      <c r="Q24" s="138">
        <f>IFERROR(INDEX(_Helper!M2:M501,MATCH(LARGE(_Helper!BH2:BH501,3),_Helper!BH2:BH501,0)),"-")</f>
        <v/>
      </c>
      <c r="R24" s="91" t="n"/>
      <c r="S24" s="91" t="n"/>
      <c r="T24" s="91" t="n"/>
      <c r="U24" s="91" t="n"/>
      <c r="V24" s="91" t="n"/>
    </row>
    <row r="25" ht="19.5" customHeight="1" s="74">
      <c r="A25" s="137" t="inlineStr">
        <is>
          <t>Controls Engineering</t>
        </is>
      </c>
      <c r="B25" s="91" t="n"/>
      <c r="C25" s="135">
        <f>IFERROR(INDEX(_Helper!N2:N501,MATCH(LARGE(_Helper!BH2:BH501,1),_Helper!BH2:BH501,0)),"-")</f>
        <v/>
      </c>
      <c r="D25" s="91" t="n"/>
      <c r="E25" s="91" t="n"/>
      <c r="F25" s="91" t="n"/>
      <c r="G25" s="91" t="n"/>
      <c r="H25" s="91" t="n"/>
      <c r="I25" s="8" t="n"/>
      <c r="J25" s="136">
        <f>IFERROR(INDEX(_Helper!N2:N501,MATCH(LARGE(_Helper!BH2:BH501,2),_Helper!BH2:BH501,0)),"-")</f>
        <v/>
      </c>
      <c r="K25" s="91" t="n"/>
      <c r="L25" s="91" t="n"/>
      <c r="M25" s="91" t="n"/>
      <c r="N25" s="91" t="n"/>
      <c r="O25" s="91" t="n"/>
      <c r="P25" s="8" t="n"/>
      <c r="Q25" s="138">
        <f>IFERROR(INDEX(_Helper!N2:N501,MATCH(LARGE(_Helper!BH2:BH501,3),_Helper!BH2:BH501,0)),"-")</f>
        <v/>
      </c>
      <c r="R25" s="91" t="n"/>
      <c r="S25" s="91" t="n"/>
      <c r="T25" s="91" t="n"/>
      <c r="U25" s="91" t="n"/>
      <c r="V25" s="91" t="n"/>
    </row>
    <row r="26" ht="19.5" customHeight="1" s="74">
      <c r="A26" s="140" t="inlineStr">
        <is>
          <t>Systems Engineering</t>
        </is>
      </c>
      <c r="B26" s="91" t="n"/>
      <c r="C26" s="135">
        <f>IFERROR(INDEX(_Helper!O2:O501,MATCH(LARGE(_Helper!BH2:BH501,1),_Helper!BH2:BH501,0)),"-")</f>
        <v/>
      </c>
      <c r="D26" s="91" t="n"/>
      <c r="E26" s="91" t="n"/>
      <c r="F26" s="91" t="n"/>
      <c r="G26" s="91" t="n"/>
      <c r="H26" s="91" t="n"/>
      <c r="I26" s="7" t="n"/>
      <c r="J26" s="136">
        <f>IFERROR(INDEX(_Helper!O2:O501,MATCH(LARGE(_Helper!BH2:BH501,2),_Helper!BH2:BH501,0)),"-")</f>
        <v/>
      </c>
      <c r="K26" s="91" t="n"/>
      <c r="L26" s="91" t="n"/>
      <c r="M26" s="91" t="n"/>
      <c r="N26" s="91" t="n"/>
      <c r="O26" s="91" t="n"/>
      <c r="P26" s="7" t="n"/>
      <c r="Q26" s="138">
        <f>IFERROR(INDEX(_Helper!O2:O501,MATCH(LARGE(_Helper!BH2:BH501,3),_Helper!BH2:BH501,0)),"-")</f>
        <v/>
      </c>
      <c r="R26" s="91" t="n"/>
      <c r="S26" s="91" t="n"/>
      <c r="T26" s="91" t="n"/>
      <c r="U26" s="91" t="n"/>
      <c r="V26" s="91" t="n"/>
    </row>
    <row r="27" ht="19.5" customHeight="1" s="74">
      <c r="A27" s="137" t="inlineStr">
        <is>
          <t>Software Engineering</t>
        </is>
      </c>
      <c r="B27" s="91" t="n"/>
      <c r="C27" s="135">
        <f>IFERROR(INDEX(_Helper!P2:P501,MATCH(LARGE(_Helper!BH2:BH501,1),_Helper!BH2:BH501,0)),"-")</f>
        <v/>
      </c>
      <c r="D27" s="91" t="n"/>
      <c r="E27" s="91" t="n"/>
      <c r="F27" s="91" t="n"/>
      <c r="G27" s="91" t="n"/>
      <c r="H27" s="91" t="n"/>
      <c r="I27" s="8" t="n"/>
      <c r="J27" s="136">
        <f>IFERROR(INDEX(_Helper!P2:P501,MATCH(LARGE(_Helper!BH2:BH501,2),_Helper!BH2:BH501,0)),"-")</f>
        <v/>
      </c>
      <c r="K27" s="91" t="n"/>
      <c r="L27" s="91" t="n"/>
      <c r="M27" s="91" t="n"/>
      <c r="N27" s="91" t="n"/>
      <c r="O27" s="91" t="n"/>
      <c r="P27" s="8" t="n"/>
      <c r="Q27" s="138">
        <f>IFERROR(INDEX(_Helper!P2:P501,MATCH(LARGE(_Helper!BH2:BH501,3),_Helper!BH2:BH501,0)),"-")</f>
        <v/>
      </c>
      <c r="R27" s="91" t="n"/>
      <c r="S27" s="91" t="n"/>
      <c r="T27" s="91" t="n"/>
      <c r="U27" s="91" t="n"/>
      <c r="V27" s="91" t="n"/>
    </row>
    <row r="28" ht="19.5" customHeight="1" s="74">
      <c r="A28" s="140" t="inlineStr">
        <is>
          <t>M&amp;E Installation</t>
        </is>
      </c>
      <c r="B28" s="91" t="n"/>
      <c r="C28" s="135">
        <f>IFERROR(INDEX(_Helper!Q2:Q501,MATCH(LARGE(_Helper!BH2:BH501,1),_Helper!BH2:BH501,0)),"-")</f>
        <v/>
      </c>
      <c r="D28" s="91" t="n"/>
      <c r="E28" s="91" t="n"/>
      <c r="F28" s="91" t="n"/>
      <c r="G28" s="91" t="n"/>
      <c r="H28" s="91" t="n"/>
      <c r="I28" s="7" t="n"/>
      <c r="J28" s="136">
        <f>IFERROR(INDEX(_Helper!Q2:Q501,MATCH(LARGE(_Helper!BH2:BH501,2),_Helper!BH2:BH501,0)),"-")</f>
        <v/>
      </c>
      <c r="K28" s="91" t="n"/>
      <c r="L28" s="91" t="n"/>
      <c r="M28" s="91" t="n"/>
      <c r="N28" s="91" t="n"/>
      <c r="O28" s="91" t="n"/>
      <c r="P28" s="7" t="n"/>
      <c r="Q28" s="138">
        <f>IFERROR(INDEX(_Helper!Q2:Q501,MATCH(LARGE(_Helper!BH2:BH501,3),_Helper!BH2:BH501,0)),"-")</f>
        <v/>
      </c>
      <c r="R28" s="91" t="n"/>
      <c r="S28" s="91" t="n"/>
      <c r="T28" s="91" t="n"/>
      <c r="U28" s="91" t="n"/>
      <c r="V28" s="91" t="n"/>
    </row>
    <row r="29" ht="19.5" customHeight="1" s="74">
      <c r="A29" s="137" t="inlineStr">
        <is>
          <t>Commissioning</t>
        </is>
      </c>
      <c r="B29" s="91" t="n"/>
      <c r="C29" s="135">
        <f>IFERROR(INDEX(_Helper!R2:R501,MATCH(LARGE(_Helper!BH2:BH501,1),_Helper!BH2:BH501,0)),"-")</f>
        <v/>
      </c>
      <c r="D29" s="91" t="n"/>
      <c r="E29" s="91" t="n"/>
      <c r="F29" s="91" t="n"/>
      <c r="G29" s="91" t="n"/>
      <c r="H29" s="91" t="n"/>
      <c r="I29" s="8" t="n"/>
      <c r="J29" s="136">
        <f>IFERROR(INDEX(_Helper!R2:R501,MATCH(LARGE(_Helper!BH2:BH501,2),_Helper!BH2:BH501,0)),"-")</f>
        <v/>
      </c>
      <c r="K29" s="91" t="n"/>
      <c r="L29" s="91" t="n"/>
      <c r="M29" s="91" t="n"/>
      <c r="N29" s="91" t="n"/>
      <c r="O29" s="91" t="n"/>
      <c r="P29" s="8" t="n"/>
      <c r="Q29" s="138">
        <f>IFERROR(INDEX(_Helper!R2:R501,MATCH(LARGE(_Helper!BH2:BH501,3),_Helper!BH2:BH501,0)),"-")</f>
        <v/>
      </c>
      <c r="R29" s="91" t="n"/>
      <c r="S29" s="91" t="n"/>
      <c r="T29" s="91" t="n"/>
      <c r="U29" s="91" t="n"/>
      <c r="V29" s="91" t="n"/>
    </row>
    <row r="30" ht="19.5" customHeight="1" s="74">
      <c r="A30" s="134" t="inlineStr">
        <is>
          <t>TOTAL PROJECT TIMELINE</t>
        </is>
      </c>
      <c r="B30" s="91" t="n"/>
      <c r="C30" s="150">
        <f>IFERROR(INDEX(_Helper!S2:S501,MATCH(LARGE(_Helper!BH2:BH501,1),_Helper!BH2:BH501,0)),"-")</f>
        <v/>
      </c>
      <c r="D30" s="91" t="n"/>
      <c r="E30" s="91" t="n"/>
      <c r="F30" s="91" t="n"/>
      <c r="G30" s="91" t="n"/>
      <c r="H30" s="91" t="n"/>
      <c r="I30" s="9" t="n"/>
      <c r="J30" s="146">
        <f>IFERROR(INDEX(_Helper!S2:S501,MATCH(LARGE(_Helper!BH2:BH501,2),_Helper!BH2:BH501,0)),"-")</f>
        <v/>
      </c>
      <c r="K30" s="91" t="n"/>
      <c r="L30" s="91" t="n"/>
      <c r="M30" s="91" t="n"/>
      <c r="N30" s="91" t="n"/>
      <c r="O30" s="91" t="n"/>
      <c r="P30" s="9" t="n"/>
      <c r="Q30" s="151">
        <f>IFERROR(INDEX(_Helper!S2:S501,MATCH(LARGE(_Helper!BH2:BH501,3),_Helper!BH2:BH501,0)),"-")</f>
        <v/>
      </c>
      <c r="R30" s="91" t="n"/>
      <c r="S30" s="91" t="n"/>
      <c r="T30" s="91" t="n"/>
      <c r="U30" s="91" t="n"/>
      <c r="V30" s="91" t="n"/>
    </row>
    <row r="31" ht="19.5" customHeight="1" s="74">
      <c r="A31" s="175" t="inlineStr">
        <is>
          <t xml:space="preserve">  AUTOMATION EQUIPMENT &amp; NOTES</t>
        </is>
      </c>
    </row>
    <row r="32" ht="39.75" customHeight="1" s="74">
      <c r="A32" s="140" t="inlineStr">
        <is>
          <t>Automation Equipment</t>
        </is>
      </c>
      <c r="B32" s="91" t="n"/>
      <c r="C32" s="135">
        <f>IFERROR(INDEX(_Helper!AZ2:AZ501,MATCH(LARGE(_Helper!BH2:BH501,1),_Helper!BH2:BH501,0)),"-")</f>
        <v/>
      </c>
      <c r="D32" s="91" t="n"/>
      <c r="E32" s="91" t="n"/>
      <c r="F32" s="91" t="n"/>
      <c r="G32" s="91" t="n"/>
      <c r="H32" s="91" t="n"/>
      <c r="I32" s="7" t="n"/>
      <c r="J32" s="136">
        <f>IFERROR(INDEX(_Helper!AZ2:AZ501,MATCH(LARGE(_Helper!BH2:BH501,2),_Helper!BH2:BH501,0)),"-")</f>
        <v/>
      </c>
      <c r="K32" s="91" t="n"/>
      <c r="L32" s="91" t="n"/>
      <c r="M32" s="91" t="n"/>
      <c r="N32" s="91" t="n"/>
      <c r="O32" s="91" t="n"/>
      <c r="P32" s="7" t="n"/>
      <c r="Q32" s="138">
        <f>IFERROR(INDEX(_Helper!AZ2:AZ501,MATCH(LARGE(_Helper!BH2:BH501,3),_Helper!BH2:BH501,0)),"-")</f>
        <v/>
      </c>
      <c r="R32" s="91" t="n"/>
      <c r="S32" s="91" t="n"/>
      <c r="T32" s="91" t="n"/>
      <c r="U32" s="91" t="n"/>
      <c r="V32" s="91" t="n"/>
    </row>
    <row r="33" ht="49.5" customHeight="1" s="74">
      <c r="A33" s="137" t="inlineStr">
        <is>
          <t>Notes / Lessons Learned</t>
        </is>
      </c>
      <c r="B33" s="91" t="n"/>
      <c r="C33" s="135">
        <f>IFERROR(INDEX(Projects[Notes / Lessons Learned],MATCH(LARGE(_Helper!BH2:BH501,1),_Helper!BH2:BH501,0))&amp;"","-")</f>
        <v/>
      </c>
      <c r="D33" s="91" t="n"/>
      <c r="E33" s="91" t="n"/>
      <c r="F33" s="91" t="n"/>
      <c r="G33" s="91" t="n"/>
      <c r="H33" s="91" t="n"/>
      <c r="I33" s="8" t="n"/>
      <c r="J33" s="136">
        <f>IFERROR(INDEX(Projects[Notes / Lessons Learned],MATCH(LARGE(_Helper!BH2:BH501,2),_Helper!BH2:BH501,0))&amp;"","-")</f>
        <v/>
      </c>
      <c r="K33" s="91" t="n"/>
      <c r="L33" s="91" t="n"/>
      <c r="M33" s="91" t="n"/>
      <c r="N33" s="91" t="n"/>
      <c r="O33" s="91" t="n"/>
      <c r="P33" s="8" t="n"/>
      <c r="Q33" s="138">
        <f>IFERROR(INDEX(Projects[Notes / Lessons Learned],MATCH(LARGE(_Helper!BH2:BH501,3),_Helper!BH2:BH501,0))&amp;"","-")</f>
        <v/>
      </c>
      <c r="R33" s="91" t="n"/>
      <c r="S33" s="91" t="n"/>
      <c r="T33" s="91" t="n"/>
      <c r="U33" s="91" t="n"/>
      <c r="V33" s="91" t="n"/>
    </row>
    <row r="34" ht="18" customHeight="1" s="74">
      <c r="A34" s="176" t="inlineStr">
        <is>
          <t>⚠  Results update automatically when search parameters change in the Smart Search tab.  Review all matches and apply engineering judgment before confirming schedules.</t>
        </is>
      </c>
    </row>
  </sheetData>
  <mergeCells count="115">
    <mergeCell ref="C25:H25"/>
    <mergeCell ref="J15:O15"/>
    <mergeCell ref="A15:B15"/>
    <mergeCell ref="Q10:V10"/>
    <mergeCell ref="Q19:V19"/>
    <mergeCell ref="A5:V5"/>
    <mergeCell ref="C9:H9"/>
    <mergeCell ref="C11:H11"/>
    <mergeCell ref="J7:O7"/>
    <mergeCell ref="A7:B7"/>
    <mergeCell ref="Q22:V22"/>
    <mergeCell ref="A31:V31"/>
    <mergeCell ref="A27:B27"/>
    <mergeCell ref="C32:H32"/>
    <mergeCell ref="J33:O33"/>
    <mergeCell ref="C13:H13"/>
    <mergeCell ref="A33:B33"/>
    <mergeCell ref="J17:O17"/>
    <mergeCell ref="A17:B17"/>
    <mergeCell ref="Q13:V13"/>
    <mergeCell ref="Q7:V7"/>
    <mergeCell ref="Q21:V21"/>
    <mergeCell ref="A22:B22"/>
    <mergeCell ref="C15:H15"/>
    <mergeCell ref="C24:H24"/>
    <mergeCell ref="J19:O19"/>
    <mergeCell ref="A19:B19"/>
    <mergeCell ref="J28:O28"/>
    <mergeCell ref="A28:B28"/>
    <mergeCell ref="J9:O9"/>
    <mergeCell ref="C26:H26"/>
    <mergeCell ref="A9:B9"/>
    <mergeCell ref="Q8:V8"/>
    <mergeCell ref="A2:V2"/>
    <mergeCell ref="J30:O30"/>
    <mergeCell ref="A30:B30"/>
    <mergeCell ref="C10:H10"/>
    <mergeCell ref="C16:H16"/>
    <mergeCell ref="A11:B11"/>
    <mergeCell ref="J4:O4"/>
    <mergeCell ref="J32:O32"/>
    <mergeCell ref="Q9:V9"/>
    <mergeCell ref="Q27:V27"/>
    <mergeCell ref="Q30:V30"/>
    <mergeCell ref="Q17:V17"/>
    <mergeCell ref="Q11:V11"/>
    <mergeCell ref="A26:B26"/>
    <mergeCell ref="C19:H19"/>
    <mergeCell ref="C28:H28"/>
    <mergeCell ref="J18:O18"/>
    <mergeCell ref="J8:O8"/>
    <mergeCell ref="A8:B8"/>
    <mergeCell ref="Q3:V3"/>
    <mergeCell ref="C30:H30"/>
    <mergeCell ref="C6:H6"/>
    <mergeCell ref="C14:H14"/>
    <mergeCell ref="J6:O6"/>
    <mergeCell ref="J10:O10"/>
    <mergeCell ref="A10:B10"/>
    <mergeCell ref="C4:H4"/>
    <mergeCell ref="J27:O27"/>
    <mergeCell ref="Q26:V26"/>
    <mergeCell ref="J11:O11"/>
    <mergeCell ref="J20:O20"/>
    <mergeCell ref="C27:H27"/>
    <mergeCell ref="J22:O22"/>
    <mergeCell ref="C8:H8"/>
    <mergeCell ref="C17:H17"/>
    <mergeCell ref="A3:B3"/>
    <mergeCell ref="J21:O21"/>
    <mergeCell ref="A21:B21"/>
    <mergeCell ref="A1:V1"/>
    <mergeCell ref="A32:B32"/>
    <mergeCell ref="A14:B14"/>
    <mergeCell ref="C3:H3"/>
    <mergeCell ref="A4:B4"/>
    <mergeCell ref="Q28:V28"/>
    <mergeCell ref="C20:H20"/>
    <mergeCell ref="C29:H29"/>
    <mergeCell ref="J24:O24"/>
    <mergeCell ref="A24:B24"/>
    <mergeCell ref="Q20:V20"/>
    <mergeCell ref="Q14:V14"/>
    <mergeCell ref="Q29:V29"/>
    <mergeCell ref="C22:H22"/>
    <mergeCell ref="A23:V23"/>
    <mergeCell ref="Q4:V4"/>
    <mergeCell ref="J26:O26"/>
    <mergeCell ref="C21:H21"/>
    <mergeCell ref="A6:B6"/>
    <mergeCell ref="J16:O16"/>
    <mergeCell ref="A16:B16"/>
    <mergeCell ref="Q6:V6"/>
    <mergeCell ref="J25:O25"/>
    <mergeCell ref="Q15:V15"/>
    <mergeCell ref="A25:B25"/>
    <mergeCell ref="A18:B18"/>
    <mergeCell ref="A34:V34"/>
    <mergeCell ref="C7:H7"/>
    <mergeCell ref="J3:O3"/>
    <mergeCell ref="Q32:V32"/>
    <mergeCell ref="C18:H18"/>
    <mergeCell ref="Q16:V16"/>
    <mergeCell ref="Q25:V25"/>
    <mergeCell ref="C33:H33"/>
    <mergeCell ref="A20:B20"/>
    <mergeCell ref="J14:O14"/>
    <mergeCell ref="J29:O29"/>
    <mergeCell ref="A29:B29"/>
    <mergeCell ref="Q24:V24"/>
    <mergeCell ref="Q18:V18"/>
    <mergeCell ref="Q33:V33"/>
    <mergeCell ref="J13:O13"/>
    <mergeCell ref="A13:B13"/>
    <mergeCell ref="A12:V12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17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style="74" min="1" max="1"/>
    <col width="16" customWidth="1" style="74" min="2" max="2"/>
    <col width="16" customWidth="1" style="74" min="3" max="3"/>
    <col width="14" customWidth="1" style="74" min="4" max="4"/>
  </cols>
  <sheetData>
    <row r="1" ht="36" customHeight="1" s="74">
      <c r="A1" s="170" t="inlineStr">
        <is>
          <t>DEMATIC  |  FX Rates</t>
        </is>
      </c>
    </row>
    <row r="2">
      <c r="A2" s="156" t="inlineStr">
        <is>
          <t>USD value of one unit of each currency, used for Value (USD M) in the Project Database. Blue cells are inputs.</t>
        </is>
      </c>
    </row>
    <row r="4" ht="30" customHeight="1" s="74">
      <c r="A4" s="23" t="inlineStr">
        <is>
          <t>Currency</t>
        </is>
      </c>
      <c r="B4" s="23" t="inlineStr">
        <is>
          <t>USD per unit</t>
        </is>
      </c>
      <c r="C4" s="23" t="inlineStr">
        <is>
          <t>Units per USD</t>
        </is>
      </c>
      <c r="D4" s="23" t="inlineStr">
        <is>
          <t>Rate date</t>
        </is>
      </c>
    </row>
    <row r="5">
      <c r="A5" s="177" t="inlineStr">
        <is>
          <t>USD</t>
        </is>
      </c>
      <c r="B5" s="178" t="n">
        <v>1</v>
      </c>
      <c r="C5" s="179">
        <f>IF(B5&gt;0,1/B5,"")</f>
        <v/>
      </c>
      <c r="D5" s="180" t="n">
        <v>46290</v>
      </c>
    </row>
    <row r="6">
      <c r="A6" s="177" t="inlineStr">
        <is>
          <t>EUR</t>
        </is>
      </c>
      <c r="B6" s="178" t="n">
        <v>1.136965</v>
      </c>
      <c r="C6" s="179">
        <f>IF(B6&gt;0,1/B6,"")</f>
        <v/>
      </c>
      <c r="D6" s="180" t="n">
        <v>46290</v>
      </c>
    </row>
    <row r="7">
      <c r="A7" s="177" t="inlineStr">
        <is>
          <t>SGD</t>
        </is>
      </c>
      <c r="B7" s="178" t="n">
        <v>0.781627</v>
      </c>
      <c r="C7" s="179">
        <f>IF(B7&gt;0,1/B7,"")</f>
        <v/>
      </c>
      <c r="D7" s="180" t="n">
        <v>46290</v>
      </c>
    </row>
    <row r="8">
      <c r="A8" s="177" t="inlineStr">
        <is>
          <t>AUD</t>
        </is>
      </c>
      <c r="B8" s="178" t="n">
        <v>0.701303</v>
      </c>
      <c r="C8" s="179">
        <f>IF(B8&gt;0,1/B8,"")</f>
        <v/>
      </c>
      <c r="D8" s="180" t="n">
        <v>46290</v>
      </c>
    </row>
    <row r="9">
      <c r="A9" s="177" t="inlineStr">
        <is>
          <t>GBP</t>
        </is>
      </c>
      <c r="B9" s="178" t="n">
        <v>1.32115</v>
      </c>
      <c r="C9" s="179">
        <f>IF(B9&gt;0,1/B9,"")</f>
        <v/>
      </c>
      <c r="D9" s="180" t="n">
        <v>46290</v>
      </c>
    </row>
    <row r="10">
      <c r="A10" s="177" t="inlineStr">
        <is>
          <t>JPY</t>
        </is>
      </c>
      <c r="B10" s="178" t="n">
        <v>0.006314</v>
      </c>
      <c r="C10" s="179">
        <f>IF(B10&gt;0,1/B10,"")</f>
        <v/>
      </c>
      <c r="D10" s="180" t="n">
        <v>46290</v>
      </c>
    </row>
    <row r="11">
      <c r="A11" s="177" t="inlineStr">
        <is>
          <t>CNY</t>
        </is>
      </c>
      <c r="B11" s="178" t="n">
        <v>0.148965</v>
      </c>
      <c r="C11" s="179">
        <f>IF(B11&gt;0,1/B11,"")</f>
        <v/>
      </c>
      <c r="D11" s="180" t="n">
        <v>46290</v>
      </c>
    </row>
    <row r="12">
      <c r="A12" s="177" t="inlineStr">
        <is>
          <t>INR</t>
        </is>
      </c>
      <c r="B12" s="178" t="n">
        <v>0.010424</v>
      </c>
      <c r="C12" s="179">
        <f>IF(B12&gt;0,1/B12,"")</f>
        <v/>
      </c>
      <c r="D12" s="180" t="n">
        <v>46290</v>
      </c>
    </row>
    <row r="13">
      <c r="A13" s="177" t="inlineStr">
        <is>
          <t>MYR</t>
        </is>
      </c>
      <c r="B13" s="178" t="n">
        <v>0.245222</v>
      </c>
      <c r="C13" s="179">
        <f>IF(B13&gt;0,1/B13,"")</f>
        <v/>
      </c>
      <c r="D13" s="180" t="n">
        <v>46290</v>
      </c>
    </row>
    <row r="14">
      <c r="A14" s="177" t="inlineStr">
        <is>
          <t>THB</t>
        </is>
      </c>
      <c r="B14" s="178" t="n">
        <v>0.029894</v>
      </c>
      <c r="C14" s="179">
        <f>IF(B14&gt;0,1/B14,"")</f>
        <v/>
      </c>
      <c r="D14" s="180" t="n">
        <v>46290</v>
      </c>
    </row>
    <row r="16" ht="30" customHeight="1" s="74">
      <c r="A16" s="181" t="inlineStr">
        <is>
          <t>Source: daily reference rates from the fawazahmed0/exchange-api project, npm package @fawazahmed0/currency-api v2026.9.25, dated 2026-09-25. Replace with your company’s planning rates if you have them.</t>
        </is>
      </c>
    </row>
    <row r="17" ht="30" customHeight="1" s="74">
      <c r="A17" s="181" t="inlineStr">
        <is>
          <t>Every project is converted at these rates, whatever its year, so USD values are for rough comparison only.</t>
        </is>
      </c>
    </row>
  </sheetData>
  <mergeCells count="4">
    <mergeCell ref="A1:D1"/>
    <mergeCell ref="A16:D16"/>
    <mergeCell ref="A2:D2"/>
    <mergeCell ref="A17:D17"/>
  </mergeCell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FF2E2E2C"/>
    <outlinePr summaryBelow="1" summaryRight="1"/>
    <pageSetUpPr/>
  </sheetPr>
  <dimension ref="A1:B55"/>
  <sheetViews>
    <sheetView showGridLines="0" topLeftCell="A2" zoomScaleNormal="100" workbookViewId="0">
      <selection activeCell="F18" sqref="F18"/>
    </sheetView>
  </sheetViews>
  <sheetFormatPr baseColWidth="8" defaultColWidth="8.6640625" defaultRowHeight="14.4"/>
  <cols>
    <col width="89" customWidth="1" style="74" min="1" max="1"/>
    <col width="78" customWidth="1" style="74" min="2" max="2"/>
  </cols>
  <sheetData>
    <row r="1" ht="36" customHeight="1" s="74">
      <c r="A1" s="170" t="inlineStr">
        <is>
          <t>DEMATIC  |  User Guide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1.75" customHeight="1" s="74">
      <c r="A3" s="167" t="inlineStr">
        <is>
          <t xml:space="preserve">  HOW THE SMART SEARCH WORKS</t>
        </is>
      </c>
    </row>
    <row r="4" ht="15.75" customHeight="1" s="74">
      <c r="A4" s="182" t="inlineStr">
        <is>
          <t xml:space="preserve">   Step 1:  Set Include? to YES for every system in your project, NO for the rest.</t>
        </is>
      </c>
    </row>
    <row r="5" ht="15.75" customHeight="1" s="74">
      <c r="A5" s="182" t="inlineStr">
        <is>
          <t xml:space="preserve">   Step 2:  Enter your quantities for the included systems.</t>
        </is>
      </c>
    </row>
    <row r="6" ht="15.75" customHeight="1" s="74">
      <c r="A6" s="182" t="inlineStr">
        <is>
          <t xml:space="preserve">   The tool automatically distributes equal weight across all active parameters and ranks the database.</t>
        </is>
      </c>
    </row>
    <row r="7" ht="15.75" customHeight="1" s="74">
      <c r="A7" s="182" t="inlineStr">
        <is>
          <t xml:space="preserve">   No manual weights or percentages needed — just select and type.</t>
        </is>
      </c>
    </row>
    <row r="8" ht="7.5" customHeight="1" s="74"/>
    <row r="9" ht="21.75" customHeight="1" s="74">
      <c r="A9" s="167" t="inlineStr">
        <is>
          <t xml:space="preserve">  MATCH SCORE EXPLAINED</t>
        </is>
      </c>
    </row>
    <row r="10" ht="15.75" customHeight="1" s="74">
      <c r="A10" s="182" t="inlineStr">
        <is>
          <t xml:space="preserve">   For each active parameter:  Score = 1 – |DB value – your value| / MAX(|DB value|, |your value|)  (minimum 0)</t>
        </is>
      </c>
    </row>
    <row r="11" ht="15.75" customHeight="1" s="74">
      <c r="A11" s="182" t="inlineStr">
        <is>
          <t xml:space="preserve">   All active parameters receive equal weight.  Final score = average of all active parameter scores.</t>
        </is>
      </c>
    </row>
    <row r="12" ht="15.75" customHeight="1" s="74">
      <c r="A12" s="182" t="inlineStr">
        <is>
          <t xml:space="preserve">   If both the DB and your input are zero or blank for a parameter, it scores as a perfect match (both have none).</t>
        </is>
      </c>
    </row>
    <row r="13" ht="15.75" customHeight="1" s="74">
      <c r="A13" s="182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 s="74">
      <c r="A14" s="182" t="inlineStr">
        <is>
          <t xml:space="preserve">   Equal scores are resolved by row order (earlier entries ranked higher) to prevent duplicate results.</t>
        </is>
      </c>
    </row>
    <row r="15" ht="21.75" customHeight="1" s="74">
      <c r="A15" s="167" t="inlineStr">
        <is>
          <t xml:space="preserve">  SYSTEMS SUPPORTED</t>
        </is>
      </c>
    </row>
    <row r="16" ht="15.75" customHeight="1" s="74">
      <c r="A16" s="182" t="inlineStr">
        <is>
          <t xml:space="preserve">   Multishuttle    — Shuttles + Tote Locations</t>
        </is>
      </c>
    </row>
    <row r="17" ht="15.75" customHeight="1" s="74">
      <c r="A17" s="182" t="inlineStr">
        <is>
          <t xml:space="preserve">   AutoStore       — Robots + Tote Locations</t>
        </is>
      </c>
    </row>
    <row r="18" ht="15.75" customHeight="1" s="74">
      <c r="A18" s="182" t="inlineStr">
        <is>
          <t xml:space="preserve">   Pallet Shuttle  — Shuttles + Pallet Locations</t>
        </is>
      </c>
    </row>
    <row r="19" ht="15.75" customHeight="1" s="74">
      <c r="A19" s="182" t="inlineStr">
        <is>
          <t xml:space="preserve">   SRM Crane       — Cranes + Pallet Locations</t>
        </is>
      </c>
    </row>
    <row r="20" ht="15.75" customHeight="1" s="74">
      <c r="A20" s="182" t="inlineStr">
        <is>
          <t xml:space="preserve">   Conveyors       — Case Conveyor (m) + Pallet Conveyor (m)</t>
        </is>
      </c>
    </row>
    <row r="21" ht="7.5" customHeight="1" s="74"/>
    <row r="22" ht="21.75" customHeight="1" s="74">
      <c r="A22" s="167" t="inlineStr">
        <is>
          <t xml:space="preserve">  ADDING A PROJECT TO THE DATABASE</t>
        </is>
      </c>
    </row>
    <row r="23" ht="15.75" customHeight="1" s="74">
      <c r="A23" s="182" t="inlineStr">
        <is>
          <t xml:space="preserve">   1.  Go to 'Project Database' and fill in the next empty row.</t>
        </is>
      </c>
    </row>
    <row r="24" ht="15.75" customHeight="1" s="74">
      <c r="A24" s="182" t="inlineStr">
        <is>
          <t xml:space="preserve">   2.  Enter data only for systems used — leave other system columns blank.</t>
        </is>
      </c>
    </row>
    <row r="25" ht="15.75" customHeight="1" s="74">
      <c r="A25" s="182" t="inlineStr">
        <is>
          <t xml:space="preserve">   3.  All schedule phases are in WEEKS.</t>
        </is>
      </c>
    </row>
    <row r="26" ht="15.75" customHeight="1" s="74">
      <c r="A26" s="182" t="inlineStr">
        <is>
          <t xml:space="preserve">   4.  Total Timeline is the actual start-to-finish duration in weeks. Enter it yourself: phases overlap, so it is not a sum of the phase durations.</t>
        </is>
      </c>
    </row>
    <row r="27" ht="15.75" customHeight="1" s="74">
      <c r="A27" s="182" t="inlineStr">
        <is>
          <t xml:space="preserve">   5.  Project Value is in MILLIONS — enter a number only (22.9), not '22.9M'. Select Currency from the dropdown.</t>
        </is>
      </c>
    </row>
    <row r="28" ht="15.75" customHeight="1" s="74">
      <c r="A28" s="182" t="inlineStr">
        <is>
          <t xml:space="preserve">   6.  Select the Solution Type from the dropdown in column D.</t>
        </is>
      </c>
    </row>
    <row r="29" ht="21.75" customHeight="1" s="74">
      <c r="A29" s="183" t="n"/>
    </row>
    <row r="30" ht="15.75" customHeight="1" s="74">
      <c r="A30" s="167" t="inlineStr">
        <is>
          <t xml:space="preserve">  MANHOUR COST (% OF PROJECT COST)</t>
        </is>
      </c>
    </row>
    <row r="31" ht="15.75" customHeight="1" s="74">
      <c r="A31" s="182" t="inlineStr">
        <is>
          <t xml:space="preserve">   Database columns AD–AQ hold fourteen manhour cost categories, each as a % of project cost:</t>
        </is>
      </c>
    </row>
    <row r="32" ht="15.75" customHeight="1" s="74">
      <c r="A32" s="182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      </is>
      </c>
    </row>
    <row r="33" ht="15.75" customHeight="1" s="74">
      <c r="A33" s="182" t="inlineStr">
        <is>
          <t xml:space="preserve">   Enter these as percentages (type 5% or 0.05 — not 5). Values must be between 0% and 100%.</t>
        </is>
      </c>
    </row>
    <row r="34" ht="15.75" customHeight="1" s="74">
      <c r="A34" s="182" t="inlineStr">
        <is>
          <t xml:space="preserve">   Smart Search shows all fourteen categories individually in the Estimated Schedule section,</t>
        </is>
      </c>
    </row>
    <row r="35" ht="15.75" customHeight="1" s="74">
      <c r="A35" s="182" t="inlineStr">
        <is>
          <t xml:space="preserve">   below Project Value, as a % of the closest match's project cost.</t>
        </is>
      </c>
    </row>
    <row r="36">
      <c r="A36" s="154" t="inlineStr">
        <is>
          <t xml:space="preserve">   A project with no manhour data entered (blank or 0) shows 0.0% for every category — check the TOTAL row.</t>
        </is>
      </c>
    </row>
    <row r="38" ht="26.1" customHeight="1" s="74">
      <c r="A38" s="183" t="inlineStr">
        <is>
          <t>OPTIONAL SEARCH FILTERS</t>
        </is>
      </c>
    </row>
    <row r="39" ht="26.1" customHeight="1" s="74">
      <c r="A39" s="183" t="inlineStr">
        <is>
          <t>Use the four optional filters beside the Smart Search inputs. Blank or All includes all projects.</t>
        </is>
      </c>
    </row>
    <row r="40" ht="26.1" customHeight="1" s="74">
      <c r="A40" s="183" t="inlineStr">
        <is>
          <t>Solution Type and Won status: select a dropdown value. Year: enter an exact year (2000-2099), or clear it.</t>
        </is>
      </c>
    </row>
    <row r="41" ht="26.1" customHeight="1" s="74">
      <c r="A41" s="183" t="inlineStr">
        <is>
          <t>Region: enter text found in Client / Region, e.g. ME matches Turkey ME and KSA ME. Matching ignores letter case.</t>
        </is>
      </c>
    </row>
    <row r="42" ht="26.1" customHeight="1" s="74">
      <c r="A42" s="183" t="inlineStr">
        <is>
          <t>All selected filters must match. Projects with missing data are excluded only when that field is filtered.</t>
        </is>
      </c>
    </row>
    <row r="43" ht="26.1" customHeight="1" s="74">
      <c r="A43" s="183" t="inlineStr">
        <is>
          <t>The top five, closest-match estimate and top-three comparison all use the filtered results.</t>
        </is>
      </c>
    </row>
    <row r="44" ht="26.1" customHeight="1" s="74">
      <c r="A44" s="183" t="inlineStr">
        <is>
          <t>If no projects match, broaden or clear filters. Populate Solution Type in the database before filtering by it.</t>
        </is>
      </c>
    </row>
    <row r="46" ht="15.75" customHeight="1" s="74">
      <c r="A46" s="167" t="inlineStr">
        <is>
          <t xml:space="preserve">  PROJECT DATABASE TABLE</t>
        </is>
      </c>
    </row>
    <row r="47" ht="15.75" customHeight="1" s="74">
      <c r="A47" s="182" t="inlineStr">
        <is>
          <t xml:space="preserve">   The Project Database is an Excel Table named Projects. Use the header buttons to sort or filter.</t>
        </is>
      </c>
    </row>
    <row r="48" ht="15.75" customHeight="1" s="74">
      <c r="A48" s="182" t="inlineStr">
        <is>
          <t xml:space="preserve">   Add a project in the first empty row inside the table. Capacity: 499 projects (rows 6–504).</t>
        </is>
      </c>
    </row>
    <row r="49" ht="15.75" customHeight="1" s="74">
      <c r="A49" s="182" t="inlineStr">
        <is>
          <t xml:space="preserve">   Formulas find columns by header name, so inserting, moving or renaming columns in Excel is safe.</t>
        </is>
      </c>
    </row>
    <row r="50" ht="15.75" customHeight="1" s="74">
      <c r="A50" s="182" t="inlineStr">
        <is>
          <t xml:space="preserve">   Deleting a column that formulas use still breaks them, and a new manhour category must be added to Smart Search.</t>
        </is>
      </c>
    </row>
    <row r="52" ht="15.75" customHeight="1" s="74">
      <c r="A52" s="167" t="inlineStr">
        <is>
          <t xml:space="preserve">  PROJECT VALUE IN USD</t>
        </is>
      </c>
    </row>
    <row r="53" ht="15.75" customHeight="1" s="74">
      <c r="A53" s="182" t="inlineStr">
        <is>
          <t xml:space="preserve">   Value (USD M), column Z, is calculated: Value (M) × the rate on the FX Rates sheet. Do not type in it.</t>
        </is>
      </c>
    </row>
    <row r="54" ht="15.75" customHeight="1" s="74">
      <c r="A54" s="182" t="inlineStr">
        <is>
          <t xml:space="preserve">   Keep rates up to date on FX Rates (USD per one unit). A currency with no rate shows “No rate”.</t>
        </is>
      </c>
    </row>
    <row r="55" ht="15.75" customHeight="1" s="74">
      <c r="A55" s="182" t="inlineStr">
        <is>
          <t xml:space="preserve">   Every project is converted at the same current rate, so treat USD values as a rough comparison.</t>
        </is>
      </c>
    </row>
  </sheetData>
  <mergeCells count="49">
    <mergeCell ref="A48:B48"/>
    <mergeCell ref="A30:B30"/>
    <mergeCell ref="A24:B24"/>
    <mergeCell ref="A15:B15"/>
    <mergeCell ref="A11:B11"/>
    <mergeCell ref="A49:B49"/>
    <mergeCell ref="A1:B1"/>
    <mergeCell ref="A6:B6"/>
    <mergeCell ref="A16:B16"/>
    <mergeCell ref="A54:B54"/>
    <mergeCell ref="A7:B7"/>
    <mergeCell ref="A25:B25"/>
    <mergeCell ref="A41:B41"/>
    <mergeCell ref="A46:B46"/>
    <mergeCell ref="A18:B18"/>
    <mergeCell ref="A27:B27"/>
    <mergeCell ref="A3:B3"/>
    <mergeCell ref="A55:B55"/>
    <mergeCell ref="A12:B12"/>
    <mergeCell ref="A50:B50"/>
    <mergeCell ref="A26:B26"/>
    <mergeCell ref="A2:B2"/>
    <mergeCell ref="A33:B33"/>
    <mergeCell ref="A47:B47"/>
    <mergeCell ref="A42:B42"/>
    <mergeCell ref="A5:B5"/>
    <mergeCell ref="A32:B32"/>
    <mergeCell ref="A14:B14"/>
    <mergeCell ref="A23:B23"/>
    <mergeCell ref="A17:B17"/>
    <mergeCell ref="A22:B22"/>
    <mergeCell ref="A53:B53"/>
    <mergeCell ref="A35:B35"/>
    <mergeCell ref="A4:B4"/>
    <mergeCell ref="A20:B20"/>
    <mergeCell ref="A38:B38"/>
    <mergeCell ref="A29:B29"/>
    <mergeCell ref="A52:B52"/>
    <mergeCell ref="A43:B43"/>
    <mergeCell ref="A19:B19"/>
    <mergeCell ref="A10:B10"/>
    <mergeCell ref="A28:B28"/>
    <mergeCell ref="A13:B13"/>
    <mergeCell ref="A44:B44"/>
    <mergeCell ref="A40:B40"/>
    <mergeCell ref="A9:B9"/>
    <mergeCell ref="A31:B31"/>
    <mergeCell ref="A39:B39"/>
    <mergeCell ref="A34:B34"/>
  </mergeCells>
  <pageMargins left="0.75" right="0.75" top="1" bottom="1" header="0.511811023622047" footer="0.511811023622047"/>
  <pageSetup orientation="portrait" paperSize="9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FTJFSQJPWU5A-1120421278-17874</_dlc_DocId>
    <_dlc_DocIdUrl xmlns="4e905f3e-f685-420c-9178-4cb838b7beaf">
      <Url>https://kionnam.sharepoint.com/sites/scs_CTAPACSGSolutionDevelopment/_layouts/15/DocIdRedir.aspx?ID=FTJFSQJPWU5A-1120421278-17874</Url>
      <Description>FTJFSQJPWU5A-1120421278-17874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4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2026-03-22T00:37:22Z</dcterms:created>
  <dcterms:modified xsi:type="dcterms:W3CDTF">2026-09-25T06:11:28Z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ca830056-0a89-4eae-acb2-75906cd5d3f2</vt:lpwstr>
  </property>
</Properties>
</file>